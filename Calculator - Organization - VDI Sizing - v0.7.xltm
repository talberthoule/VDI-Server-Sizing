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2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queryTables/queryTable1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refreshAllConnections="1" defaultThemeVersion="166925"/>
  <mc:AlternateContent xmlns:mc="http://schemas.openxmlformats.org/markup-compatibility/2006">
    <mc:Choice Requires="x15">
      <x15ac:absPath xmlns:x15ac="http://schemas.microsoft.com/office/spreadsheetml/2010/11/ac" url="https://presidio-my.sharepoint.com/personal/thoule_presidio_com/Documents/Tools/#National Practices/#11.End User Compute/"/>
    </mc:Choice>
  </mc:AlternateContent>
  <xr:revisionPtr revIDLastSave="0" documentId="8_{1A8006C8-E683-43C4-A482-862DF8A76641}" xr6:coauthVersionLast="44" xr6:coauthVersionMax="44" xr10:uidLastSave="{00000000-0000-0000-0000-000000000000}"/>
  <workbookProtection workbookAlgorithmName="SHA-512" workbookHashValue="SZ5W3WIjVlx0d5bRq8PRMkEIHcmNKu96V0F82iugcFDQYtVTkQlysGDRqFJA/HpYzW6ofqwRttzzGSBsA0IX5A==" workbookSaltValue="O58GgxbjRhPUj56rzs/k1g==" workbookSpinCount="100000" lockStructure="1"/>
  <bookViews>
    <workbookView xWindow="-2010" yWindow="-15870" windowWidth="25440" windowHeight="15390" xr2:uid="{4F67DC47-C1E4-4DEF-BDE2-8F62D04BD1F2}"/>
  </bookViews>
  <sheets>
    <sheet name="About" sheetId="14" r:id="rId1"/>
    <sheet name="VDI Profiles" sheetId="1" r:id="rId2"/>
    <sheet name="Processor Comparisons" sheetId="12" r:id="rId3"/>
    <sheet name="Server Options (Greenfield)" sheetId="8" r:id="rId4"/>
    <sheet name="Server Options (Preexisting)" sheetId="7" state="hidden" r:id="rId5"/>
    <sheet name="vGPU Options" sheetId="2" r:id="rId6"/>
    <sheet name="Processor Options" sheetId="4" state="hidden" r:id="rId7"/>
    <sheet name="Summary" sheetId="13" r:id="rId8"/>
    <sheet name="Memory Options" sheetId="5" r:id="rId9"/>
    <sheet name="Processor_DB_Intel" sheetId="11" r:id="rId10"/>
    <sheet name="Futures" sheetId="9" r:id="rId11"/>
    <sheet name="Port Counts" sheetId="3" state="hidden" r:id="rId12"/>
  </sheets>
  <functionGroups builtInGroupCount="19"/>
  <definedNames>
    <definedName name="ExternalData_1" localSheetId="9" hidden="1">Processor_DB_Intel!$A$1:$J$2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l DB_7fa1012a-2a1a-4fff-9ffb-9eac06897a44" name="Intel DB" connection="Query - Intel DB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M12" i="13" l="1"/>
  <c r="M11" i="13"/>
  <c r="M10" i="13"/>
  <c r="M9" i="13"/>
  <c r="M8" i="13"/>
  <c r="M7" i="13"/>
  <c r="M6" i="13"/>
  <c r="M5" i="13"/>
  <c r="M4" i="13"/>
  <c r="M3" i="13"/>
  <c r="Q7" i="8" l="1" a="1"/>
  <c r="Q7" i="8" s="1"/>
  <c r="Q6" i="8" a="1"/>
  <c r="Q6" i="8" s="1"/>
  <c r="Q5" i="8" a="1"/>
  <c r="Q5" i="8" s="1"/>
  <c r="Q4" i="8" a="1"/>
  <c r="Q4" i="8" s="1"/>
  <c r="Q2" i="8" a="1"/>
  <c r="Q2" i="8" s="1"/>
  <c r="Q3" i="8" a="1"/>
  <c r="Q3" i="8" s="1"/>
  <c r="D21" i="5"/>
  <c r="D20" i="5"/>
  <c r="M7" i="8"/>
  <c r="M6" i="8"/>
  <c r="M5" i="8"/>
  <c r="M4" i="8"/>
  <c r="M3" i="8"/>
  <c r="M2" i="8"/>
  <c r="J12" i="13" l="1"/>
  <c r="J11" i="13"/>
  <c r="J10" i="13"/>
  <c r="J9" i="13"/>
  <c r="J8" i="13"/>
  <c r="J7" i="13"/>
  <c r="J6" i="13"/>
  <c r="J5" i="13"/>
  <c r="J4" i="13"/>
  <c r="G12" i="13"/>
  <c r="G11" i="13"/>
  <c r="G10" i="13"/>
  <c r="G9" i="13"/>
  <c r="G8" i="13"/>
  <c r="G7" i="13"/>
  <c r="G6" i="13"/>
  <c r="G5" i="13"/>
  <c r="G4" i="13"/>
  <c r="D12" i="13"/>
  <c r="D11" i="13"/>
  <c r="D10" i="13"/>
  <c r="D9" i="13"/>
  <c r="D8" i="13"/>
  <c r="D7" i="13"/>
  <c r="D6" i="13"/>
  <c r="D5" i="13"/>
  <c r="D4" i="13"/>
  <c r="H13" i="1"/>
  <c r="H12" i="1"/>
  <c r="H11" i="1"/>
  <c r="H10" i="1"/>
  <c r="G13" i="1"/>
  <c r="G12" i="1"/>
  <c r="G11" i="1"/>
  <c r="G10" i="1"/>
  <c r="H9" i="1"/>
  <c r="H8" i="1"/>
  <c r="H7" i="1"/>
  <c r="H6" i="1"/>
  <c r="H5" i="1"/>
  <c r="G9" i="1"/>
  <c r="G8" i="1"/>
  <c r="G7" i="1"/>
  <c r="G6" i="1"/>
  <c r="G5" i="1"/>
  <c r="F39" i="13"/>
  <c r="F35" i="13"/>
  <c r="F31" i="13"/>
  <c r="E39" i="13"/>
  <c r="E35" i="13"/>
  <c r="E31" i="13"/>
  <c r="B22" i="13"/>
  <c r="B35" i="13" s="1"/>
  <c r="B26" i="13"/>
  <c r="B39" i="13" s="1"/>
  <c r="B18" i="13"/>
  <c r="B31" i="13" s="1"/>
  <c r="H4" i="1"/>
  <c r="J3" i="13"/>
  <c r="G3" i="13"/>
  <c r="D3" i="13"/>
  <c r="B6" i="13"/>
  <c r="B7" i="13"/>
  <c r="B8" i="13"/>
  <c r="B9" i="13"/>
  <c r="B10" i="13"/>
  <c r="B11" i="13"/>
  <c r="B12" i="13"/>
  <c r="B5" i="13"/>
  <c r="B4" i="13"/>
  <c r="B3" i="13"/>
  <c r="E40" i="13" l="1"/>
  <c r="E36" i="13"/>
  <c r="E32" i="13"/>
  <c r="D300" i="12"/>
  <c r="D299" i="12"/>
  <c r="D298" i="12"/>
  <c r="D297" i="12"/>
  <c r="D296" i="12"/>
  <c r="D295" i="12"/>
  <c r="D294" i="12"/>
  <c r="D293" i="12"/>
  <c r="D292" i="12"/>
  <c r="D291" i="12"/>
  <c r="D290" i="12"/>
  <c r="D289" i="12"/>
  <c r="D288" i="12"/>
  <c r="D287" i="12"/>
  <c r="D286" i="12"/>
  <c r="D285" i="12"/>
  <c r="D284" i="12"/>
  <c r="D283" i="12"/>
  <c r="D282" i="12"/>
  <c r="D281" i="12"/>
  <c r="D280" i="12"/>
  <c r="D279" i="12"/>
  <c r="D278" i="12"/>
  <c r="D277" i="12"/>
  <c r="D276" i="12"/>
  <c r="D275" i="12"/>
  <c r="D274" i="12"/>
  <c r="D273" i="12"/>
  <c r="D272" i="12"/>
  <c r="D271" i="12"/>
  <c r="D270" i="12"/>
  <c r="D269" i="12"/>
  <c r="D268" i="12"/>
  <c r="D267" i="12"/>
  <c r="D266" i="12"/>
  <c r="D265" i="12"/>
  <c r="D264" i="12"/>
  <c r="D263" i="12"/>
  <c r="D262" i="12"/>
  <c r="D261" i="12"/>
  <c r="D260" i="12"/>
  <c r="D259" i="12"/>
  <c r="D258" i="12"/>
  <c r="D257" i="12"/>
  <c r="D256" i="12"/>
  <c r="D255" i="12"/>
  <c r="D254" i="12"/>
  <c r="D253" i="12"/>
  <c r="D252" i="12"/>
  <c r="D251" i="12"/>
  <c r="D250" i="12"/>
  <c r="D249" i="12"/>
  <c r="D248" i="12"/>
  <c r="D247" i="12"/>
  <c r="D246" i="12"/>
  <c r="D245" i="12"/>
  <c r="D244" i="12"/>
  <c r="D243" i="12"/>
  <c r="D242" i="12"/>
  <c r="D241" i="12"/>
  <c r="D240" i="12"/>
  <c r="D239" i="12"/>
  <c r="D238" i="12"/>
  <c r="D237" i="12"/>
  <c r="D236" i="12"/>
  <c r="D235" i="12"/>
  <c r="D234" i="12"/>
  <c r="D233" i="12"/>
  <c r="D232" i="12"/>
  <c r="D231" i="12"/>
  <c r="D230" i="12"/>
  <c r="D229" i="12"/>
  <c r="D228" i="12"/>
  <c r="D227" i="12"/>
  <c r="D226" i="12"/>
  <c r="D225" i="12"/>
  <c r="D224" i="12"/>
  <c r="D223" i="12"/>
  <c r="D222" i="12"/>
  <c r="D221" i="12"/>
  <c r="D220" i="12"/>
  <c r="D219" i="12"/>
  <c r="D218" i="12"/>
  <c r="D217" i="12"/>
  <c r="D216" i="12"/>
  <c r="D215" i="12"/>
  <c r="D214" i="12"/>
  <c r="D213" i="12"/>
  <c r="D212" i="12"/>
  <c r="D211" i="12"/>
  <c r="D210" i="12"/>
  <c r="D209" i="12"/>
  <c r="D208" i="12"/>
  <c r="D207" i="12"/>
  <c r="D206" i="12"/>
  <c r="D205" i="12"/>
  <c r="D204" i="12"/>
  <c r="D203" i="12"/>
  <c r="D202" i="12"/>
  <c r="D201" i="12"/>
  <c r="D200" i="12"/>
  <c r="D199" i="12"/>
  <c r="D198" i="12"/>
  <c r="D197" i="12"/>
  <c r="D196" i="12"/>
  <c r="D195" i="12"/>
  <c r="D194" i="12"/>
  <c r="D193" i="12"/>
  <c r="D192" i="12"/>
  <c r="D191" i="12"/>
  <c r="D190" i="12"/>
  <c r="D189" i="12"/>
  <c r="D188" i="12"/>
  <c r="D187" i="12"/>
  <c r="D186" i="12"/>
  <c r="D185" i="12"/>
  <c r="D184" i="12"/>
  <c r="D183" i="12"/>
  <c r="D182" i="12"/>
  <c r="D181" i="12"/>
  <c r="D180" i="12"/>
  <c r="D179" i="12"/>
  <c r="D178" i="12"/>
  <c r="D177" i="12"/>
  <c r="D176" i="12"/>
  <c r="D175" i="12"/>
  <c r="D174" i="12"/>
  <c r="D173" i="12"/>
  <c r="D172" i="12"/>
  <c r="D171" i="12"/>
  <c r="D170" i="12"/>
  <c r="D169" i="12"/>
  <c r="D168" i="12"/>
  <c r="D167" i="12"/>
  <c r="D166" i="12"/>
  <c r="D165" i="12"/>
  <c r="D164" i="12"/>
  <c r="D163" i="12"/>
  <c r="D162" i="12"/>
  <c r="D161" i="12"/>
  <c r="D160" i="12"/>
  <c r="D159" i="12"/>
  <c r="D158" i="12"/>
  <c r="D157" i="12"/>
  <c r="D156" i="12"/>
  <c r="D155" i="12"/>
  <c r="D154" i="12"/>
  <c r="D153" i="12"/>
  <c r="D152" i="12"/>
  <c r="D151" i="12"/>
  <c r="D150" i="12"/>
  <c r="D149" i="12"/>
  <c r="D148" i="12"/>
  <c r="D147" i="12"/>
  <c r="D146" i="12"/>
  <c r="D145" i="12"/>
  <c r="D144" i="12"/>
  <c r="D143" i="12"/>
  <c r="D142" i="12"/>
  <c r="D141" i="12"/>
  <c r="D140" i="12"/>
  <c r="D139" i="12"/>
  <c r="D138" i="12"/>
  <c r="D137" i="12"/>
  <c r="D136" i="12"/>
  <c r="D135" i="12"/>
  <c r="D134" i="12"/>
  <c r="D133" i="12"/>
  <c r="D132" i="12"/>
  <c r="D131" i="12"/>
  <c r="D130" i="12"/>
  <c r="D129" i="12"/>
  <c r="D128" i="12"/>
  <c r="D127" i="12"/>
  <c r="D126" i="12"/>
  <c r="D125" i="12"/>
  <c r="D124" i="12"/>
  <c r="D123" i="12"/>
  <c r="D122" i="12"/>
  <c r="D121" i="12"/>
  <c r="D120" i="12"/>
  <c r="D119" i="12"/>
  <c r="D118" i="12"/>
  <c r="D117" i="12"/>
  <c r="D116" i="12"/>
  <c r="D115" i="12"/>
  <c r="D114" i="12"/>
  <c r="D113" i="12"/>
  <c r="D112" i="12"/>
  <c r="D111" i="12"/>
  <c r="D110" i="12"/>
  <c r="D109" i="12"/>
  <c r="D108" i="12"/>
  <c r="D107" i="12"/>
  <c r="D106" i="12"/>
  <c r="D105" i="12"/>
  <c r="D104" i="12"/>
  <c r="D103" i="12"/>
  <c r="D102" i="12"/>
  <c r="D101" i="12"/>
  <c r="D100" i="12"/>
  <c r="D99" i="12"/>
  <c r="D98" i="12"/>
  <c r="D97" i="12"/>
  <c r="D96" i="12"/>
  <c r="D95" i="12"/>
  <c r="D94" i="12"/>
  <c r="D93" i="12"/>
  <c r="D92" i="12"/>
  <c r="D91" i="12"/>
  <c r="D90" i="12"/>
  <c r="D89" i="12"/>
  <c r="D88" i="12"/>
  <c r="D87" i="12"/>
  <c r="D86" i="12"/>
  <c r="D85" i="12"/>
  <c r="D84" i="12"/>
  <c r="D83" i="12"/>
  <c r="D82" i="12"/>
  <c r="D81" i="12"/>
  <c r="D80" i="12"/>
  <c r="D79" i="12"/>
  <c r="D78" i="12"/>
  <c r="D77" i="12"/>
  <c r="D76" i="12"/>
  <c r="D75" i="12"/>
  <c r="D74" i="12"/>
  <c r="D73" i="12"/>
  <c r="D72" i="12"/>
  <c r="D71" i="12"/>
  <c r="D70" i="12"/>
  <c r="D69" i="12"/>
  <c r="D68" i="12"/>
  <c r="D67" i="12"/>
  <c r="D66" i="12"/>
  <c r="D65" i="12"/>
  <c r="D64" i="12"/>
  <c r="D63" i="12"/>
  <c r="D62" i="12"/>
  <c r="D61" i="12"/>
  <c r="D60" i="12"/>
  <c r="D59" i="12"/>
  <c r="D58" i="12"/>
  <c r="D57" i="12"/>
  <c r="D56" i="12"/>
  <c r="D55" i="12"/>
  <c r="D54" i="12"/>
  <c r="D53" i="12"/>
  <c r="D52" i="12"/>
  <c r="D51" i="12"/>
  <c r="D50" i="12"/>
  <c r="D49" i="12"/>
  <c r="D48" i="12"/>
  <c r="D47" i="12"/>
  <c r="D45" i="12"/>
  <c r="D46" i="12"/>
  <c r="D44" i="12"/>
  <c r="D43" i="12"/>
  <c r="D42" i="12"/>
  <c r="D41" i="12"/>
  <c r="D40" i="12"/>
  <c r="D39" i="12"/>
  <c r="D38" i="12"/>
  <c r="D37" i="12"/>
  <c r="D36" i="12"/>
  <c r="D35" i="12"/>
  <c r="D34" i="12"/>
  <c r="D33" i="12"/>
  <c r="D32" i="12"/>
  <c r="D31" i="12"/>
  <c r="D30" i="12"/>
  <c r="D29" i="12"/>
  <c r="D28" i="12"/>
  <c r="D27" i="12"/>
  <c r="D26" i="12"/>
  <c r="D25" i="12"/>
  <c r="D24" i="12"/>
  <c r="D23" i="12"/>
  <c r="D22" i="12"/>
  <c r="D21" i="12"/>
  <c r="D20" i="12"/>
  <c r="D19" i="12"/>
  <c r="D18" i="12"/>
  <c r="D17" i="12"/>
  <c r="D16" i="12"/>
  <c r="D15" i="12"/>
  <c r="D14" i="12"/>
  <c r="D13" i="12"/>
  <c r="D12" i="12"/>
  <c r="D11" i="12"/>
  <c r="D10" i="12"/>
  <c r="D9" i="12"/>
  <c r="D8" i="12"/>
  <c r="D7" i="12"/>
  <c r="D6" i="12"/>
  <c r="D5" i="12"/>
  <c r="C300" i="12"/>
  <c r="C299" i="12"/>
  <c r="C298" i="12"/>
  <c r="C297" i="12"/>
  <c r="C296" i="12"/>
  <c r="C295" i="12"/>
  <c r="C294" i="12"/>
  <c r="C293" i="12"/>
  <c r="C292" i="12"/>
  <c r="C291" i="12"/>
  <c r="C290" i="12"/>
  <c r="C289" i="12"/>
  <c r="C288" i="12"/>
  <c r="C287" i="12"/>
  <c r="C286" i="12"/>
  <c r="C285" i="12"/>
  <c r="C284" i="12"/>
  <c r="C283" i="12"/>
  <c r="C282" i="12"/>
  <c r="C281" i="12"/>
  <c r="C280" i="12"/>
  <c r="C279" i="12"/>
  <c r="C278" i="12"/>
  <c r="C277" i="12"/>
  <c r="C276" i="12"/>
  <c r="C275" i="12"/>
  <c r="C274" i="12"/>
  <c r="C273" i="12"/>
  <c r="C272" i="12"/>
  <c r="C271" i="12"/>
  <c r="C270" i="12"/>
  <c r="C269" i="12"/>
  <c r="C268" i="12"/>
  <c r="C267" i="12"/>
  <c r="C266" i="12"/>
  <c r="C265" i="12"/>
  <c r="C264" i="12"/>
  <c r="C263" i="12"/>
  <c r="C262" i="12"/>
  <c r="C261" i="12"/>
  <c r="C260" i="12"/>
  <c r="C259" i="12"/>
  <c r="C258" i="12"/>
  <c r="C257" i="12"/>
  <c r="C256" i="12"/>
  <c r="C255" i="12"/>
  <c r="C254" i="12"/>
  <c r="C253" i="12"/>
  <c r="C252" i="12"/>
  <c r="C251" i="12"/>
  <c r="C250" i="12"/>
  <c r="C249" i="12"/>
  <c r="C248" i="12"/>
  <c r="C247" i="12"/>
  <c r="C246" i="12"/>
  <c r="C245" i="12"/>
  <c r="C244" i="12"/>
  <c r="C243" i="12"/>
  <c r="C242" i="12"/>
  <c r="C241" i="12"/>
  <c r="C240" i="12"/>
  <c r="C239" i="12"/>
  <c r="C238" i="12"/>
  <c r="C237" i="12"/>
  <c r="C236" i="12"/>
  <c r="C235" i="12"/>
  <c r="C234" i="12"/>
  <c r="C233" i="12"/>
  <c r="C232" i="12"/>
  <c r="C231" i="12"/>
  <c r="C230" i="12"/>
  <c r="C229" i="12"/>
  <c r="C228" i="12"/>
  <c r="C227" i="12"/>
  <c r="C226" i="12"/>
  <c r="C225" i="12"/>
  <c r="C224" i="12"/>
  <c r="C223" i="12"/>
  <c r="C222" i="12"/>
  <c r="C221" i="12"/>
  <c r="C220" i="12"/>
  <c r="C219" i="12"/>
  <c r="C218" i="12"/>
  <c r="C217" i="12"/>
  <c r="C216" i="12"/>
  <c r="C215" i="12"/>
  <c r="C214" i="12"/>
  <c r="C213" i="12"/>
  <c r="C212" i="12"/>
  <c r="C211" i="12"/>
  <c r="C210" i="12"/>
  <c r="C209" i="12"/>
  <c r="C208" i="12"/>
  <c r="C207" i="12"/>
  <c r="C206" i="12"/>
  <c r="C205" i="12"/>
  <c r="C204" i="12"/>
  <c r="C203" i="12"/>
  <c r="C202" i="12"/>
  <c r="C201" i="12"/>
  <c r="C200" i="12"/>
  <c r="C199" i="12"/>
  <c r="C198" i="12"/>
  <c r="C197" i="12"/>
  <c r="C196" i="12"/>
  <c r="C195" i="12"/>
  <c r="C194" i="12"/>
  <c r="C193" i="12"/>
  <c r="C192" i="12"/>
  <c r="C191" i="12"/>
  <c r="C190" i="12"/>
  <c r="C189" i="12"/>
  <c r="C188" i="12"/>
  <c r="C187" i="12"/>
  <c r="C186" i="12"/>
  <c r="C185" i="12"/>
  <c r="C184" i="12"/>
  <c r="C183" i="12"/>
  <c r="C182" i="12"/>
  <c r="C181" i="12"/>
  <c r="C180" i="12"/>
  <c r="C179" i="12"/>
  <c r="C178" i="12"/>
  <c r="C177" i="12"/>
  <c r="C176" i="12"/>
  <c r="C175" i="12"/>
  <c r="C174" i="12"/>
  <c r="C173" i="12"/>
  <c r="C172" i="12"/>
  <c r="C171" i="12"/>
  <c r="C170" i="12"/>
  <c r="C169" i="12"/>
  <c r="C168" i="12"/>
  <c r="C167" i="12"/>
  <c r="C166" i="12"/>
  <c r="C165" i="12"/>
  <c r="C164" i="12"/>
  <c r="C163" i="12"/>
  <c r="C162" i="12"/>
  <c r="C161" i="12"/>
  <c r="C160" i="12"/>
  <c r="C159" i="12"/>
  <c r="C158" i="12"/>
  <c r="C157" i="12"/>
  <c r="C156" i="12"/>
  <c r="C155" i="12"/>
  <c r="C154" i="12"/>
  <c r="C153" i="12"/>
  <c r="C152" i="12"/>
  <c r="C151" i="12"/>
  <c r="C150" i="12"/>
  <c r="C149" i="12"/>
  <c r="C148" i="12"/>
  <c r="C147" i="12"/>
  <c r="C146" i="12"/>
  <c r="C145" i="12"/>
  <c r="C144" i="12"/>
  <c r="C143" i="12"/>
  <c r="C142" i="12"/>
  <c r="C141" i="12"/>
  <c r="C140" i="12"/>
  <c r="C139" i="12"/>
  <c r="C138" i="12"/>
  <c r="C137" i="12"/>
  <c r="C136" i="12"/>
  <c r="C135" i="12"/>
  <c r="C134" i="12"/>
  <c r="C133" i="12"/>
  <c r="C132" i="12"/>
  <c r="C131" i="12"/>
  <c r="C130" i="12"/>
  <c r="C129" i="12"/>
  <c r="C128" i="12"/>
  <c r="C127" i="12"/>
  <c r="C126" i="12"/>
  <c r="C125" i="12"/>
  <c r="C124" i="12"/>
  <c r="C123" i="12"/>
  <c r="C122" i="12"/>
  <c r="C121" i="12"/>
  <c r="C120" i="12"/>
  <c r="C119" i="12"/>
  <c r="C118" i="12"/>
  <c r="C117" i="12"/>
  <c r="C116" i="12"/>
  <c r="C115" i="12"/>
  <c r="C114" i="12"/>
  <c r="C113" i="12"/>
  <c r="C112" i="12"/>
  <c r="C111" i="12"/>
  <c r="C110" i="12"/>
  <c r="C109" i="12"/>
  <c r="C108" i="12"/>
  <c r="C107" i="12"/>
  <c r="C106" i="12"/>
  <c r="C105" i="12"/>
  <c r="C104" i="12"/>
  <c r="C103" i="12"/>
  <c r="C102" i="12"/>
  <c r="C101" i="12"/>
  <c r="C100" i="12"/>
  <c r="C99" i="12"/>
  <c r="C98" i="12"/>
  <c r="C97" i="12"/>
  <c r="C96" i="12"/>
  <c r="C95" i="12"/>
  <c r="C94" i="12"/>
  <c r="C93" i="12"/>
  <c r="C92" i="12"/>
  <c r="C91" i="12"/>
  <c r="C90" i="12"/>
  <c r="C89" i="12"/>
  <c r="C88" i="12"/>
  <c r="C87" i="12"/>
  <c r="C86" i="12"/>
  <c r="C85" i="12"/>
  <c r="C84" i="12"/>
  <c r="C83" i="12"/>
  <c r="C82" i="12"/>
  <c r="C81" i="12"/>
  <c r="C80" i="12"/>
  <c r="C79" i="12"/>
  <c r="C78" i="12"/>
  <c r="C77" i="12"/>
  <c r="C76" i="12"/>
  <c r="C75" i="12"/>
  <c r="C74" i="12"/>
  <c r="C73" i="12"/>
  <c r="C72" i="12"/>
  <c r="C71" i="12"/>
  <c r="C70" i="12"/>
  <c r="C69" i="12"/>
  <c r="C68" i="12"/>
  <c r="C67" i="12"/>
  <c r="C66" i="12"/>
  <c r="C65" i="12"/>
  <c r="C64" i="12"/>
  <c r="C63" i="12"/>
  <c r="C62" i="12"/>
  <c r="C61" i="12"/>
  <c r="C60" i="12"/>
  <c r="C59" i="12"/>
  <c r="C58" i="12"/>
  <c r="C57" i="12"/>
  <c r="C56" i="12"/>
  <c r="C55" i="12"/>
  <c r="C54" i="12"/>
  <c r="C53" i="12"/>
  <c r="C52" i="12"/>
  <c r="C51" i="12"/>
  <c r="C50" i="12"/>
  <c r="C49" i="12"/>
  <c r="C48" i="12"/>
  <c r="C47" i="12"/>
  <c r="C45" i="12"/>
  <c r="C46" i="12"/>
  <c r="C44" i="12"/>
  <c r="C43" i="12"/>
  <c r="C42" i="12"/>
  <c r="C41" i="12"/>
  <c r="C40" i="12"/>
  <c r="C39" i="12"/>
  <c r="C38" i="12"/>
  <c r="C37" i="12"/>
  <c r="C36" i="12"/>
  <c r="C35" i="12"/>
  <c r="C34" i="12"/>
  <c r="C33" i="12"/>
  <c r="C32" i="12"/>
  <c r="C31" i="12"/>
  <c r="C30" i="12"/>
  <c r="C29" i="12"/>
  <c r="C28" i="12"/>
  <c r="C27" i="12"/>
  <c r="C26" i="12"/>
  <c r="C25" i="12"/>
  <c r="C24" i="12"/>
  <c r="C23" i="12"/>
  <c r="C22" i="12"/>
  <c r="C21" i="12"/>
  <c r="C20" i="12"/>
  <c r="C19" i="12"/>
  <c r="C18" i="12"/>
  <c r="C17" i="12"/>
  <c r="C16" i="12"/>
  <c r="C15" i="12"/>
  <c r="C14" i="12"/>
  <c r="C13" i="12"/>
  <c r="C12" i="12"/>
  <c r="C11" i="12"/>
  <c r="C10" i="12"/>
  <c r="C9" i="12"/>
  <c r="C8" i="12"/>
  <c r="C7" i="12"/>
  <c r="C6" i="12"/>
  <c r="C5" i="12"/>
  <c r="E301" i="12"/>
  <c r="E302" i="12"/>
  <c r="E303" i="12"/>
  <c r="E304" i="12"/>
  <c r="E305" i="12"/>
  <c r="E306" i="12"/>
  <c r="E307" i="12"/>
  <c r="E308" i="12"/>
  <c r="E309" i="12"/>
  <c r="E310" i="12"/>
  <c r="E311" i="12"/>
  <c r="E312" i="12"/>
  <c r="E313" i="12"/>
  <c r="E314" i="12"/>
  <c r="E315" i="12"/>
  <c r="E316" i="12"/>
  <c r="E317" i="12"/>
  <c r="E318" i="12"/>
  <c r="E319" i="12"/>
  <c r="E320" i="12"/>
  <c r="E321" i="12"/>
  <c r="E322" i="12"/>
  <c r="E323" i="12"/>
  <c r="E324" i="12"/>
  <c r="E325" i="12"/>
  <c r="E326" i="12"/>
  <c r="E327" i="12"/>
  <c r="E328" i="12"/>
  <c r="E329" i="12"/>
  <c r="E330" i="12"/>
  <c r="E331" i="12"/>
  <c r="E332" i="12"/>
  <c r="E333" i="12"/>
  <c r="E334" i="12"/>
  <c r="E335" i="12"/>
  <c r="E336" i="12"/>
  <c r="E337" i="12"/>
  <c r="E338" i="12"/>
  <c r="E339" i="12"/>
  <c r="E340" i="12"/>
  <c r="E341" i="12"/>
  <c r="E342" i="12"/>
  <c r="E343" i="12"/>
  <c r="E344" i="12"/>
  <c r="E345" i="12"/>
  <c r="E346" i="12"/>
  <c r="E347" i="12"/>
  <c r="E348" i="12"/>
  <c r="E349" i="12"/>
  <c r="E350" i="12"/>
  <c r="E351" i="12"/>
  <c r="E352" i="12"/>
  <c r="E353" i="12"/>
  <c r="E354" i="12"/>
  <c r="E355" i="12"/>
  <c r="E356" i="12"/>
  <c r="E357" i="12"/>
  <c r="E358" i="12"/>
  <c r="E359" i="12"/>
  <c r="E360" i="12"/>
  <c r="E361" i="12"/>
  <c r="E362" i="12"/>
  <c r="E363" i="12"/>
  <c r="E364" i="12"/>
  <c r="E365" i="12"/>
  <c r="E366" i="12"/>
  <c r="E367" i="12"/>
  <c r="E368" i="12"/>
  <c r="E369" i="12"/>
  <c r="E370" i="12"/>
  <c r="E371" i="12"/>
  <c r="E372" i="12"/>
  <c r="E373" i="12"/>
  <c r="E374" i="12"/>
  <c r="E375" i="12"/>
  <c r="E376" i="12"/>
  <c r="E377" i="12"/>
  <c r="E378" i="12"/>
  <c r="E379" i="12"/>
  <c r="E380" i="12"/>
  <c r="E381" i="12"/>
  <c r="E382" i="12"/>
  <c r="E383" i="12"/>
  <c r="E384" i="12"/>
  <c r="E385" i="12"/>
  <c r="E386" i="12"/>
  <c r="E387" i="12"/>
  <c r="E388" i="12"/>
  <c r="E389" i="12"/>
  <c r="E390" i="12"/>
  <c r="E391" i="12"/>
  <c r="E392" i="12"/>
  <c r="E393" i="12"/>
  <c r="E394" i="12"/>
  <c r="E395" i="12"/>
  <c r="E396" i="12"/>
  <c r="E397" i="12"/>
  <c r="E398" i="12"/>
  <c r="E399" i="12"/>
  <c r="E400" i="12"/>
  <c r="E401" i="12"/>
  <c r="E402" i="12"/>
  <c r="E403" i="12"/>
  <c r="E404" i="12"/>
  <c r="E405" i="12"/>
  <c r="E406" i="12"/>
  <c r="E407" i="12"/>
  <c r="E408" i="12"/>
  <c r="E409" i="12"/>
  <c r="E410" i="12"/>
  <c r="E411" i="12"/>
  <c r="E412" i="12"/>
  <c r="E413" i="12"/>
  <c r="E414" i="12"/>
  <c r="E415" i="12"/>
  <c r="E416" i="12"/>
  <c r="E417" i="12"/>
  <c r="E418" i="12"/>
  <c r="E419" i="12"/>
  <c r="E420" i="12"/>
  <c r="E421" i="12"/>
  <c r="E422" i="12"/>
  <c r="E423" i="12"/>
  <c r="E424" i="12"/>
  <c r="E425" i="12"/>
  <c r="E426" i="12"/>
  <c r="E427" i="12"/>
  <c r="E428" i="12"/>
  <c r="E429" i="12"/>
  <c r="E430" i="12"/>
  <c r="E431" i="12"/>
  <c r="E432" i="12"/>
  <c r="E433" i="12"/>
  <c r="E434" i="12"/>
  <c r="E435" i="12"/>
  <c r="E436" i="12"/>
  <c r="E437" i="12"/>
  <c r="E438" i="12"/>
  <c r="E439" i="12"/>
  <c r="E440" i="12"/>
  <c r="E441" i="12"/>
  <c r="E442" i="12"/>
  <c r="E443" i="12"/>
  <c r="E444" i="12"/>
  <c r="E445" i="12"/>
  <c r="E446" i="12"/>
  <c r="E447" i="12"/>
  <c r="E448" i="12"/>
  <c r="E449" i="12"/>
  <c r="E450" i="12"/>
  <c r="E451" i="12"/>
  <c r="E452" i="12"/>
  <c r="E453" i="12"/>
  <c r="E454" i="12"/>
  <c r="E455" i="12"/>
  <c r="E456" i="12"/>
  <c r="E457" i="12"/>
  <c r="E458" i="12"/>
  <c r="E459" i="12"/>
  <c r="E460" i="12"/>
  <c r="E461" i="12"/>
  <c r="E462" i="12"/>
  <c r="E463" i="12"/>
  <c r="E464" i="12"/>
  <c r="E465" i="12"/>
  <c r="E466" i="12"/>
  <c r="E467" i="12"/>
  <c r="E468" i="12"/>
  <c r="E469" i="12"/>
  <c r="E470" i="12"/>
  <c r="E471" i="12"/>
  <c r="E472" i="12"/>
  <c r="E473" i="12"/>
  <c r="E474" i="12"/>
  <c r="E475" i="12"/>
  <c r="E476" i="12"/>
  <c r="E477" i="12"/>
  <c r="E478" i="12"/>
  <c r="E479" i="12"/>
  <c r="E480" i="12"/>
  <c r="E481" i="12"/>
  <c r="E482" i="12"/>
  <c r="E483" i="12"/>
  <c r="E484" i="12"/>
  <c r="E485" i="12"/>
  <c r="E486" i="12"/>
  <c r="E487" i="12"/>
  <c r="E488" i="12"/>
  <c r="E489" i="12"/>
  <c r="E490" i="12"/>
  <c r="E491" i="12"/>
  <c r="E492" i="12"/>
  <c r="E493" i="12"/>
  <c r="E494" i="12"/>
  <c r="E495" i="12"/>
  <c r="E496" i="12"/>
  <c r="E497" i="12"/>
  <c r="E498" i="12"/>
  <c r="E499" i="12"/>
  <c r="E500" i="12"/>
  <c r="E501" i="12"/>
  <c r="E502" i="12"/>
  <c r="E503" i="12"/>
  <c r="E504" i="12"/>
  <c r="E505" i="12"/>
  <c r="E506" i="12"/>
  <c r="E507" i="12"/>
  <c r="E508" i="12"/>
  <c r="E509" i="12"/>
  <c r="E510" i="12"/>
  <c r="E511" i="12"/>
  <c r="E512" i="12"/>
  <c r="E513" i="12"/>
  <c r="E514" i="12"/>
  <c r="E515" i="12"/>
  <c r="E516" i="12"/>
  <c r="E517" i="12"/>
  <c r="E518" i="12"/>
  <c r="E519" i="12"/>
  <c r="E520" i="12"/>
  <c r="E521" i="12"/>
  <c r="E522" i="12"/>
  <c r="E523" i="12"/>
  <c r="E524" i="12"/>
  <c r="E525" i="12"/>
  <c r="E526" i="12"/>
  <c r="E527" i="12"/>
  <c r="E528" i="12"/>
  <c r="E529" i="12"/>
  <c r="E530" i="12"/>
  <c r="E531" i="12"/>
  <c r="E532" i="12"/>
  <c r="E533" i="12"/>
  <c r="E534" i="12"/>
  <c r="E535" i="12"/>
  <c r="E536" i="12"/>
  <c r="E537" i="12"/>
  <c r="E538" i="12"/>
  <c r="E539" i="12"/>
  <c r="E540" i="12"/>
  <c r="E541" i="12"/>
  <c r="E542" i="12"/>
  <c r="E543" i="12"/>
  <c r="E544" i="12"/>
  <c r="E545" i="12"/>
  <c r="E546" i="12"/>
  <c r="E547" i="12"/>
  <c r="E548" i="12"/>
  <c r="E549" i="12"/>
  <c r="E550" i="12"/>
  <c r="E551" i="12"/>
  <c r="E552" i="12"/>
  <c r="E553" i="12"/>
  <c r="E554" i="12"/>
  <c r="E555" i="12"/>
  <c r="E556" i="12"/>
  <c r="E557" i="12"/>
  <c r="E558" i="12"/>
  <c r="E559" i="12"/>
  <c r="E560" i="12"/>
  <c r="E561" i="12"/>
  <c r="E562" i="12"/>
  <c r="E563" i="12"/>
  <c r="E564" i="12"/>
  <c r="E565" i="12"/>
  <c r="E566" i="12"/>
  <c r="E567" i="12"/>
  <c r="E568" i="12"/>
  <c r="E569" i="12"/>
  <c r="E570" i="12"/>
  <c r="E571" i="12"/>
  <c r="E572" i="12"/>
  <c r="E573" i="12"/>
  <c r="E574" i="12"/>
  <c r="E575" i="12"/>
  <c r="E576" i="12"/>
  <c r="E577" i="12"/>
  <c r="E578" i="12"/>
  <c r="E579" i="12"/>
  <c r="E580" i="12"/>
  <c r="E581" i="12"/>
  <c r="E582" i="12"/>
  <c r="E583" i="12"/>
  <c r="E584" i="12"/>
  <c r="E585" i="12"/>
  <c r="E586" i="12"/>
  <c r="E587" i="12"/>
  <c r="E588" i="12"/>
  <c r="E589" i="12"/>
  <c r="E590" i="12"/>
  <c r="E591" i="12"/>
  <c r="E592" i="12"/>
  <c r="E593" i="12"/>
  <c r="E594" i="12"/>
  <c r="E595" i="12"/>
  <c r="E596" i="12"/>
  <c r="E597" i="12"/>
  <c r="E598" i="12"/>
  <c r="E599" i="12"/>
  <c r="E600" i="12"/>
  <c r="E601" i="12"/>
  <c r="E602" i="12"/>
  <c r="E603" i="12"/>
  <c r="E604" i="12"/>
  <c r="E605" i="12"/>
  <c r="E606" i="12"/>
  <c r="E607" i="12"/>
  <c r="E608" i="12"/>
  <c r="E609" i="12"/>
  <c r="E610" i="12"/>
  <c r="E611" i="12"/>
  <c r="E612" i="12"/>
  <c r="E613" i="12"/>
  <c r="E614" i="12"/>
  <c r="E615" i="12"/>
  <c r="E616" i="12"/>
  <c r="E617" i="12"/>
  <c r="E618" i="12"/>
  <c r="E619" i="12"/>
  <c r="E620" i="12"/>
  <c r="E621" i="12"/>
  <c r="E622" i="12"/>
  <c r="E623" i="12"/>
  <c r="E624" i="12"/>
  <c r="E625" i="12"/>
  <c r="E626" i="12"/>
  <c r="E627" i="12"/>
  <c r="E628" i="12"/>
  <c r="E629" i="12"/>
  <c r="E630" i="12"/>
  <c r="E631" i="12"/>
  <c r="E632" i="12"/>
  <c r="E633" i="12"/>
  <c r="E634" i="12"/>
  <c r="E635" i="12"/>
  <c r="E636" i="12"/>
  <c r="E637" i="12"/>
  <c r="E638" i="12"/>
  <c r="E639" i="12"/>
  <c r="E640" i="12"/>
  <c r="E641" i="12"/>
  <c r="E642" i="12"/>
  <c r="E643" i="12"/>
  <c r="E644" i="12"/>
  <c r="E645" i="12"/>
  <c r="E646" i="12"/>
  <c r="E647" i="12"/>
  <c r="E648" i="12"/>
  <c r="E649" i="12"/>
  <c r="E650" i="12"/>
  <c r="E651" i="12"/>
  <c r="E652" i="12"/>
  <c r="E653" i="12"/>
  <c r="E654" i="12"/>
  <c r="E655" i="12"/>
  <c r="E656" i="12"/>
  <c r="E657" i="12"/>
  <c r="E658" i="12"/>
  <c r="E659" i="12"/>
  <c r="E660" i="12"/>
  <c r="E661" i="12"/>
  <c r="E662" i="12"/>
  <c r="E663" i="12"/>
  <c r="E664" i="12"/>
  <c r="E665" i="12"/>
  <c r="E666" i="12"/>
  <c r="E667" i="12"/>
  <c r="E668" i="12"/>
  <c r="E669" i="12"/>
  <c r="E670" i="12"/>
  <c r="E671" i="12"/>
  <c r="E672" i="12"/>
  <c r="E673" i="12"/>
  <c r="E674" i="12"/>
  <c r="E675" i="12"/>
  <c r="E676" i="12"/>
  <c r="E677" i="12"/>
  <c r="E678" i="12"/>
  <c r="E679" i="12"/>
  <c r="E680" i="12"/>
  <c r="E681" i="12"/>
  <c r="E682" i="12"/>
  <c r="E683" i="12"/>
  <c r="E684" i="12"/>
  <c r="E685" i="12"/>
  <c r="E686" i="12"/>
  <c r="E687" i="12"/>
  <c r="E688" i="12"/>
  <c r="E689" i="12"/>
  <c r="E690" i="12"/>
  <c r="E691" i="12"/>
  <c r="E692" i="12"/>
  <c r="E693" i="12"/>
  <c r="E694" i="12"/>
  <c r="E695" i="12"/>
  <c r="E696" i="12"/>
  <c r="E697" i="12"/>
  <c r="E698" i="12"/>
  <c r="E699" i="12"/>
  <c r="E700" i="12"/>
  <c r="E701" i="12"/>
  <c r="E702" i="12"/>
  <c r="E703" i="12"/>
  <c r="E704" i="12"/>
  <c r="E705" i="12"/>
  <c r="E706" i="12"/>
  <c r="E707" i="12"/>
  <c r="E708" i="12"/>
  <c r="E709" i="12"/>
  <c r="E710" i="12"/>
  <c r="E711" i="12"/>
  <c r="E712" i="12"/>
  <c r="E713" i="12"/>
  <c r="E714" i="12"/>
  <c r="E715" i="12"/>
  <c r="E716" i="12"/>
  <c r="E717" i="12"/>
  <c r="E718" i="12"/>
  <c r="E719" i="12"/>
  <c r="E720" i="12"/>
  <c r="E721" i="12"/>
  <c r="E722" i="12"/>
  <c r="E723" i="12"/>
  <c r="E724" i="12"/>
  <c r="E725" i="12"/>
  <c r="E726" i="12"/>
  <c r="E727" i="12"/>
  <c r="E728" i="12"/>
  <c r="E729" i="12"/>
  <c r="E730" i="12"/>
  <c r="E731" i="12"/>
  <c r="E732" i="12"/>
  <c r="E733" i="12"/>
  <c r="E734" i="12"/>
  <c r="E735" i="12"/>
  <c r="E736" i="12"/>
  <c r="E737" i="12"/>
  <c r="E738" i="12"/>
  <c r="E739" i="12"/>
  <c r="E740" i="12"/>
  <c r="E741" i="12"/>
  <c r="E742" i="12"/>
  <c r="E743" i="12"/>
  <c r="E744" i="12"/>
  <c r="E745" i="12"/>
  <c r="E746" i="12"/>
  <c r="E747" i="12"/>
  <c r="E748" i="12"/>
  <c r="E749" i="12"/>
  <c r="E750" i="12"/>
  <c r="E751" i="12"/>
  <c r="E752" i="12"/>
  <c r="E753" i="12"/>
  <c r="E754" i="12"/>
  <c r="E755" i="12"/>
  <c r="E756" i="12"/>
  <c r="E757" i="12"/>
  <c r="E758" i="12"/>
  <c r="E759" i="12"/>
  <c r="E760" i="12"/>
  <c r="E761" i="12"/>
  <c r="E762" i="12"/>
  <c r="E763" i="12"/>
  <c r="E764" i="12"/>
  <c r="E765" i="12"/>
  <c r="E766" i="12"/>
  <c r="E767" i="12"/>
  <c r="E768" i="12"/>
  <c r="E769" i="12"/>
  <c r="E770" i="12"/>
  <c r="E771" i="12"/>
  <c r="E772" i="12"/>
  <c r="E773" i="12"/>
  <c r="E774" i="12"/>
  <c r="E775" i="12"/>
  <c r="E776" i="12"/>
  <c r="E777" i="12"/>
  <c r="E778" i="12"/>
  <c r="E779" i="12"/>
  <c r="E780" i="12"/>
  <c r="E781" i="12"/>
  <c r="E782" i="12"/>
  <c r="E783" i="12"/>
  <c r="E784" i="12"/>
  <c r="E785" i="12"/>
  <c r="E786" i="12"/>
  <c r="E787" i="12"/>
  <c r="E788" i="12"/>
  <c r="E789" i="12"/>
  <c r="E790" i="12"/>
  <c r="E791" i="12"/>
  <c r="E792" i="12"/>
  <c r="E793" i="12"/>
  <c r="E794" i="12"/>
  <c r="E795" i="12"/>
  <c r="E796" i="12"/>
  <c r="E797" i="12"/>
  <c r="E798" i="12"/>
  <c r="E799" i="12"/>
  <c r="E800" i="12"/>
  <c r="E801" i="12"/>
  <c r="E802" i="12"/>
  <c r="E803" i="12"/>
  <c r="E804" i="12"/>
  <c r="E805" i="12"/>
  <c r="E806" i="12"/>
  <c r="E807" i="12"/>
  <c r="E808" i="12"/>
  <c r="E809" i="12"/>
  <c r="E810" i="12"/>
  <c r="E811" i="12"/>
  <c r="E812" i="12"/>
  <c r="E813" i="12"/>
  <c r="E814" i="12"/>
  <c r="E815" i="12"/>
  <c r="E816" i="12"/>
  <c r="E817" i="12"/>
  <c r="E818" i="12"/>
  <c r="E819" i="12"/>
  <c r="E820" i="12"/>
  <c r="E821" i="12"/>
  <c r="E822" i="12"/>
  <c r="E823" i="12"/>
  <c r="E824" i="12"/>
  <c r="E825" i="12"/>
  <c r="E826" i="12"/>
  <c r="E827" i="12"/>
  <c r="E828" i="12"/>
  <c r="E829" i="12"/>
  <c r="E830" i="12"/>
  <c r="E831" i="12"/>
  <c r="E832" i="12"/>
  <c r="E833" i="12"/>
  <c r="E834" i="12"/>
  <c r="E835" i="12"/>
  <c r="E836" i="12"/>
  <c r="E837" i="12"/>
  <c r="E838" i="12"/>
  <c r="E839" i="12"/>
  <c r="E840" i="12"/>
  <c r="E841" i="12"/>
  <c r="E842" i="12"/>
  <c r="E843" i="12"/>
  <c r="E844" i="12"/>
  <c r="E845" i="12"/>
  <c r="E846" i="12"/>
  <c r="E847" i="12"/>
  <c r="E848" i="12"/>
  <c r="E849" i="12"/>
  <c r="E850" i="12"/>
  <c r="E851" i="12"/>
  <c r="E852" i="12"/>
  <c r="E853" i="12"/>
  <c r="E854" i="12"/>
  <c r="E855" i="12"/>
  <c r="E856" i="12"/>
  <c r="E857" i="12"/>
  <c r="E858" i="12"/>
  <c r="E859" i="12"/>
  <c r="E860" i="12"/>
  <c r="E861" i="12"/>
  <c r="E862" i="12"/>
  <c r="E863" i="12"/>
  <c r="E864" i="12"/>
  <c r="E865" i="12"/>
  <c r="E866" i="12"/>
  <c r="E867" i="12"/>
  <c r="E868" i="12"/>
  <c r="E869" i="12"/>
  <c r="E870" i="12"/>
  <c r="E871" i="12"/>
  <c r="E872" i="12"/>
  <c r="E873" i="12"/>
  <c r="E874" i="12"/>
  <c r="E875" i="12"/>
  <c r="E876" i="12"/>
  <c r="E877" i="12"/>
  <c r="E878" i="12"/>
  <c r="E879" i="12"/>
  <c r="E880" i="12"/>
  <c r="E881" i="12"/>
  <c r="E882" i="12"/>
  <c r="E883" i="12"/>
  <c r="E884" i="12"/>
  <c r="E885" i="12"/>
  <c r="E886" i="12"/>
  <c r="E887" i="12"/>
  <c r="E888" i="12"/>
  <c r="E889" i="12"/>
  <c r="E890" i="12"/>
  <c r="E891" i="12"/>
  <c r="E892" i="12"/>
  <c r="E893" i="12"/>
  <c r="E894" i="12"/>
  <c r="E895" i="12"/>
  <c r="E896" i="12"/>
  <c r="E897" i="12"/>
  <c r="E898" i="12"/>
  <c r="E899" i="12"/>
  <c r="E900" i="12"/>
  <c r="E901" i="12"/>
  <c r="E902" i="12"/>
  <c r="E903" i="12"/>
  <c r="E904" i="12"/>
  <c r="E905" i="12"/>
  <c r="E906" i="12"/>
  <c r="E907" i="12"/>
  <c r="E908" i="12"/>
  <c r="E909" i="12"/>
  <c r="E910" i="12"/>
  <c r="E911" i="12"/>
  <c r="E912" i="12"/>
  <c r="E913" i="12"/>
  <c r="E914" i="12"/>
  <c r="E915" i="12"/>
  <c r="E916" i="12"/>
  <c r="E917" i="12"/>
  <c r="E918" i="12"/>
  <c r="E919" i="12"/>
  <c r="E920" i="12"/>
  <c r="E921" i="12"/>
  <c r="E922" i="12"/>
  <c r="E923" i="12"/>
  <c r="E924" i="12"/>
  <c r="E925" i="12"/>
  <c r="E926" i="12"/>
  <c r="E927" i="12"/>
  <c r="E928" i="12"/>
  <c r="E929" i="12"/>
  <c r="E930" i="12"/>
  <c r="E931" i="12"/>
  <c r="E932" i="12"/>
  <c r="E933" i="12"/>
  <c r="E934" i="12"/>
  <c r="E935" i="12"/>
  <c r="E936" i="12"/>
  <c r="E937" i="12"/>
  <c r="E938" i="12"/>
  <c r="E939" i="12"/>
  <c r="E940" i="12"/>
  <c r="E941" i="12"/>
  <c r="E942" i="12"/>
  <c r="E943" i="12"/>
  <c r="E944" i="12"/>
  <c r="E945" i="12"/>
  <c r="E946" i="12"/>
  <c r="E947" i="12"/>
  <c r="E948" i="12"/>
  <c r="E949" i="12"/>
  <c r="E950" i="12"/>
  <c r="E951" i="12"/>
  <c r="E952" i="12"/>
  <c r="E953" i="12"/>
  <c r="E954" i="12"/>
  <c r="E955" i="12"/>
  <c r="E956" i="12"/>
  <c r="E957" i="12"/>
  <c r="E958" i="12"/>
  <c r="E959" i="12"/>
  <c r="E960" i="12"/>
  <c r="E961" i="12"/>
  <c r="E962" i="12"/>
  <c r="E963" i="12"/>
  <c r="E964" i="12"/>
  <c r="E965" i="12"/>
  <c r="E966" i="12"/>
  <c r="E967" i="12"/>
  <c r="E968" i="12"/>
  <c r="E969" i="12"/>
  <c r="E970" i="12"/>
  <c r="E971" i="12"/>
  <c r="E972" i="12"/>
  <c r="E973" i="12"/>
  <c r="E974" i="12"/>
  <c r="E975" i="12"/>
  <c r="E976" i="12"/>
  <c r="E977" i="12"/>
  <c r="E978" i="12"/>
  <c r="E979" i="12"/>
  <c r="E980" i="12"/>
  <c r="E981" i="12"/>
  <c r="E982" i="12"/>
  <c r="E983" i="12"/>
  <c r="E984" i="12"/>
  <c r="E985" i="12"/>
  <c r="E986" i="12"/>
  <c r="E987" i="12"/>
  <c r="E988" i="12"/>
  <c r="E989" i="12"/>
  <c r="E990" i="12"/>
  <c r="E991" i="12"/>
  <c r="E992" i="12"/>
  <c r="E993" i="12"/>
  <c r="E994" i="12"/>
  <c r="E995" i="12"/>
  <c r="E996" i="12"/>
  <c r="E997" i="12"/>
  <c r="E998" i="12"/>
  <c r="E999" i="12"/>
  <c r="E1000" i="12"/>
  <c r="E1001" i="12"/>
  <c r="E1002" i="12"/>
  <c r="E1003" i="12"/>
  <c r="O300" i="12"/>
  <c r="E300" i="12" s="1"/>
  <c r="F300" i="12" s="1"/>
  <c r="O299" i="12"/>
  <c r="E299" i="12" s="1"/>
  <c r="O298" i="12"/>
  <c r="E298" i="12" s="1"/>
  <c r="O297" i="12"/>
  <c r="E297" i="12" s="1"/>
  <c r="O296" i="12"/>
  <c r="E296" i="12" s="1"/>
  <c r="O295" i="12"/>
  <c r="E295" i="12" s="1"/>
  <c r="O294" i="12"/>
  <c r="E294" i="12" s="1"/>
  <c r="O293" i="12"/>
  <c r="E293" i="12" s="1"/>
  <c r="O292" i="12"/>
  <c r="E292" i="12" s="1"/>
  <c r="F292" i="12" s="1"/>
  <c r="O291" i="12"/>
  <c r="E291" i="12" s="1"/>
  <c r="O290" i="12"/>
  <c r="E290" i="12" s="1"/>
  <c r="O289" i="12"/>
  <c r="E289" i="12" s="1"/>
  <c r="O288" i="12"/>
  <c r="E288" i="12" s="1"/>
  <c r="O287" i="12"/>
  <c r="E287" i="12" s="1"/>
  <c r="O286" i="12"/>
  <c r="E286" i="12" s="1"/>
  <c r="O285" i="12"/>
  <c r="E285" i="12" s="1"/>
  <c r="O284" i="12"/>
  <c r="E284" i="12" s="1"/>
  <c r="F284" i="12" s="1"/>
  <c r="O283" i="12"/>
  <c r="E283" i="12" s="1"/>
  <c r="O282" i="12"/>
  <c r="E282" i="12" s="1"/>
  <c r="O281" i="12"/>
  <c r="E281" i="12" s="1"/>
  <c r="O280" i="12"/>
  <c r="E280" i="12" s="1"/>
  <c r="O279" i="12"/>
  <c r="E279" i="12" s="1"/>
  <c r="O278" i="12"/>
  <c r="E278" i="12" s="1"/>
  <c r="O277" i="12"/>
  <c r="E277" i="12" s="1"/>
  <c r="O276" i="12"/>
  <c r="E276" i="12" s="1"/>
  <c r="F276" i="12" s="1"/>
  <c r="O275" i="12"/>
  <c r="E275" i="12" s="1"/>
  <c r="O274" i="12"/>
  <c r="E274" i="12" s="1"/>
  <c r="O273" i="12"/>
  <c r="E273" i="12" s="1"/>
  <c r="O272" i="12"/>
  <c r="E272" i="12" s="1"/>
  <c r="O271" i="12"/>
  <c r="E271" i="12" s="1"/>
  <c r="F271" i="12" s="1"/>
  <c r="O270" i="12"/>
  <c r="E270" i="12" s="1"/>
  <c r="O269" i="12"/>
  <c r="E269" i="12" s="1"/>
  <c r="O268" i="12"/>
  <c r="E268" i="12" s="1"/>
  <c r="F268" i="12" s="1"/>
  <c r="O267" i="12"/>
  <c r="E267" i="12" s="1"/>
  <c r="O266" i="12"/>
  <c r="E266" i="12" s="1"/>
  <c r="O265" i="12"/>
  <c r="E265" i="12" s="1"/>
  <c r="O264" i="12"/>
  <c r="E264" i="12" s="1"/>
  <c r="O263" i="12"/>
  <c r="E263" i="12" s="1"/>
  <c r="O262" i="12"/>
  <c r="E262" i="12" s="1"/>
  <c r="O261" i="12"/>
  <c r="E261" i="12" s="1"/>
  <c r="O260" i="12"/>
  <c r="E260" i="12" s="1"/>
  <c r="F260" i="12" s="1"/>
  <c r="O259" i="12"/>
  <c r="E259" i="12" s="1"/>
  <c r="O258" i="12"/>
  <c r="E258" i="12" s="1"/>
  <c r="O257" i="12"/>
  <c r="E257" i="12" s="1"/>
  <c r="O256" i="12"/>
  <c r="E256" i="12" s="1"/>
  <c r="O255" i="12"/>
  <c r="E255" i="12" s="1"/>
  <c r="O254" i="12"/>
  <c r="E254" i="12" s="1"/>
  <c r="O253" i="12"/>
  <c r="E253" i="12" s="1"/>
  <c r="O252" i="12"/>
  <c r="E252" i="12" s="1"/>
  <c r="F252" i="12" s="1"/>
  <c r="O251" i="12"/>
  <c r="E251" i="12" s="1"/>
  <c r="O250" i="12"/>
  <c r="E250" i="12" s="1"/>
  <c r="O249" i="12"/>
  <c r="E249" i="12" s="1"/>
  <c r="O248" i="12"/>
  <c r="E248" i="12" s="1"/>
  <c r="O247" i="12"/>
  <c r="E247" i="12" s="1"/>
  <c r="O246" i="12"/>
  <c r="E246" i="12" s="1"/>
  <c r="O245" i="12"/>
  <c r="E245" i="12" s="1"/>
  <c r="O244" i="12"/>
  <c r="E244" i="12" s="1"/>
  <c r="F244" i="12" s="1"/>
  <c r="O243" i="12"/>
  <c r="E243" i="12" s="1"/>
  <c r="O242" i="12"/>
  <c r="E242" i="12" s="1"/>
  <c r="O241" i="12"/>
  <c r="E241" i="12" s="1"/>
  <c r="O240" i="12"/>
  <c r="E240" i="12" s="1"/>
  <c r="O239" i="12"/>
  <c r="E239" i="12" s="1"/>
  <c r="F239" i="12" s="1"/>
  <c r="O238" i="12"/>
  <c r="E238" i="12" s="1"/>
  <c r="O237" i="12"/>
  <c r="E237" i="12" s="1"/>
  <c r="O236" i="12"/>
  <c r="E236" i="12" s="1"/>
  <c r="F236" i="12" s="1"/>
  <c r="O235" i="12"/>
  <c r="E235" i="12" s="1"/>
  <c r="O234" i="12"/>
  <c r="E234" i="12" s="1"/>
  <c r="O233" i="12"/>
  <c r="E233" i="12" s="1"/>
  <c r="O232" i="12"/>
  <c r="E232" i="12" s="1"/>
  <c r="O231" i="12"/>
  <c r="E231" i="12" s="1"/>
  <c r="O230" i="12"/>
  <c r="E230" i="12" s="1"/>
  <c r="O229" i="12"/>
  <c r="E229" i="12" s="1"/>
  <c r="O228" i="12"/>
  <c r="E228" i="12" s="1"/>
  <c r="F228" i="12" s="1"/>
  <c r="O227" i="12"/>
  <c r="E227" i="12" s="1"/>
  <c r="O226" i="12"/>
  <c r="E226" i="12" s="1"/>
  <c r="O225" i="12"/>
  <c r="E225" i="12" s="1"/>
  <c r="O224" i="12"/>
  <c r="E224" i="12" s="1"/>
  <c r="O223" i="12"/>
  <c r="E223" i="12" s="1"/>
  <c r="O222" i="12"/>
  <c r="E222" i="12" s="1"/>
  <c r="O221" i="12"/>
  <c r="E221" i="12" s="1"/>
  <c r="O220" i="12"/>
  <c r="E220" i="12" s="1"/>
  <c r="F220" i="12" s="1"/>
  <c r="O219" i="12"/>
  <c r="E219" i="12" s="1"/>
  <c r="O218" i="12"/>
  <c r="E218" i="12" s="1"/>
  <c r="O217" i="12"/>
  <c r="E217" i="12" s="1"/>
  <c r="O216" i="12"/>
  <c r="E216" i="12" s="1"/>
  <c r="O215" i="12"/>
  <c r="E215" i="12" s="1"/>
  <c r="O214" i="12"/>
  <c r="E214" i="12" s="1"/>
  <c r="O213" i="12"/>
  <c r="E213" i="12" s="1"/>
  <c r="O212" i="12"/>
  <c r="E212" i="12" s="1"/>
  <c r="F212" i="12" s="1"/>
  <c r="O211" i="12"/>
  <c r="E211" i="12" s="1"/>
  <c r="O210" i="12"/>
  <c r="E210" i="12" s="1"/>
  <c r="O209" i="12"/>
  <c r="E209" i="12" s="1"/>
  <c r="O208" i="12"/>
  <c r="E208" i="12" s="1"/>
  <c r="O207" i="12"/>
  <c r="E207" i="12" s="1"/>
  <c r="F207" i="12" s="1"/>
  <c r="O206" i="12"/>
  <c r="E206" i="12" s="1"/>
  <c r="O205" i="12"/>
  <c r="E205" i="12" s="1"/>
  <c r="O204" i="12"/>
  <c r="E204" i="12" s="1"/>
  <c r="F204" i="12" s="1"/>
  <c r="O203" i="12"/>
  <c r="E203" i="12" s="1"/>
  <c r="O202" i="12"/>
  <c r="E202" i="12" s="1"/>
  <c r="O201" i="12"/>
  <c r="E201" i="12" s="1"/>
  <c r="O200" i="12"/>
  <c r="E200" i="12" s="1"/>
  <c r="O199" i="12"/>
  <c r="E199" i="12" s="1"/>
  <c r="O198" i="12"/>
  <c r="E198" i="12" s="1"/>
  <c r="O197" i="12"/>
  <c r="E197" i="12" s="1"/>
  <c r="O196" i="12"/>
  <c r="E196" i="12" s="1"/>
  <c r="F196" i="12" s="1"/>
  <c r="O195" i="12"/>
  <c r="E195" i="12" s="1"/>
  <c r="O194" i="12"/>
  <c r="E194" i="12" s="1"/>
  <c r="O193" i="12"/>
  <c r="E193" i="12" s="1"/>
  <c r="O192" i="12"/>
  <c r="E192" i="12" s="1"/>
  <c r="O191" i="12"/>
  <c r="E191" i="12" s="1"/>
  <c r="O190" i="12"/>
  <c r="E190" i="12" s="1"/>
  <c r="O189" i="12"/>
  <c r="E189" i="12" s="1"/>
  <c r="O188" i="12"/>
  <c r="E188" i="12" s="1"/>
  <c r="F188" i="12" s="1"/>
  <c r="O187" i="12"/>
  <c r="E187" i="12" s="1"/>
  <c r="O186" i="12"/>
  <c r="E186" i="12" s="1"/>
  <c r="O185" i="12"/>
  <c r="E185" i="12" s="1"/>
  <c r="O184" i="12"/>
  <c r="E184" i="12" s="1"/>
  <c r="O183" i="12"/>
  <c r="E183" i="12" s="1"/>
  <c r="O182" i="12"/>
  <c r="E182" i="12" s="1"/>
  <c r="O181" i="12"/>
  <c r="E181" i="12" s="1"/>
  <c r="O180" i="12"/>
  <c r="E180" i="12" s="1"/>
  <c r="F180" i="12" s="1"/>
  <c r="O179" i="12"/>
  <c r="E179" i="12" s="1"/>
  <c r="O178" i="12"/>
  <c r="E178" i="12" s="1"/>
  <c r="O177" i="12"/>
  <c r="E177" i="12" s="1"/>
  <c r="O176" i="12"/>
  <c r="E176" i="12" s="1"/>
  <c r="O175" i="12"/>
  <c r="E175" i="12" s="1"/>
  <c r="F175" i="12" s="1"/>
  <c r="O174" i="12"/>
  <c r="E174" i="12" s="1"/>
  <c r="O173" i="12"/>
  <c r="E173" i="12" s="1"/>
  <c r="O172" i="12"/>
  <c r="E172" i="12" s="1"/>
  <c r="F172" i="12" s="1"/>
  <c r="O171" i="12"/>
  <c r="E171" i="12" s="1"/>
  <c r="O170" i="12"/>
  <c r="E170" i="12" s="1"/>
  <c r="O169" i="12"/>
  <c r="E169" i="12" s="1"/>
  <c r="O168" i="12"/>
  <c r="E168" i="12" s="1"/>
  <c r="O167" i="12"/>
  <c r="E167" i="12" s="1"/>
  <c r="O166" i="12"/>
  <c r="E166" i="12" s="1"/>
  <c r="O165" i="12"/>
  <c r="E165" i="12" s="1"/>
  <c r="O164" i="12"/>
  <c r="E164" i="12" s="1"/>
  <c r="F164" i="12" s="1"/>
  <c r="O163" i="12"/>
  <c r="E163" i="12" s="1"/>
  <c r="O162" i="12"/>
  <c r="E162" i="12" s="1"/>
  <c r="O161" i="12"/>
  <c r="E161" i="12" s="1"/>
  <c r="O160" i="12"/>
  <c r="E160" i="12" s="1"/>
  <c r="O159" i="12"/>
  <c r="E159" i="12" s="1"/>
  <c r="O158" i="12"/>
  <c r="E158" i="12" s="1"/>
  <c r="O157" i="12"/>
  <c r="E157" i="12" s="1"/>
  <c r="O156" i="12"/>
  <c r="E156" i="12" s="1"/>
  <c r="O155" i="12"/>
  <c r="E155" i="12" s="1"/>
  <c r="O154" i="12"/>
  <c r="E154" i="12" s="1"/>
  <c r="O153" i="12"/>
  <c r="E153" i="12" s="1"/>
  <c r="O152" i="12"/>
  <c r="E152" i="12" s="1"/>
  <c r="O151" i="12"/>
  <c r="E151" i="12" s="1"/>
  <c r="O150" i="12"/>
  <c r="E150" i="12" s="1"/>
  <c r="O149" i="12"/>
  <c r="E149" i="12" s="1"/>
  <c r="O148" i="12"/>
  <c r="E148" i="12" s="1"/>
  <c r="O147" i="12"/>
  <c r="E147" i="12" s="1"/>
  <c r="O146" i="12"/>
  <c r="E146" i="12" s="1"/>
  <c r="O145" i="12"/>
  <c r="E145" i="12" s="1"/>
  <c r="O144" i="12"/>
  <c r="E144" i="12" s="1"/>
  <c r="O143" i="12"/>
  <c r="E143" i="12" s="1"/>
  <c r="O142" i="12"/>
  <c r="E142" i="12" s="1"/>
  <c r="O141" i="12"/>
  <c r="E141" i="12" s="1"/>
  <c r="O140" i="12"/>
  <c r="E140" i="12" s="1"/>
  <c r="O139" i="12"/>
  <c r="E139" i="12" s="1"/>
  <c r="O138" i="12"/>
  <c r="E138" i="12" s="1"/>
  <c r="O137" i="12"/>
  <c r="E137" i="12" s="1"/>
  <c r="O136" i="12"/>
  <c r="E136" i="12" s="1"/>
  <c r="O135" i="12"/>
  <c r="E135" i="12" s="1"/>
  <c r="O134" i="12"/>
  <c r="E134" i="12" s="1"/>
  <c r="O133" i="12"/>
  <c r="E133" i="12" s="1"/>
  <c r="O132" i="12"/>
  <c r="E132" i="12" s="1"/>
  <c r="O131" i="12"/>
  <c r="E131" i="12" s="1"/>
  <c r="O130" i="12"/>
  <c r="E130" i="12" s="1"/>
  <c r="O129" i="12"/>
  <c r="E129" i="12" s="1"/>
  <c r="O128" i="12"/>
  <c r="E128" i="12" s="1"/>
  <c r="O127" i="12"/>
  <c r="E127" i="12" s="1"/>
  <c r="O126" i="12"/>
  <c r="E126" i="12" s="1"/>
  <c r="O125" i="12"/>
  <c r="E125" i="12" s="1"/>
  <c r="O124" i="12"/>
  <c r="E124" i="12" s="1"/>
  <c r="O123" i="12"/>
  <c r="E123" i="12" s="1"/>
  <c r="O122" i="12"/>
  <c r="E122" i="12" s="1"/>
  <c r="O121" i="12"/>
  <c r="E121" i="12" s="1"/>
  <c r="O120" i="12"/>
  <c r="E120" i="12" s="1"/>
  <c r="O119" i="12"/>
  <c r="E119" i="12" s="1"/>
  <c r="O118" i="12"/>
  <c r="E118" i="12" s="1"/>
  <c r="O117" i="12"/>
  <c r="E117" i="12" s="1"/>
  <c r="O116" i="12"/>
  <c r="E116" i="12" s="1"/>
  <c r="O115" i="12"/>
  <c r="E115" i="12" s="1"/>
  <c r="O114" i="12"/>
  <c r="E114" i="12" s="1"/>
  <c r="O113" i="12"/>
  <c r="E113" i="12" s="1"/>
  <c r="O112" i="12"/>
  <c r="E112" i="12" s="1"/>
  <c r="O111" i="12"/>
  <c r="E111" i="12" s="1"/>
  <c r="O110" i="12"/>
  <c r="E110" i="12" s="1"/>
  <c r="O109" i="12"/>
  <c r="E109" i="12" s="1"/>
  <c r="O108" i="12"/>
  <c r="E108" i="12" s="1"/>
  <c r="O107" i="12"/>
  <c r="E107" i="12" s="1"/>
  <c r="O106" i="12"/>
  <c r="E106" i="12" s="1"/>
  <c r="O105" i="12"/>
  <c r="E105" i="12" s="1"/>
  <c r="O104" i="12"/>
  <c r="E104" i="12" s="1"/>
  <c r="O103" i="12"/>
  <c r="E103" i="12" s="1"/>
  <c r="O102" i="12"/>
  <c r="E102" i="12" s="1"/>
  <c r="O101" i="12"/>
  <c r="E101" i="12" s="1"/>
  <c r="O100" i="12"/>
  <c r="E100" i="12" s="1"/>
  <c r="O99" i="12"/>
  <c r="E99" i="12" s="1"/>
  <c r="O98" i="12"/>
  <c r="E98" i="12" s="1"/>
  <c r="O97" i="12"/>
  <c r="E97" i="12" s="1"/>
  <c r="O96" i="12"/>
  <c r="E96" i="12" s="1"/>
  <c r="O95" i="12"/>
  <c r="E95" i="12" s="1"/>
  <c r="O94" i="12"/>
  <c r="E94" i="12" s="1"/>
  <c r="O93" i="12"/>
  <c r="E93" i="12" s="1"/>
  <c r="O92" i="12"/>
  <c r="E92" i="12" s="1"/>
  <c r="O91" i="12"/>
  <c r="E91" i="12" s="1"/>
  <c r="O90" i="12"/>
  <c r="E90" i="12" s="1"/>
  <c r="O89" i="12"/>
  <c r="E89" i="12" s="1"/>
  <c r="O88" i="12"/>
  <c r="E88" i="12" s="1"/>
  <c r="O87" i="12"/>
  <c r="E87" i="12" s="1"/>
  <c r="O86" i="12"/>
  <c r="E86" i="12" s="1"/>
  <c r="O85" i="12"/>
  <c r="E85" i="12" s="1"/>
  <c r="O84" i="12"/>
  <c r="E84" i="12" s="1"/>
  <c r="O83" i="12"/>
  <c r="E83" i="12" s="1"/>
  <c r="O82" i="12"/>
  <c r="E82" i="12" s="1"/>
  <c r="O81" i="12"/>
  <c r="E81" i="12" s="1"/>
  <c r="O80" i="12"/>
  <c r="E80" i="12" s="1"/>
  <c r="O79" i="12"/>
  <c r="E79" i="12" s="1"/>
  <c r="O78" i="12"/>
  <c r="E78" i="12" s="1"/>
  <c r="O77" i="12"/>
  <c r="E77" i="12" s="1"/>
  <c r="O76" i="12"/>
  <c r="E76" i="12" s="1"/>
  <c r="O75" i="12"/>
  <c r="E75" i="12" s="1"/>
  <c r="O74" i="12"/>
  <c r="E74" i="12" s="1"/>
  <c r="O73" i="12"/>
  <c r="E73" i="12" s="1"/>
  <c r="O72" i="12"/>
  <c r="E72" i="12" s="1"/>
  <c r="O71" i="12"/>
  <c r="E71" i="12" s="1"/>
  <c r="O70" i="12"/>
  <c r="E70" i="12" s="1"/>
  <c r="O69" i="12"/>
  <c r="E69" i="12" s="1"/>
  <c r="O68" i="12"/>
  <c r="E68" i="12" s="1"/>
  <c r="O67" i="12"/>
  <c r="E67" i="12" s="1"/>
  <c r="O66" i="12"/>
  <c r="E66" i="12" s="1"/>
  <c r="O65" i="12"/>
  <c r="E65" i="12" s="1"/>
  <c r="O64" i="12"/>
  <c r="E64" i="12" s="1"/>
  <c r="O63" i="12"/>
  <c r="E63" i="12" s="1"/>
  <c r="O62" i="12"/>
  <c r="E62" i="12" s="1"/>
  <c r="O61" i="12"/>
  <c r="E61" i="12" s="1"/>
  <c r="O60" i="12"/>
  <c r="E60" i="12" s="1"/>
  <c r="O59" i="12"/>
  <c r="E59" i="12" s="1"/>
  <c r="O58" i="12"/>
  <c r="E58" i="12" s="1"/>
  <c r="O57" i="12"/>
  <c r="E57" i="12" s="1"/>
  <c r="O56" i="12"/>
  <c r="E56" i="12" s="1"/>
  <c r="O55" i="12"/>
  <c r="E55" i="12" s="1"/>
  <c r="O54" i="12"/>
  <c r="E54" i="12" s="1"/>
  <c r="O53" i="12"/>
  <c r="E53" i="12" s="1"/>
  <c r="O52" i="12"/>
  <c r="E52" i="12" s="1"/>
  <c r="O51" i="12"/>
  <c r="E51" i="12" s="1"/>
  <c r="O50" i="12"/>
  <c r="E50" i="12" s="1"/>
  <c r="O49" i="12"/>
  <c r="E49" i="12" s="1"/>
  <c r="O48" i="12"/>
  <c r="E48" i="12" s="1"/>
  <c r="O47" i="12"/>
  <c r="E47" i="12" s="1"/>
  <c r="O45" i="12"/>
  <c r="E45" i="12" s="1"/>
  <c r="O46" i="12"/>
  <c r="E46" i="12" s="1"/>
  <c r="O44" i="12"/>
  <c r="E44" i="12" s="1"/>
  <c r="O43" i="12"/>
  <c r="E43" i="12" s="1"/>
  <c r="O42" i="12"/>
  <c r="E42" i="12" s="1"/>
  <c r="O41" i="12"/>
  <c r="E41" i="12" s="1"/>
  <c r="O40" i="12"/>
  <c r="E40" i="12" s="1"/>
  <c r="O39" i="12"/>
  <c r="E39" i="12" s="1"/>
  <c r="O38" i="12"/>
  <c r="E38" i="12" s="1"/>
  <c r="O37" i="12"/>
  <c r="E37" i="12" s="1"/>
  <c r="O36" i="12"/>
  <c r="E36" i="12" s="1"/>
  <c r="O35" i="12"/>
  <c r="E35" i="12" s="1"/>
  <c r="O34" i="12"/>
  <c r="E34" i="12" s="1"/>
  <c r="O33" i="12"/>
  <c r="E33" i="12" s="1"/>
  <c r="O32" i="12"/>
  <c r="E32" i="12" s="1"/>
  <c r="O31" i="12"/>
  <c r="E31" i="12" s="1"/>
  <c r="O30" i="12"/>
  <c r="E30" i="12" s="1"/>
  <c r="O29" i="12"/>
  <c r="E29" i="12" s="1"/>
  <c r="O28" i="12"/>
  <c r="E28" i="12" s="1"/>
  <c r="O27" i="12"/>
  <c r="E27" i="12" s="1"/>
  <c r="O26" i="12"/>
  <c r="E26" i="12" s="1"/>
  <c r="O25" i="12"/>
  <c r="E25" i="12" s="1"/>
  <c r="O24" i="12"/>
  <c r="E24" i="12" s="1"/>
  <c r="O23" i="12"/>
  <c r="E23" i="12" s="1"/>
  <c r="O22" i="12"/>
  <c r="E22" i="12" s="1"/>
  <c r="O21" i="12"/>
  <c r="E21" i="12" s="1"/>
  <c r="O20" i="12"/>
  <c r="E20" i="12" s="1"/>
  <c r="O19" i="12"/>
  <c r="E19" i="12" s="1"/>
  <c r="O18" i="12"/>
  <c r="E18" i="12" s="1"/>
  <c r="O17" i="12"/>
  <c r="E17" i="12" s="1"/>
  <c r="O16" i="12"/>
  <c r="E16" i="12" s="1"/>
  <c r="O15" i="12"/>
  <c r="E15" i="12" s="1"/>
  <c r="O14" i="12"/>
  <c r="E14" i="12" s="1"/>
  <c r="O13" i="12"/>
  <c r="E13" i="12" s="1"/>
  <c r="O12" i="12"/>
  <c r="E12" i="12" s="1"/>
  <c r="O11" i="12"/>
  <c r="E11" i="12" s="1"/>
  <c r="O10" i="12"/>
  <c r="E10" i="12" s="1"/>
  <c r="O9" i="12"/>
  <c r="E9" i="12" s="1"/>
  <c r="O8" i="12"/>
  <c r="E8" i="12" s="1"/>
  <c r="O7" i="12"/>
  <c r="E7" i="12" s="1"/>
  <c r="O6" i="12"/>
  <c r="E6" i="12" s="1"/>
  <c r="O5" i="12"/>
  <c r="E5" i="12" s="1"/>
  <c r="F259" i="12" l="1"/>
  <c r="F267" i="12"/>
  <c r="F275" i="12"/>
  <c r="F283" i="12"/>
  <c r="F291" i="12"/>
  <c r="F299" i="12"/>
  <c r="F170" i="12"/>
  <c r="F194" i="12"/>
  <c r="F210" i="12"/>
  <c r="F218" i="12"/>
  <c r="F242" i="12"/>
  <c r="F250" i="12"/>
  <c r="F258" i="12"/>
  <c r="F266" i="12"/>
  <c r="F274" i="12"/>
  <c r="F282" i="12"/>
  <c r="F290" i="12"/>
  <c r="F298" i="12"/>
  <c r="F99" i="12"/>
  <c r="F115" i="12"/>
  <c r="F131" i="12"/>
  <c r="F147" i="12"/>
  <c r="F163" i="12"/>
  <c r="F179" i="12"/>
  <c r="F195" i="12"/>
  <c r="F211" i="12"/>
  <c r="F227" i="12"/>
  <c r="F251" i="12"/>
  <c r="F91" i="12"/>
  <c r="F107" i="12"/>
  <c r="F123" i="12"/>
  <c r="F139" i="12"/>
  <c r="F155" i="12"/>
  <c r="F171" i="12"/>
  <c r="F187" i="12"/>
  <c r="F203" i="12"/>
  <c r="F219" i="12"/>
  <c r="F235" i="12"/>
  <c r="F243" i="12"/>
  <c r="F89" i="12"/>
  <c r="F97" i="12"/>
  <c r="F105" i="12"/>
  <c r="F113" i="12"/>
  <c r="F121" i="12"/>
  <c r="F129" i="12"/>
  <c r="F137" i="12"/>
  <c r="F145" i="12"/>
  <c r="F153" i="12"/>
  <c r="F161" i="12"/>
  <c r="F241" i="12"/>
  <c r="F273" i="12"/>
  <c r="F297" i="12"/>
  <c r="F232" i="12"/>
  <c r="F189" i="12"/>
  <c r="F253" i="12"/>
  <c r="F285" i="12"/>
  <c r="F165" i="12"/>
  <c r="F173" i="12"/>
  <c r="F181" i="12"/>
  <c r="F197" i="12"/>
  <c r="F205" i="12"/>
  <c r="F213" i="12"/>
  <c r="F221" i="12"/>
  <c r="F229" i="12"/>
  <c r="F237" i="12"/>
  <c r="F245" i="12"/>
  <c r="F261" i="12"/>
  <c r="F269" i="12"/>
  <c r="F277" i="12"/>
  <c r="F293" i="12"/>
  <c r="F166" i="12"/>
  <c r="F174" i="12"/>
  <c r="F182" i="12"/>
  <c r="F190" i="12"/>
  <c r="F198" i="12"/>
  <c r="F206" i="12"/>
  <c r="F214" i="12"/>
  <c r="F222" i="12"/>
  <c r="F230" i="12"/>
  <c r="F238" i="12"/>
  <c r="F246" i="12"/>
  <c r="F254" i="12"/>
  <c r="F262" i="12"/>
  <c r="F270" i="12"/>
  <c r="F278" i="12"/>
  <c r="F286" i="12"/>
  <c r="F294" i="12"/>
  <c r="F167" i="12"/>
  <c r="F183" i="12"/>
  <c r="F191" i="12"/>
  <c r="F199" i="12"/>
  <c r="F215" i="12"/>
  <c r="F223" i="12"/>
  <c r="F231" i="12"/>
  <c r="F247" i="12"/>
  <c r="F255" i="12"/>
  <c r="F263" i="12"/>
  <c r="F279" i="12"/>
  <c r="F287" i="12"/>
  <c r="F295" i="12"/>
  <c r="F168" i="12"/>
  <c r="F176" i="12"/>
  <c r="F184" i="12"/>
  <c r="F192" i="12"/>
  <c r="F200" i="12"/>
  <c r="F208" i="12"/>
  <c r="F216" i="12"/>
  <c r="F224" i="12"/>
  <c r="F240" i="12"/>
  <c r="F248" i="12"/>
  <c r="F256" i="12"/>
  <c r="F264" i="12"/>
  <c r="F272" i="12"/>
  <c r="F280" i="12"/>
  <c r="F288" i="12"/>
  <c r="F296" i="12"/>
  <c r="F169" i="12"/>
  <c r="F177" i="12"/>
  <c r="F185" i="12"/>
  <c r="F193" i="12"/>
  <c r="F201" i="12"/>
  <c r="F209" i="12"/>
  <c r="F217" i="12"/>
  <c r="F225" i="12"/>
  <c r="F233" i="12"/>
  <c r="F249" i="12"/>
  <c r="F257" i="12"/>
  <c r="F265" i="12"/>
  <c r="F281" i="12"/>
  <c r="F289" i="12"/>
  <c r="F162" i="12"/>
  <c r="F178" i="12"/>
  <c r="F186" i="12"/>
  <c r="F202" i="12"/>
  <c r="F226" i="12"/>
  <c r="F234" i="12"/>
  <c r="F88" i="12"/>
  <c r="F96" i="12"/>
  <c r="F104" i="12"/>
  <c r="F112" i="12"/>
  <c r="F120" i="12"/>
  <c r="F128" i="12"/>
  <c r="F136" i="12"/>
  <c r="F144" i="12"/>
  <c r="F152" i="12"/>
  <c r="F160" i="12"/>
  <c r="F90" i="12"/>
  <c r="F98" i="12"/>
  <c r="F106" i="12"/>
  <c r="F114" i="12"/>
  <c r="F122" i="12"/>
  <c r="F130" i="12"/>
  <c r="F138" i="12"/>
  <c r="F146" i="12"/>
  <c r="F154" i="12"/>
  <c r="F101" i="12"/>
  <c r="F141" i="12"/>
  <c r="F93" i="12"/>
  <c r="F133" i="12"/>
  <c r="F149" i="12"/>
  <c r="F85" i="12"/>
  <c r="F109" i="12"/>
  <c r="F117" i="12"/>
  <c r="F125" i="12"/>
  <c r="F157" i="12"/>
  <c r="F94" i="12"/>
  <c r="F110" i="12"/>
  <c r="F126" i="12"/>
  <c r="F150" i="12"/>
  <c r="F86" i="12"/>
  <c r="F102" i="12"/>
  <c r="F118" i="12"/>
  <c r="F134" i="12"/>
  <c r="F142" i="12"/>
  <c r="F158" i="12"/>
  <c r="F87" i="12"/>
  <c r="F95" i="12"/>
  <c r="F103" i="12"/>
  <c r="F111" i="12"/>
  <c r="F119" i="12"/>
  <c r="F127" i="12"/>
  <c r="F135" i="12"/>
  <c r="F143" i="12"/>
  <c r="F151" i="12"/>
  <c r="F159" i="12"/>
  <c r="F92" i="12"/>
  <c r="F124" i="12"/>
  <c r="F100" i="12"/>
  <c r="F116" i="12"/>
  <c r="F108" i="12"/>
  <c r="F84" i="12"/>
  <c r="F132" i="12"/>
  <c r="F140" i="12"/>
  <c r="F148" i="12"/>
  <c r="F156" i="12"/>
  <c r="E14" i="1"/>
  <c r="M13" i="13" s="1"/>
  <c r="D14" i="1"/>
  <c r="C14" i="1"/>
  <c r="B14" i="1"/>
  <c r="A14" i="1"/>
  <c r="B13" i="13" s="1"/>
  <c r="F5" i="1" l="1"/>
  <c r="F6" i="1"/>
  <c r="F7" i="1"/>
  <c r="F8" i="1"/>
  <c r="F9" i="1"/>
  <c r="F10" i="1"/>
  <c r="F11" i="1"/>
  <c r="F12" i="1"/>
  <c r="F13" i="1"/>
  <c r="A13" i="2" l="1"/>
  <c r="B13" i="2" s="1"/>
  <c r="G13" i="2" s="1"/>
  <c r="A12" i="2"/>
  <c r="B12" i="2" s="1"/>
  <c r="G12" i="2" s="1"/>
  <c r="A11" i="2"/>
  <c r="B11" i="2" s="1"/>
  <c r="G11" i="2" s="1"/>
  <c r="C7" i="8"/>
  <c r="E18" i="13" s="1"/>
  <c r="C6" i="8"/>
  <c r="C5" i="8"/>
  <c r="E22" i="13" s="1"/>
  <c r="C4" i="8"/>
  <c r="C3" i="8"/>
  <c r="E26" i="13" s="1"/>
  <c r="C2" i="8"/>
  <c r="E11" i="2" l="1"/>
  <c r="I31" i="13" s="1"/>
  <c r="E12" i="2"/>
  <c r="I35" i="13" s="1"/>
  <c r="E13" i="2"/>
  <c r="I39" i="13" s="1"/>
  <c r="L300" i="12"/>
  <c r="M300" i="12" s="1"/>
  <c r="L299" i="12"/>
  <c r="M299" i="12" s="1"/>
  <c r="L298" i="12"/>
  <c r="M298" i="12" s="1"/>
  <c r="L297" i="12"/>
  <c r="M297" i="12" s="1"/>
  <c r="L296" i="12"/>
  <c r="M296" i="12" s="1"/>
  <c r="L295" i="12"/>
  <c r="M295" i="12" s="1"/>
  <c r="L294" i="12"/>
  <c r="M294" i="12" s="1"/>
  <c r="L293" i="12"/>
  <c r="M293" i="12" s="1"/>
  <c r="L292" i="12"/>
  <c r="M292" i="12" s="1"/>
  <c r="L291" i="12"/>
  <c r="M291" i="12" s="1"/>
  <c r="L290" i="12"/>
  <c r="M290" i="12" s="1"/>
  <c r="L289" i="12"/>
  <c r="M289" i="12" s="1"/>
  <c r="L288" i="12"/>
  <c r="M288" i="12" s="1"/>
  <c r="L287" i="12"/>
  <c r="M287" i="12" s="1"/>
  <c r="L286" i="12"/>
  <c r="M286" i="12" s="1"/>
  <c r="L285" i="12"/>
  <c r="M285" i="12" s="1"/>
  <c r="L284" i="12"/>
  <c r="M284" i="12" s="1"/>
  <c r="L283" i="12"/>
  <c r="M283" i="12" s="1"/>
  <c r="L282" i="12"/>
  <c r="M282" i="12" s="1"/>
  <c r="L281" i="12"/>
  <c r="L280" i="12"/>
  <c r="M280" i="12" s="1"/>
  <c r="L279" i="12"/>
  <c r="M279" i="12" s="1"/>
  <c r="L278" i="12"/>
  <c r="M278" i="12" s="1"/>
  <c r="L277" i="12"/>
  <c r="M277" i="12" s="1"/>
  <c r="L276" i="12"/>
  <c r="M276" i="12" s="1"/>
  <c r="L275" i="12"/>
  <c r="M275" i="12" s="1"/>
  <c r="L274" i="12"/>
  <c r="M274" i="12" s="1"/>
  <c r="L273" i="12"/>
  <c r="L272" i="12"/>
  <c r="M272" i="12" s="1"/>
  <c r="L271" i="12"/>
  <c r="M271" i="12" s="1"/>
  <c r="L270" i="12"/>
  <c r="M270" i="12" s="1"/>
  <c r="L269" i="12"/>
  <c r="M269" i="12" s="1"/>
  <c r="L268" i="12"/>
  <c r="M268" i="12" s="1"/>
  <c r="L267" i="12"/>
  <c r="M267" i="12" s="1"/>
  <c r="L266" i="12"/>
  <c r="M266" i="12" s="1"/>
  <c r="L265" i="12"/>
  <c r="M265" i="12" s="1"/>
  <c r="L264" i="12"/>
  <c r="M264" i="12" s="1"/>
  <c r="L263" i="12"/>
  <c r="M263" i="12" s="1"/>
  <c r="L262" i="12"/>
  <c r="M262" i="12" s="1"/>
  <c r="L261" i="12"/>
  <c r="M261" i="12" s="1"/>
  <c r="L260" i="12"/>
  <c r="M260" i="12" s="1"/>
  <c r="L259" i="12"/>
  <c r="M259" i="12" s="1"/>
  <c r="L258" i="12"/>
  <c r="L257" i="12"/>
  <c r="M257" i="12" s="1"/>
  <c r="L256" i="12"/>
  <c r="M256" i="12" s="1"/>
  <c r="L255" i="12"/>
  <c r="M255" i="12" s="1"/>
  <c r="L254" i="12"/>
  <c r="M254" i="12" s="1"/>
  <c r="L253" i="12"/>
  <c r="M253" i="12" s="1"/>
  <c r="L252" i="12"/>
  <c r="M252" i="12" s="1"/>
  <c r="L251" i="12"/>
  <c r="M251" i="12" s="1"/>
  <c r="L250" i="12"/>
  <c r="M250" i="12" s="1"/>
  <c r="L249" i="12"/>
  <c r="M249" i="12" s="1"/>
  <c r="L248" i="12"/>
  <c r="M248" i="12" s="1"/>
  <c r="L247" i="12"/>
  <c r="M247" i="12" s="1"/>
  <c r="L246" i="12"/>
  <c r="M246" i="12" s="1"/>
  <c r="L245" i="12"/>
  <c r="M245" i="12" s="1"/>
  <c r="L244" i="12"/>
  <c r="M244" i="12" s="1"/>
  <c r="L243" i="12"/>
  <c r="M243" i="12" s="1"/>
  <c r="L242" i="12"/>
  <c r="M242" i="12" s="1"/>
  <c r="L241" i="12"/>
  <c r="M241" i="12" s="1"/>
  <c r="L240" i="12"/>
  <c r="M240" i="12" s="1"/>
  <c r="L239" i="12"/>
  <c r="M239" i="12" s="1"/>
  <c r="L238" i="12"/>
  <c r="M238" i="12" s="1"/>
  <c r="L237" i="12"/>
  <c r="M237" i="12" s="1"/>
  <c r="L236" i="12"/>
  <c r="M236" i="12" s="1"/>
  <c r="L235" i="12"/>
  <c r="M235" i="12" s="1"/>
  <c r="L234" i="12"/>
  <c r="L233" i="12"/>
  <c r="M233" i="12" s="1"/>
  <c r="L232" i="12"/>
  <c r="M232" i="12" s="1"/>
  <c r="L231" i="12"/>
  <c r="M231" i="12" s="1"/>
  <c r="L230" i="12"/>
  <c r="M230" i="12" s="1"/>
  <c r="L229" i="12"/>
  <c r="M229" i="12" s="1"/>
  <c r="L228" i="12"/>
  <c r="M228" i="12" s="1"/>
  <c r="L227" i="12"/>
  <c r="M227" i="12" s="1"/>
  <c r="L226" i="12"/>
  <c r="M226" i="12" s="1"/>
  <c r="L225" i="12"/>
  <c r="M225" i="12" s="1"/>
  <c r="L224" i="12"/>
  <c r="M224" i="12" s="1"/>
  <c r="L223" i="12"/>
  <c r="M223" i="12" s="1"/>
  <c r="L222" i="12"/>
  <c r="M222" i="12" s="1"/>
  <c r="L221" i="12"/>
  <c r="M221" i="12" s="1"/>
  <c r="L220" i="12"/>
  <c r="M220" i="12" s="1"/>
  <c r="L219" i="12"/>
  <c r="M219" i="12" s="1"/>
  <c r="L218" i="12"/>
  <c r="M218" i="12" s="1"/>
  <c r="L217" i="12"/>
  <c r="M217" i="12" s="1"/>
  <c r="L216" i="12"/>
  <c r="M216" i="12" s="1"/>
  <c r="L215" i="12"/>
  <c r="M215" i="12" s="1"/>
  <c r="L214" i="12"/>
  <c r="M214" i="12" s="1"/>
  <c r="L213" i="12"/>
  <c r="M213" i="12" s="1"/>
  <c r="L212" i="12"/>
  <c r="M212" i="12" s="1"/>
  <c r="L211" i="12"/>
  <c r="M211" i="12" s="1"/>
  <c r="L210" i="12"/>
  <c r="L209" i="12"/>
  <c r="M209" i="12" s="1"/>
  <c r="L208" i="12"/>
  <c r="M208" i="12" s="1"/>
  <c r="L207" i="12"/>
  <c r="M207" i="12" s="1"/>
  <c r="L206" i="12"/>
  <c r="M206" i="12" s="1"/>
  <c r="L205" i="12"/>
  <c r="M205" i="12" s="1"/>
  <c r="L204" i="12"/>
  <c r="M204" i="12" s="1"/>
  <c r="L203" i="12"/>
  <c r="M203" i="12" s="1"/>
  <c r="L202" i="12"/>
  <c r="M202" i="12" s="1"/>
  <c r="L201" i="12"/>
  <c r="M201" i="12" s="1"/>
  <c r="L200" i="12"/>
  <c r="M200" i="12" s="1"/>
  <c r="L199" i="12"/>
  <c r="M199" i="12" s="1"/>
  <c r="L198" i="12"/>
  <c r="M198" i="12" s="1"/>
  <c r="L197" i="12"/>
  <c r="M197" i="12" s="1"/>
  <c r="L196" i="12"/>
  <c r="M196" i="12" s="1"/>
  <c r="L195" i="12"/>
  <c r="M195" i="12" s="1"/>
  <c r="L194" i="12"/>
  <c r="M194" i="12" s="1"/>
  <c r="L193" i="12"/>
  <c r="M193" i="12" s="1"/>
  <c r="L192" i="12"/>
  <c r="M192" i="12" s="1"/>
  <c r="L191" i="12"/>
  <c r="M191" i="12" s="1"/>
  <c r="L190" i="12"/>
  <c r="M190" i="12" s="1"/>
  <c r="L189" i="12"/>
  <c r="M189" i="12" s="1"/>
  <c r="L188" i="12"/>
  <c r="M188" i="12" s="1"/>
  <c r="L187" i="12"/>
  <c r="M187" i="12" s="1"/>
  <c r="L186" i="12"/>
  <c r="M186" i="12" s="1"/>
  <c r="L185" i="12"/>
  <c r="M185" i="12" s="1"/>
  <c r="L184" i="12"/>
  <c r="M184" i="12" s="1"/>
  <c r="L183" i="12"/>
  <c r="M183" i="12" s="1"/>
  <c r="L182" i="12"/>
  <c r="M182" i="12" s="1"/>
  <c r="L181" i="12"/>
  <c r="M181" i="12" s="1"/>
  <c r="L180" i="12"/>
  <c r="M180" i="12" s="1"/>
  <c r="L179" i="12"/>
  <c r="M179" i="12" s="1"/>
  <c r="L178" i="12"/>
  <c r="L177" i="12"/>
  <c r="M177" i="12" s="1"/>
  <c r="L176" i="12"/>
  <c r="M176" i="12" s="1"/>
  <c r="L175" i="12"/>
  <c r="M175" i="12" s="1"/>
  <c r="L174" i="12"/>
  <c r="M174" i="12" s="1"/>
  <c r="L173" i="12"/>
  <c r="M173" i="12" s="1"/>
  <c r="L172" i="12"/>
  <c r="L171" i="12"/>
  <c r="M171" i="12" s="1"/>
  <c r="L170" i="12"/>
  <c r="M170" i="12" s="1"/>
  <c r="L169" i="12"/>
  <c r="M169" i="12" s="1"/>
  <c r="L168" i="12"/>
  <c r="M168" i="12" s="1"/>
  <c r="L167" i="12"/>
  <c r="M167" i="12" s="1"/>
  <c r="L166" i="12"/>
  <c r="M166" i="12" s="1"/>
  <c r="L165" i="12"/>
  <c r="M165" i="12" s="1"/>
  <c r="L164" i="12"/>
  <c r="M164" i="12" s="1"/>
  <c r="L163" i="12"/>
  <c r="M163" i="12" s="1"/>
  <c r="L162" i="12"/>
  <c r="M162" i="12" s="1"/>
  <c r="L161" i="12"/>
  <c r="M161" i="12" s="1"/>
  <c r="L160" i="12"/>
  <c r="M160" i="12" s="1"/>
  <c r="L159" i="12"/>
  <c r="M159" i="12" s="1"/>
  <c r="L158" i="12"/>
  <c r="M158" i="12" s="1"/>
  <c r="L157" i="12"/>
  <c r="M157" i="12" s="1"/>
  <c r="L156" i="12"/>
  <c r="M156" i="12" s="1"/>
  <c r="L155" i="12"/>
  <c r="M155" i="12" s="1"/>
  <c r="L154" i="12"/>
  <c r="M154" i="12" s="1"/>
  <c r="L153" i="12"/>
  <c r="M153" i="12" s="1"/>
  <c r="L152" i="12"/>
  <c r="M152" i="12" s="1"/>
  <c r="L151" i="12"/>
  <c r="M151" i="12" s="1"/>
  <c r="L150" i="12"/>
  <c r="M150" i="12" s="1"/>
  <c r="L149" i="12"/>
  <c r="M149" i="12" s="1"/>
  <c r="L148" i="12"/>
  <c r="M148" i="12" s="1"/>
  <c r="L147" i="12"/>
  <c r="M147" i="12" s="1"/>
  <c r="L146" i="12"/>
  <c r="M146" i="12" s="1"/>
  <c r="L145" i="12"/>
  <c r="M145" i="12" s="1"/>
  <c r="L144" i="12"/>
  <c r="M144" i="12" s="1"/>
  <c r="L143" i="12"/>
  <c r="M143" i="12" s="1"/>
  <c r="L142" i="12"/>
  <c r="M142" i="12" s="1"/>
  <c r="L141" i="12"/>
  <c r="M141" i="12" s="1"/>
  <c r="L140" i="12"/>
  <c r="M140" i="12" s="1"/>
  <c r="L139" i="12"/>
  <c r="M139" i="12" s="1"/>
  <c r="L138" i="12"/>
  <c r="M138" i="12" s="1"/>
  <c r="L137" i="12"/>
  <c r="M137" i="12" s="1"/>
  <c r="L136" i="12"/>
  <c r="M136" i="12" s="1"/>
  <c r="L135" i="12"/>
  <c r="M135" i="12" s="1"/>
  <c r="L134" i="12"/>
  <c r="M134" i="12" s="1"/>
  <c r="L133" i="12"/>
  <c r="M133" i="12" s="1"/>
  <c r="L132" i="12"/>
  <c r="M132" i="12" s="1"/>
  <c r="L131" i="12"/>
  <c r="M131" i="12" s="1"/>
  <c r="L130" i="12"/>
  <c r="M130" i="12" s="1"/>
  <c r="L129" i="12"/>
  <c r="M129" i="12" s="1"/>
  <c r="L128" i="12"/>
  <c r="M128" i="12" s="1"/>
  <c r="L127" i="12"/>
  <c r="M127" i="12" s="1"/>
  <c r="L126" i="12"/>
  <c r="M126" i="12" s="1"/>
  <c r="L125" i="12"/>
  <c r="M125" i="12" s="1"/>
  <c r="L124" i="12"/>
  <c r="M124" i="12" s="1"/>
  <c r="L123" i="12"/>
  <c r="M123" i="12" s="1"/>
  <c r="L122" i="12"/>
  <c r="M122" i="12" s="1"/>
  <c r="L121" i="12"/>
  <c r="M121" i="12" s="1"/>
  <c r="L120" i="12"/>
  <c r="M120" i="12" s="1"/>
  <c r="L119" i="12"/>
  <c r="M119" i="12" s="1"/>
  <c r="L118" i="12"/>
  <c r="M118" i="12" s="1"/>
  <c r="L117" i="12"/>
  <c r="M117" i="12" s="1"/>
  <c r="L116" i="12"/>
  <c r="M116" i="12" s="1"/>
  <c r="L115" i="12"/>
  <c r="M115" i="12" s="1"/>
  <c r="L114" i="12"/>
  <c r="L113" i="12"/>
  <c r="M113" i="12" s="1"/>
  <c r="L112" i="12"/>
  <c r="M112" i="12" s="1"/>
  <c r="L111" i="12"/>
  <c r="M111" i="12" s="1"/>
  <c r="L110" i="12"/>
  <c r="M110" i="12" s="1"/>
  <c r="L109" i="12"/>
  <c r="M109" i="12" s="1"/>
  <c r="L108" i="12"/>
  <c r="M108" i="12" s="1"/>
  <c r="L107" i="12"/>
  <c r="M107" i="12" s="1"/>
  <c r="L106" i="12"/>
  <c r="M106" i="12" s="1"/>
  <c r="L105" i="12"/>
  <c r="M105" i="12" s="1"/>
  <c r="L104" i="12"/>
  <c r="M104" i="12" s="1"/>
  <c r="L103" i="12"/>
  <c r="M103" i="12" s="1"/>
  <c r="L102" i="12"/>
  <c r="M102" i="12" s="1"/>
  <c r="L101" i="12"/>
  <c r="M101" i="12" s="1"/>
  <c r="L100" i="12"/>
  <c r="M100" i="12" s="1"/>
  <c r="L99" i="12"/>
  <c r="M99" i="12" s="1"/>
  <c r="L98" i="12"/>
  <c r="M98" i="12" s="1"/>
  <c r="L97" i="12"/>
  <c r="M97" i="12" s="1"/>
  <c r="L96" i="12"/>
  <c r="M96" i="12" s="1"/>
  <c r="L95" i="12"/>
  <c r="M95" i="12" s="1"/>
  <c r="L94" i="12"/>
  <c r="M94" i="12" s="1"/>
  <c r="L93" i="12"/>
  <c r="M93" i="12" s="1"/>
  <c r="L92" i="12"/>
  <c r="M92" i="12" s="1"/>
  <c r="L91" i="12"/>
  <c r="M91" i="12" s="1"/>
  <c r="L90" i="12"/>
  <c r="M90" i="12" s="1"/>
  <c r="L89" i="12"/>
  <c r="M89" i="12" s="1"/>
  <c r="L88" i="12"/>
  <c r="M88" i="12" s="1"/>
  <c r="L87" i="12"/>
  <c r="M87" i="12" s="1"/>
  <c r="L86" i="12"/>
  <c r="M86" i="12" s="1"/>
  <c r="L85" i="12"/>
  <c r="M85" i="12" s="1"/>
  <c r="L84" i="12"/>
  <c r="M84" i="12" s="1"/>
  <c r="L83" i="12"/>
  <c r="M83" i="12" s="1"/>
  <c r="L82" i="12"/>
  <c r="M82" i="12" s="1"/>
  <c r="L81" i="12"/>
  <c r="M81" i="12" s="1"/>
  <c r="L80" i="12"/>
  <c r="M80" i="12" s="1"/>
  <c r="L79" i="12"/>
  <c r="M79" i="12" s="1"/>
  <c r="L78" i="12"/>
  <c r="M78" i="12" s="1"/>
  <c r="L77" i="12"/>
  <c r="M77" i="12" s="1"/>
  <c r="L76" i="12"/>
  <c r="M76" i="12" s="1"/>
  <c r="L75" i="12"/>
  <c r="M75" i="12" s="1"/>
  <c r="L74" i="12"/>
  <c r="M74" i="12" s="1"/>
  <c r="L73" i="12"/>
  <c r="M73" i="12" s="1"/>
  <c r="L72" i="12"/>
  <c r="M72" i="12" s="1"/>
  <c r="L71" i="12"/>
  <c r="M71" i="12" s="1"/>
  <c r="L70" i="12"/>
  <c r="M70" i="12" s="1"/>
  <c r="L69" i="12"/>
  <c r="M69" i="12" s="1"/>
  <c r="L68" i="12"/>
  <c r="M68" i="12" s="1"/>
  <c r="L67" i="12"/>
  <c r="M67" i="12" s="1"/>
  <c r="L66" i="12"/>
  <c r="M66" i="12" s="1"/>
  <c r="L65" i="12"/>
  <c r="M65" i="12" s="1"/>
  <c r="L64" i="12"/>
  <c r="M64" i="12" s="1"/>
  <c r="L63" i="12"/>
  <c r="M63" i="12" s="1"/>
  <c r="L62" i="12"/>
  <c r="M62" i="12" s="1"/>
  <c r="L61" i="12"/>
  <c r="M61" i="12" s="1"/>
  <c r="L60" i="12"/>
  <c r="M60" i="12" s="1"/>
  <c r="L59" i="12"/>
  <c r="M59" i="12" s="1"/>
  <c r="L58" i="12"/>
  <c r="M58" i="12" s="1"/>
  <c r="L57" i="12"/>
  <c r="M57" i="12" s="1"/>
  <c r="L56" i="12"/>
  <c r="M56" i="12" s="1"/>
  <c r="L55" i="12"/>
  <c r="M55" i="12" s="1"/>
  <c r="L54" i="12"/>
  <c r="M54" i="12" s="1"/>
  <c r="L53" i="12"/>
  <c r="M53" i="12" s="1"/>
  <c r="L52" i="12"/>
  <c r="M52" i="12" s="1"/>
  <c r="L51" i="12"/>
  <c r="M51" i="12" s="1"/>
  <c r="L50" i="12"/>
  <c r="M50" i="12" s="1"/>
  <c r="L49" i="12"/>
  <c r="M49" i="12" s="1"/>
  <c r="L48" i="12"/>
  <c r="M48" i="12" s="1"/>
  <c r="L47" i="12"/>
  <c r="M47" i="12" s="1"/>
  <c r="L45" i="12"/>
  <c r="M45" i="12" s="1"/>
  <c r="L46" i="12"/>
  <c r="M46" i="12" s="1"/>
  <c r="L44" i="12"/>
  <c r="M44" i="12" s="1"/>
  <c r="L43" i="12"/>
  <c r="M43" i="12" s="1"/>
  <c r="L42" i="12"/>
  <c r="M42" i="12" s="1"/>
  <c r="L41" i="12"/>
  <c r="M41" i="12" s="1"/>
  <c r="L40" i="12"/>
  <c r="M40" i="12" s="1"/>
  <c r="L39" i="12"/>
  <c r="M39" i="12" s="1"/>
  <c r="L38" i="12"/>
  <c r="M38" i="12" s="1"/>
  <c r="L37" i="12"/>
  <c r="M37" i="12" s="1"/>
  <c r="L36" i="12"/>
  <c r="M36" i="12" s="1"/>
  <c r="L35" i="12"/>
  <c r="M35" i="12" s="1"/>
  <c r="L34" i="12"/>
  <c r="M34" i="12" s="1"/>
  <c r="L33" i="12"/>
  <c r="M33" i="12" s="1"/>
  <c r="L32" i="12"/>
  <c r="M32" i="12" s="1"/>
  <c r="L31" i="12"/>
  <c r="M31" i="12" s="1"/>
  <c r="L30" i="12"/>
  <c r="M30" i="12" s="1"/>
  <c r="L29" i="12"/>
  <c r="M29" i="12" s="1"/>
  <c r="L28" i="12"/>
  <c r="M28" i="12" s="1"/>
  <c r="L27" i="12"/>
  <c r="M27" i="12" s="1"/>
  <c r="L26" i="12"/>
  <c r="M26" i="12" s="1"/>
  <c r="L25" i="12"/>
  <c r="M25" i="12" s="1"/>
  <c r="L24" i="12"/>
  <c r="M24" i="12" s="1"/>
  <c r="L23" i="12"/>
  <c r="M23" i="12" s="1"/>
  <c r="L22" i="12"/>
  <c r="M22" i="12" s="1"/>
  <c r="L21" i="12"/>
  <c r="M21" i="12" s="1"/>
  <c r="L20" i="12"/>
  <c r="M20" i="12" s="1"/>
  <c r="L19" i="12"/>
  <c r="M19" i="12" s="1"/>
  <c r="L18" i="12"/>
  <c r="M18" i="12" s="1"/>
  <c r="L17" i="12"/>
  <c r="M17" i="12" s="1"/>
  <c r="L16" i="12"/>
  <c r="M16" i="12" s="1"/>
  <c r="L15" i="12"/>
  <c r="M15" i="12" s="1"/>
  <c r="L14" i="12"/>
  <c r="M14" i="12" s="1"/>
  <c r="L13" i="12"/>
  <c r="M13" i="12" s="1"/>
  <c r="L12" i="12"/>
  <c r="M12" i="12" s="1"/>
  <c r="L11" i="12"/>
  <c r="M11" i="12" s="1"/>
  <c r="L10" i="12"/>
  <c r="M10" i="12" s="1"/>
  <c r="L9" i="12"/>
  <c r="M9" i="12" s="1"/>
  <c r="L8" i="12"/>
  <c r="M8" i="12" s="1"/>
  <c r="L7" i="12"/>
  <c r="M7" i="12" s="1"/>
  <c r="L6" i="12"/>
  <c r="M6" i="12" s="1"/>
  <c r="M281" i="12"/>
  <c r="M273" i="12"/>
  <c r="M258" i="12"/>
  <c r="M234" i="12"/>
  <c r="M210" i="12"/>
  <c r="M178" i="12"/>
  <c r="M172" i="12"/>
  <c r="M114" i="12"/>
  <c r="L5" i="12"/>
  <c r="M5" i="12" s="1"/>
  <c r="B300" i="12" l="1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9" i="12"/>
  <c r="B278" i="12"/>
  <c r="B277" i="12"/>
  <c r="B276" i="12"/>
  <c r="B275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59" i="12"/>
  <c r="B258" i="12"/>
  <c r="B257" i="12"/>
  <c r="B256" i="12"/>
  <c r="B255" i="12"/>
  <c r="B254" i="12"/>
  <c r="B253" i="12"/>
  <c r="B252" i="12"/>
  <c r="B251" i="12"/>
  <c r="B250" i="12"/>
  <c r="B249" i="12"/>
  <c r="B248" i="12"/>
  <c r="B247" i="12"/>
  <c r="B246" i="12"/>
  <c r="B245" i="12"/>
  <c r="B244" i="12"/>
  <c r="B243" i="12"/>
  <c r="B242" i="12"/>
  <c r="B241" i="12"/>
  <c r="B240" i="12"/>
  <c r="B239" i="12"/>
  <c r="B238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1" i="12"/>
  <c r="B220" i="12"/>
  <c r="B219" i="12"/>
  <c r="B218" i="12"/>
  <c r="B217" i="12"/>
  <c r="B216" i="12"/>
  <c r="B215" i="12"/>
  <c r="B214" i="12"/>
  <c r="B213" i="12"/>
  <c r="B212" i="12"/>
  <c r="B211" i="12"/>
  <c r="B210" i="12"/>
  <c r="B209" i="12"/>
  <c r="B208" i="12"/>
  <c r="B207" i="12"/>
  <c r="B206" i="12"/>
  <c r="B205" i="12"/>
  <c r="B204" i="12"/>
  <c r="B203" i="12"/>
  <c r="B202" i="12"/>
  <c r="B201" i="12"/>
  <c r="B200" i="12"/>
  <c r="B199" i="12"/>
  <c r="B198" i="12"/>
  <c r="B197" i="12"/>
  <c r="B196" i="12"/>
  <c r="B195" i="12"/>
  <c r="B194" i="12"/>
  <c r="B193" i="12"/>
  <c r="B192" i="12"/>
  <c r="B191" i="12"/>
  <c r="B190" i="12"/>
  <c r="B189" i="12"/>
  <c r="B188" i="12"/>
  <c r="B187" i="12"/>
  <c r="B186" i="12"/>
  <c r="B185" i="12"/>
  <c r="B184" i="12"/>
  <c r="B183" i="12"/>
  <c r="B182" i="12"/>
  <c r="B181" i="12"/>
  <c r="B180" i="12"/>
  <c r="B179" i="12"/>
  <c r="B178" i="12"/>
  <c r="B177" i="12"/>
  <c r="B176" i="12"/>
  <c r="B175" i="12"/>
  <c r="B174" i="12"/>
  <c r="B173" i="12"/>
  <c r="B172" i="12"/>
  <c r="B171" i="12"/>
  <c r="B170" i="12"/>
  <c r="B169" i="12"/>
  <c r="B168" i="12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48" i="12"/>
  <c r="B147" i="12"/>
  <c r="B146" i="12"/>
  <c r="B145" i="12"/>
  <c r="B144" i="12"/>
  <c r="B143" i="12"/>
  <c r="B142" i="12"/>
  <c r="B141" i="12"/>
  <c r="B140" i="12"/>
  <c r="B139" i="12"/>
  <c r="B138" i="12"/>
  <c r="B137" i="12"/>
  <c r="B136" i="12"/>
  <c r="B135" i="12"/>
  <c r="B134" i="12"/>
  <c r="B133" i="12"/>
  <c r="B132" i="12"/>
  <c r="B131" i="12"/>
  <c r="B130" i="12"/>
  <c r="B129" i="12"/>
  <c r="B128" i="12"/>
  <c r="B127" i="12"/>
  <c r="B126" i="12"/>
  <c r="B125" i="12"/>
  <c r="B124" i="12"/>
  <c r="B123" i="12"/>
  <c r="B122" i="12"/>
  <c r="B121" i="12"/>
  <c r="B120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9" i="12"/>
  <c r="B98" i="12"/>
  <c r="B97" i="12"/>
  <c r="B96" i="12"/>
  <c r="B95" i="12"/>
  <c r="B94" i="12"/>
  <c r="B93" i="12"/>
  <c r="B92" i="12"/>
  <c r="B91" i="12"/>
  <c r="B90" i="12"/>
  <c r="B89" i="12"/>
  <c r="B88" i="12"/>
  <c r="B87" i="12"/>
  <c r="B86" i="12"/>
  <c r="B85" i="12"/>
  <c r="B84" i="12"/>
  <c r="B83" i="12"/>
  <c r="B82" i="12"/>
  <c r="B81" i="12"/>
  <c r="B80" i="12"/>
  <c r="B79" i="12"/>
  <c r="B78" i="12"/>
  <c r="B77" i="12"/>
  <c r="B76" i="12"/>
  <c r="B75" i="12"/>
  <c r="B74" i="12"/>
  <c r="B73" i="12"/>
  <c r="B72" i="12"/>
  <c r="B71" i="12"/>
  <c r="B70" i="12"/>
  <c r="B69" i="12"/>
  <c r="B68" i="12"/>
  <c r="B67" i="12"/>
  <c r="B66" i="12"/>
  <c r="B65" i="12"/>
  <c r="B64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8" i="12"/>
  <c r="B47" i="12"/>
  <c r="B45" i="12"/>
  <c r="B46" i="12"/>
  <c r="B44" i="12"/>
  <c r="B43" i="12"/>
  <c r="B42" i="12"/>
  <c r="B41" i="12"/>
  <c r="B40" i="12"/>
  <c r="B39" i="12"/>
  <c r="B38" i="12"/>
  <c r="B37" i="12"/>
  <c r="B36" i="12"/>
  <c r="B35" i="12"/>
  <c r="B34" i="12"/>
  <c r="B33" i="12"/>
  <c r="B32" i="12"/>
  <c r="B31" i="12"/>
  <c r="B30" i="12"/>
  <c r="B29" i="12"/>
  <c r="B28" i="12"/>
  <c r="B27" i="12"/>
  <c r="B26" i="12"/>
  <c r="B25" i="12"/>
  <c r="B24" i="12"/>
  <c r="B23" i="12"/>
  <c r="B22" i="12"/>
  <c r="B21" i="12"/>
  <c r="B20" i="12"/>
  <c r="B19" i="12"/>
  <c r="B18" i="12"/>
  <c r="B17" i="12"/>
  <c r="B16" i="12"/>
  <c r="B15" i="12"/>
  <c r="B14" i="12"/>
  <c r="B13" i="12"/>
  <c r="B12" i="12"/>
  <c r="B11" i="12"/>
  <c r="B10" i="12"/>
  <c r="B8" i="12"/>
  <c r="B9" i="12"/>
  <c r="B7" i="12"/>
  <c r="B6" i="12"/>
  <c r="B5" i="12"/>
  <c r="G86" i="12"/>
  <c r="I86" i="12" s="1"/>
  <c r="F83" i="12"/>
  <c r="F82" i="12"/>
  <c r="F81" i="12"/>
  <c r="F80" i="12"/>
  <c r="F79" i="12"/>
  <c r="F78" i="12"/>
  <c r="F77" i="12"/>
  <c r="F76" i="12"/>
  <c r="F75" i="12"/>
  <c r="F74" i="12"/>
  <c r="F73" i="12"/>
  <c r="F72" i="12"/>
  <c r="F71" i="12"/>
  <c r="F70" i="12"/>
  <c r="F69" i="12"/>
  <c r="F68" i="12"/>
  <c r="F67" i="12"/>
  <c r="F66" i="12"/>
  <c r="F65" i="12"/>
  <c r="F64" i="12"/>
  <c r="F63" i="12"/>
  <c r="F62" i="12"/>
  <c r="F61" i="12"/>
  <c r="F60" i="12"/>
  <c r="F59" i="12"/>
  <c r="F58" i="12"/>
  <c r="F57" i="12"/>
  <c r="F56" i="12"/>
  <c r="F55" i="12"/>
  <c r="F54" i="12"/>
  <c r="F53" i="12"/>
  <c r="F52" i="12"/>
  <c r="F51" i="12"/>
  <c r="F50" i="12"/>
  <c r="F49" i="12"/>
  <c r="F48" i="12"/>
  <c r="F47" i="12"/>
  <c r="F45" i="12"/>
  <c r="F46" i="12"/>
  <c r="F44" i="12"/>
  <c r="F43" i="12"/>
  <c r="F42" i="12"/>
  <c r="F41" i="12"/>
  <c r="F40" i="12"/>
  <c r="F39" i="12"/>
  <c r="F38" i="12"/>
  <c r="F37" i="12"/>
  <c r="F36" i="12"/>
  <c r="F35" i="12"/>
  <c r="F34" i="12"/>
  <c r="F33" i="12"/>
  <c r="F32" i="12"/>
  <c r="F31" i="12"/>
  <c r="F30" i="12"/>
  <c r="F29" i="12"/>
  <c r="F28" i="12"/>
  <c r="F27" i="12"/>
  <c r="F26" i="12"/>
  <c r="F25" i="12"/>
  <c r="F24" i="12"/>
  <c r="F23" i="12"/>
  <c r="F22" i="12"/>
  <c r="F21" i="12"/>
  <c r="F20" i="12"/>
  <c r="F19" i="12"/>
  <c r="F18" i="12"/>
  <c r="F17" i="12"/>
  <c r="F16" i="12"/>
  <c r="F15" i="12"/>
  <c r="F14" i="12"/>
  <c r="F13" i="12"/>
  <c r="F12" i="12"/>
  <c r="F11" i="12"/>
  <c r="F10" i="12"/>
  <c r="F9" i="12"/>
  <c r="F8" i="12"/>
  <c r="F7" i="12"/>
  <c r="F6" i="12"/>
  <c r="F5" i="12"/>
  <c r="F28" i="4"/>
  <c r="G7" i="8" l="1"/>
  <c r="L18" i="13" s="1"/>
  <c r="G3" i="8"/>
  <c r="L26" i="13" s="1"/>
  <c r="G2" i="8"/>
  <c r="G6" i="8"/>
  <c r="E3" i="8"/>
  <c r="I26" i="13" s="1"/>
  <c r="E5" i="8"/>
  <c r="I22" i="13" s="1"/>
  <c r="G4" i="8"/>
  <c r="E4" i="8"/>
  <c r="G5" i="8"/>
  <c r="L22" i="13" s="1"/>
  <c r="E2" i="8"/>
  <c r="E7" i="8"/>
  <c r="I18" i="13" s="1"/>
  <c r="E6" i="8"/>
  <c r="G7" i="12"/>
  <c r="I7" i="12" s="1"/>
  <c r="G63" i="12"/>
  <c r="I63" i="12" s="1"/>
  <c r="G111" i="12"/>
  <c r="I111" i="12" s="1"/>
  <c r="G167" i="12"/>
  <c r="I167" i="12" s="1"/>
  <c r="G199" i="12"/>
  <c r="I199" i="12" s="1"/>
  <c r="G255" i="12"/>
  <c r="I255" i="12" s="1"/>
  <c r="G295" i="12"/>
  <c r="I295" i="12" s="1"/>
  <c r="G11" i="12"/>
  <c r="I11" i="12" s="1"/>
  <c r="G27" i="12"/>
  <c r="I27" i="12" s="1"/>
  <c r="G67" i="12"/>
  <c r="I67" i="12" s="1"/>
  <c r="G99" i="12"/>
  <c r="I99" i="12" s="1"/>
  <c r="G123" i="12"/>
  <c r="I123" i="12" s="1"/>
  <c r="G155" i="12"/>
  <c r="I155" i="12" s="1"/>
  <c r="G28" i="12"/>
  <c r="I28" i="12" s="1"/>
  <c r="G52" i="12"/>
  <c r="I52" i="12" s="1"/>
  <c r="G6" i="12"/>
  <c r="I6" i="12" s="1"/>
  <c r="G14" i="12"/>
  <c r="I14" i="12" s="1"/>
  <c r="G22" i="12"/>
  <c r="I22" i="12" s="1"/>
  <c r="G30" i="12"/>
  <c r="I30" i="12" s="1"/>
  <c r="G38" i="12"/>
  <c r="I38" i="12" s="1"/>
  <c r="G45" i="12"/>
  <c r="I45" i="12" s="1"/>
  <c r="G54" i="12"/>
  <c r="I54" i="12" s="1"/>
  <c r="G62" i="12"/>
  <c r="I62" i="12" s="1"/>
  <c r="G70" i="12"/>
  <c r="I70" i="12" s="1"/>
  <c r="G78" i="12"/>
  <c r="I78" i="12" s="1"/>
  <c r="H86" i="12"/>
  <c r="G94" i="12"/>
  <c r="I94" i="12" s="1"/>
  <c r="G102" i="12"/>
  <c r="I102" i="12" s="1"/>
  <c r="G110" i="12"/>
  <c r="I110" i="12" s="1"/>
  <c r="G118" i="12"/>
  <c r="I118" i="12" s="1"/>
  <c r="G126" i="12"/>
  <c r="I126" i="12" s="1"/>
  <c r="G134" i="12"/>
  <c r="I134" i="12" s="1"/>
  <c r="G142" i="12"/>
  <c r="I142" i="12" s="1"/>
  <c r="G150" i="12"/>
  <c r="I150" i="12" s="1"/>
  <c r="G158" i="12"/>
  <c r="I158" i="12" s="1"/>
  <c r="G166" i="12"/>
  <c r="I166" i="12" s="1"/>
  <c r="G174" i="12"/>
  <c r="I174" i="12" s="1"/>
  <c r="G182" i="12"/>
  <c r="I182" i="12" s="1"/>
  <c r="G190" i="12"/>
  <c r="I190" i="12" s="1"/>
  <c r="G198" i="12"/>
  <c r="I198" i="12" s="1"/>
  <c r="G206" i="12"/>
  <c r="I206" i="12" s="1"/>
  <c r="G214" i="12"/>
  <c r="I214" i="12" s="1"/>
  <c r="G222" i="12"/>
  <c r="I222" i="12" s="1"/>
  <c r="G230" i="12"/>
  <c r="I230" i="12" s="1"/>
  <c r="G238" i="12"/>
  <c r="I238" i="12" s="1"/>
  <c r="G246" i="12"/>
  <c r="I246" i="12" s="1"/>
  <c r="G254" i="12"/>
  <c r="I254" i="12" s="1"/>
  <c r="G262" i="12"/>
  <c r="I262" i="12" s="1"/>
  <c r="G270" i="12"/>
  <c r="I270" i="12" s="1"/>
  <c r="G278" i="12"/>
  <c r="I278" i="12" s="1"/>
  <c r="G286" i="12"/>
  <c r="I286" i="12" s="1"/>
  <c r="G294" i="12"/>
  <c r="I294" i="12" s="1"/>
  <c r="G15" i="12"/>
  <c r="I15" i="12" s="1"/>
  <c r="G79" i="12"/>
  <c r="I79" i="12" s="1"/>
  <c r="G135" i="12"/>
  <c r="I135" i="12" s="1"/>
  <c r="G183" i="12"/>
  <c r="I183" i="12" s="1"/>
  <c r="G247" i="12"/>
  <c r="I247" i="12" s="1"/>
  <c r="G279" i="12"/>
  <c r="I279" i="12" s="1"/>
  <c r="G8" i="12"/>
  <c r="I8" i="12" s="1"/>
  <c r="G16" i="12"/>
  <c r="I16" i="12" s="1"/>
  <c r="G24" i="12"/>
  <c r="I24" i="12" s="1"/>
  <c r="G32" i="12"/>
  <c r="I32" i="12" s="1"/>
  <c r="G40" i="12"/>
  <c r="I40" i="12" s="1"/>
  <c r="G48" i="12"/>
  <c r="I48" i="12" s="1"/>
  <c r="G56" i="12"/>
  <c r="I56" i="12" s="1"/>
  <c r="G64" i="12"/>
  <c r="I64" i="12" s="1"/>
  <c r="G72" i="12"/>
  <c r="I72" i="12" s="1"/>
  <c r="G80" i="12"/>
  <c r="I80" i="12" s="1"/>
  <c r="G88" i="12"/>
  <c r="I88" i="12" s="1"/>
  <c r="G96" i="12"/>
  <c r="I96" i="12" s="1"/>
  <c r="G104" i="12"/>
  <c r="I104" i="12" s="1"/>
  <c r="G112" i="12"/>
  <c r="I112" i="12" s="1"/>
  <c r="G120" i="12"/>
  <c r="I120" i="12" s="1"/>
  <c r="G128" i="12"/>
  <c r="I128" i="12" s="1"/>
  <c r="G136" i="12"/>
  <c r="I136" i="12" s="1"/>
  <c r="G144" i="12"/>
  <c r="I144" i="12" s="1"/>
  <c r="G152" i="12"/>
  <c r="I152" i="12" s="1"/>
  <c r="G160" i="12"/>
  <c r="I160" i="12" s="1"/>
  <c r="G168" i="12"/>
  <c r="I168" i="12" s="1"/>
  <c r="G176" i="12"/>
  <c r="I176" i="12" s="1"/>
  <c r="G184" i="12"/>
  <c r="I184" i="12" s="1"/>
  <c r="G192" i="12"/>
  <c r="I192" i="12" s="1"/>
  <c r="G200" i="12"/>
  <c r="I200" i="12" s="1"/>
  <c r="G208" i="12"/>
  <c r="I208" i="12" s="1"/>
  <c r="G216" i="12"/>
  <c r="I216" i="12" s="1"/>
  <c r="G224" i="12"/>
  <c r="I224" i="12" s="1"/>
  <c r="G232" i="12"/>
  <c r="I232" i="12" s="1"/>
  <c r="G240" i="12"/>
  <c r="I240" i="12" s="1"/>
  <c r="G248" i="12"/>
  <c r="I248" i="12" s="1"/>
  <c r="G256" i="12"/>
  <c r="I256" i="12" s="1"/>
  <c r="G264" i="12"/>
  <c r="I264" i="12" s="1"/>
  <c r="G272" i="12"/>
  <c r="I272" i="12" s="1"/>
  <c r="G280" i="12"/>
  <c r="I280" i="12" s="1"/>
  <c r="G288" i="12"/>
  <c r="I288" i="12" s="1"/>
  <c r="G296" i="12"/>
  <c r="I296" i="12" s="1"/>
  <c r="G39" i="12"/>
  <c r="I39" i="12" s="1"/>
  <c r="G95" i="12"/>
  <c r="I95" i="12" s="1"/>
  <c r="G151" i="12"/>
  <c r="I151" i="12" s="1"/>
  <c r="G207" i="12"/>
  <c r="I207" i="12" s="1"/>
  <c r="G9" i="12"/>
  <c r="I9" i="12" s="1"/>
  <c r="G25" i="12"/>
  <c r="I25" i="12" s="1"/>
  <c r="G41" i="12"/>
  <c r="I41" i="12" s="1"/>
  <c r="G57" i="12"/>
  <c r="I57" i="12" s="1"/>
  <c r="G73" i="12"/>
  <c r="I73" i="12" s="1"/>
  <c r="G81" i="12"/>
  <c r="I81" i="12" s="1"/>
  <c r="G89" i="12"/>
  <c r="I89" i="12" s="1"/>
  <c r="G97" i="12"/>
  <c r="I97" i="12" s="1"/>
  <c r="G105" i="12"/>
  <c r="I105" i="12" s="1"/>
  <c r="G113" i="12"/>
  <c r="I113" i="12" s="1"/>
  <c r="G121" i="12"/>
  <c r="I121" i="12" s="1"/>
  <c r="G129" i="12"/>
  <c r="I129" i="12" s="1"/>
  <c r="G137" i="12"/>
  <c r="I137" i="12" s="1"/>
  <c r="G145" i="12"/>
  <c r="I145" i="12" s="1"/>
  <c r="G153" i="12"/>
  <c r="I153" i="12" s="1"/>
  <c r="G161" i="12"/>
  <c r="I161" i="12" s="1"/>
  <c r="G169" i="12"/>
  <c r="I169" i="12" s="1"/>
  <c r="G177" i="12"/>
  <c r="I177" i="12" s="1"/>
  <c r="G185" i="12"/>
  <c r="I185" i="12" s="1"/>
  <c r="G193" i="12"/>
  <c r="I193" i="12" s="1"/>
  <c r="G201" i="12"/>
  <c r="I201" i="12" s="1"/>
  <c r="G209" i="12"/>
  <c r="I209" i="12" s="1"/>
  <c r="G217" i="12"/>
  <c r="I217" i="12" s="1"/>
  <c r="G225" i="12"/>
  <c r="I225" i="12" s="1"/>
  <c r="G233" i="12"/>
  <c r="I233" i="12" s="1"/>
  <c r="G241" i="12"/>
  <c r="I241" i="12" s="1"/>
  <c r="G249" i="12"/>
  <c r="I249" i="12" s="1"/>
  <c r="G257" i="12"/>
  <c r="I257" i="12" s="1"/>
  <c r="G265" i="12"/>
  <c r="I265" i="12" s="1"/>
  <c r="G273" i="12"/>
  <c r="I273" i="12" s="1"/>
  <c r="G281" i="12"/>
  <c r="I281" i="12" s="1"/>
  <c r="G289" i="12"/>
  <c r="I289" i="12" s="1"/>
  <c r="G297" i="12"/>
  <c r="I297" i="12" s="1"/>
  <c r="G47" i="12"/>
  <c r="I47" i="12" s="1"/>
  <c r="G87" i="12"/>
  <c r="I87" i="12" s="1"/>
  <c r="G143" i="12"/>
  <c r="I143" i="12" s="1"/>
  <c r="G191" i="12"/>
  <c r="I191" i="12" s="1"/>
  <c r="G231" i="12"/>
  <c r="I231" i="12" s="1"/>
  <c r="G271" i="12"/>
  <c r="I271" i="12" s="1"/>
  <c r="G17" i="12"/>
  <c r="I17" i="12" s="1"/>
  <c r="G33" i="12"/>
  <c r="I33" i="12" s="1"/>
  <c r="G49" i="12"/>
  <c r="I49" i="12" s="1"/>
  <c r="G65" i="12"/>
  <c r="I65" i="12" s="1"/>
  <c r="G10" i="12"/>
  <c r="I10" i="12" s="1"/>
  <c r="G18" i="12"/>
  <c r="I18" i="12" s="1"/>
  <c r="G26" i="12"/>
  <c r="I26" i="12" s="1"/>
  <c r="G34" i="12"/>
  <c r="I34" i="12" s="1"/>
  <c r="G42" i="12"/>
  <c r="I42" i="12" s="1"/>
  <c r="G50" i="12"/>
  <c r="I50" i="12" s="1"/>
  <c r="G58" i="12"/>
  <c r="I58" i="12" s="1"/>
  <c r="G66" i="12"/>
  <c r="I66" i="12" s="1"/>
  <c r="G74" i="12"/>
  <c r="I74" i="12" s="1"/>
  <c r="G82" i="12"/>
  <c r="I82" i="12" s="1"/>
  <c r="G90" i="12"/>
  <c r="I90" i="12" s="1"/>
  <c r="G98" i="12"/>
  <c r="I98" i="12" s="1"/>
  <c r="G106" i="12"/>
  <c r="I106" i="12" s="1"/>
  <c r="G114" i="12"/>
  <c r="I114" i="12" s="1"/>
  <c r="G122" i="12"/>
  <c r="I122" i="12" s="1"/>
  <c r="G130" i="12"/>
  <c r="I130" i="12" s="1"/>
  <c r="G138" i="12"/>
  <c r="I138" i="12" s="1"/>
  <c r="G146" i="12"/>
  <c r="I146" i="12" s="1"/>
  <c r="G154" i="12"/>
  <c r="I154" i="12" s="1"/>
  <c r="G162" i="12"/>
  <c r="I162" i="12" s="1"/>
  <c r="G170" i="12"/>
  <c r="I170" i="12" s="1"/>
  <c r="G178" i="12"/>
  <c r="I178" i="12" s="1"/>
  <c r="G186" i="12"/>
  <c r="I186" i="12" s="1"/>
  <c r="G194" i="12"/>
  <c r="I194" i="12" s="1"/>
  <c r="G202" i="12"/>
  <c r="I202" i="12" s="1"/>
  <c r="G210" i="12"/>
  <c r="I210" i="12" s="1"/>
  <c r="G218" i="12"/>
  <c r="I218" i="12" s="1"/>
  <c r="G226" i="12"/>
  <c r="I226" i="12" s="1"/>
  <c r="G234" i="12"/>
  <c r="I234" i="12" s="1"/>
  <c r="G242" i="12"/>
  <c r="I242" i="12" s="1"/>
  <c r="G250" i="12"/>
  <c r="I250" i="12" s="1"/>
  <c r="G258" i="12"/>
  <c r="I258" i="12" s="1"/>
  <c r="G266" i="12"/>
  <c r="I266" i="12" s="1"/>
  <c r="G274" i="12"/>
  <c r="I274" i="12" s="1"/>
  <c r="G282" i="12"/>
  <c r="I282" i="12" s="1"/>
  <c r="G290" i="12"/>
  <c r="I290" i="12" s="1"/>
  <c r="G298" i="12"/>
  <c r="I298" i="12" s="1"/>
  <c r="G55" i="12"/>
  <c r="I55" i="12" s="1"/>
  <c r="G119" i="12"/>
  <c r="I119" i="12" s="1"/>
  <c r="G215" i="12"/>
  <c r="I215" i="12" s="1"/>
  <c r="G287" i="12"/>
  <c r="I287" i="12" s="1"/>
  <c r="G43" i="12"/>
  <c r="I43" i="12" s="1"/>
  <c r="G75" i="12"/>
  <c r="I75" i="12" s="1"/>
  <c r="G115" i="12"/>
  <c r="I115" i="12" s="1"/>
  <c r="G147" i="12"/>
  <c r="I147" i="12" s="1"/>
  <c r="G163" i="12"/>
  <c r="I163" i="12" s="1"/>
  <c r="G171" i="12"/>
  <c r="I171" i="12" s="1"/>
  <c r="G179" i="12"/>
  <c r="I179" i="12" s="1"/>
  <c r="G187" i="12"/>
  <c r="I187" i="12" s="1"/>
  <c r="G195" i="12"/>
  <c r="I195" i="12" s="1"/>
  <c r="G203" i="12"/>
  <c r="I203" i="12" s="1"/>
  <c r="G211" i="12"/>
  <c r="I211" i="12" s="1"/>
  <c r="G219" i="12"/>
  <c r="I219" i="12" s="1"/>
  <c r="G227" i="12"/>
  <c r="I227" i="12" s="1"/>
  <c r="G235" i="12"/>
  <c r="I235" i="12" s="1"/>
  <c r="G243" i="12"/>
  <c r="I243" i="12" s="1"/>
  <c r="G251" i="12"/>
  <c r="I251" i="12" s="1"/>
  <c r="G259" i="12"/>
  <c r="I259" i="12" s="1"/>
  <c r="G267" i="12"/>
  <c r="I267" i="12" s="1"/>
  <c r="G275" i="12"/>
  <c r="I275" i="12" s="1"/>
  <c r="G283" i="12"/>
  <c r="I283" i="12" s="1"/>
  <c r="G291" i="12"/>
  <c r="I291" i="12" s="1"/>
  <c r="G299" i="12"/>
  <c r="I299" i="12" s="1"/>
  <c r="G31" i="12"/>
  <c r="I31" i="12" s="1"/>
  <c r="G103" i="12"/>
  <c r="I103" i="12" s="1"/>
  <c r="G159" i="12"/>
  <c r="I159" i="12" s="1"/>
  <c r="G223" i="12"/>
  <c r="I223" i="12" s="1"/>
  <c r="G263" i="12"/>
  <c r="I263" i="12" s="1"/>
  <c r="G35" i="12"/>
  <c r="I35" i="12" s="1"/>
  <c r="G59" i="12"/>
  <c r="I59" i="12" s="1"/>
  <c r="G91" i="12"/>
  <c r="I91" i="12" s="1"/>
  <c r="G131" i="12"/>
  <c r="I131" i="12" s="1"/>
  <c r="G20" i="12"/>
  <c r="I20" i="12" s="1"/>
  <c r="G36" i="12"/>
  <c r="I36" i="12" s="1"/>
  <c r="G68" i="12"/>
  <c r="I68" i="12" s="1"/>
  <c r="G76" i="12"/>
  <c r="I76" i="12" s="1"/>
  <c r="G84" i="12"/>
  <c r="I84" i="12" s="1"/>
  <c r="G92" i="12"/>
  <c r="I92" i="12" s="1"/>
  <c r="G100" i="12"/>
  <c r="I100" i="12" s="1"/>
  <c r="G108" i="12"/>
  <c r="I108" i="12" s="1"/>
  <c r="G116" i="12"/>
  <c r="I116" i="12" s="1"/>
  <c r="G124" i="12"/>
  <c r="I124" i="12" s="1"/>
  <c r="G132" i="12"/>
  <c r="I132" i="12" s="1"/>
  <c r="G140" i="12"/>
  <c r="I140" i="12" s="1"/>
  <c r="G148" i="12"/>
  <c r="I148" i="12" s="1"/>
  <c r="G156" i="12"/>
  <c r="I156" i="12" s="1"/>
  <c r="G164" i="12"/>
  <c r="I164" i="12" s="1"/>
  <c r="G172" i="12"/>
  <c r="I172" i="12" s="1"/>
  <c r="G180" i="12"/>
  <c r="I180" i="12" s="1"/>
  <c r="G188" i="12"/>
  <c r="I188" i="12" s="1"/>
  <c r="G196" i="12"/>
  <c r="I196" i="12" s="1"/>
  <c r="G204" i="12"/>
  <c r="I204" i="12" s="1"/>
  <c r="G212" i="12"/>
  <c r="I212" i="12" s="1"/>
  <c r="G220" i="12"/>
  <c r="I220" i="12" s="1"/>
  <c r="G228" i="12"/>
  <c r="I228" i="12" s="1"/>
  <c r="G236" i="12"/>
  <c r="I236" i="12" s="1"/>
  <c r="G244" i="12"/>
  <c r="I244" i="12" s="1"/>
  <c r="G252" i="12"/>
  <c r="I252" i="12" s="1"/>
  <c r="G260" i="12"/>
  <c r="I260" i="12" s="1"/>
  <c r="G268" i="12"/>
  <c r="I268" i="12" s="1"/>
  <c r="G276" i="12"/>
  <c r="I276" i="12" s="1"/>
  <c r="G284" i="12"/>
  <c r="I284" i="12" s="1"/>
  <c r="G292" i="12"/>
  <c r="I292" i="12" s="1"/>
  <c r="G300" i="12"/>
  <c r="I300" i="12" s="1"/>
  <c r="G23" i="12"/>
  <c r="I23" i="12" s="1"/>
  <c r="G71" i="12"/>
  <c r="I71" i="12" s="1"/>
  <c r="G127" i="12"/>
  <c r="I127" i="12" s="1"/>
  <c r="G175" i="12"/>
  <c r="I175" i="12" s="1"/>
  <c r="G239" i="12"/>
  <c r="I239" i="12" s="1"/>
  <c r="G19" i="12"/>
  <c r="I19" i="12" s="1"/>
  <c r="G51" i="12"/>
  <c r="I51" i="12" s="1"/>
  <c r="G83" i="12"/>
  <c r="I83" i="12" s="1"/>
  <c r="G107" i="12"/>
  <c r="I107" i="12" s="1"/>
  <c r="G139" i="12"/>
  <c r="I139" i="12" s="1"/>
  <c r="G12" i="12"/>
  <c r="I12" i="12" s="1"/>
  <c r="G44" i="12"/>
  <c r="I44" i="12" s="1"/>
  <c r="G60" i="12"/>
  <c r="I60" i="12" s="1"/>
  <c r="G5" i="12"/>
  <c r="I5" i="12" s="1"/>
  <c r="G13" i="12"/>
  <c r="I13" i="12" s="1"/>
  <c r="G21" i="12"/>
  <c r="I21" i="12" s="1"/>
  <c r="G29" i="12"/>
  <c r="I29" i="12" s="1"/>
  <c r="G37" i="12"/>
  <c r="I37" i="12" s="1"/>
  <c r="G46" i="12"/>
  <c r="I46" i="12" s="1"/>
  <c r="G53" i="12"/>
  <c r="I53" i="12" s="1"/>
  <c r="G61" i="12"/>
  <c r="I61" i="12" s="1"/>
  <c r="G69" i="12"/>
  <c r="I69" i="12" s="1"/>
  <c r="G77" i="12"/>
  <c r="I77" i="12" s="1"/>
  <c r="G85" i="12"/>
  <c r="I85" i="12" s="1"/>
  <c r="G93" i="12"/>
  <c r="I93" i="12" s="1"/>
  <c r="G101" i="12"/>
  <c r="I101" i="12" s="1"/>
  <c r="G109" i="12"/>
  <c r="I109" i="12" s="1"/>
  <c r="G117" i="12"/>
  <c r="I117" i="12" s="1"/>
  <c r="G125" i="12"/>
  <c r="I125" i="12" s="1"/>
  <c r="G133" i="12"/>
  <c r="I133" i="12" s="1"/>
  <c r="G141" i="12"/>
  <c r="I141" i="12" s="1"/>
  <c r="G149" i="12"/>
  <c r="I149" i="12" s="1"/>
  <c r="G157" i="12"/>
  <c r="I157" i="12" s="1"/>
  <c r="G165" i="12"/>
  <c r="I165" i="12" s="1"/>
  <c r="G173" i="12"/>
  <c r="I173" i="12" s="1"/>
  <c r="G181" i="12"/>
  <c r="I181" i="12" s="1"/>
  <c r="G189" i="12"/>
  <c r="I189" i="12" s="1"/>
  <c r="G197" i="12"/>
  <c r="I197" i="12" s="1"/>
  <c r="G205" i="12"/>
  <c r="I205" i="12" s="1"/>
  <c r="G213" i="12"/>
  <c r="I213" i="12" s="1"/>
  <c r="G221" i="12"/>
  <c r="I221" i="12" s="1"/>
  <c r="G229" i="12"/>
  <c r="I229" i="12" s="1"/>
  <c r="G237" i="12"/>
  <c r="I237" i="12" s="1"/>
  <c r="G245" i="12"/>
  <c r="I245" i="12" s="1"/>
  <c r="G253" i="12"/>
  <c r="I253" i="12" s="1"/>
  <c r="G261" i="12"/>
  <c r="I261" i="12" s="1"/>
  <c r="G269" i="12"/>
  <c r="I269" i="12" s="1"/>
  <c r="G277" i="12"/>
  <c r="I277" i="12" s="1"/>
  <c r="G285" i="12"/>
  <c r="I285" i="12" s="1"/>
  <c r="G293" i="12"/>
  <c r="I293" i="12" s="1"/>
  <c r="H197" i="12" l="1"/>
  <c r="H19" i="12"/>
  <c r="H36" i="12"/>
  <c r="H274" i="12"/>
  <c r="H18" i="12"/>
  <c r="H144" i="12"/>
  <c r="H70" i="12"/>
  <c r="H189" i="12"/>
  <c r="H23" i="12"/>
  <c r="H148" i="12"/>
  <c r="H219" i="12"/>
  <c r="H242" i="12"/>
  <c r="H210" i="12"/>
  <c r="H178" i="12"/>
  <c r="H146" i="12"/>
  <c r="H114" i="12"/>
  <c r="H33" i="12"/>
  <c r="H297" i="12"/>
  <c r="H233" i="12"/>
  <c r="H201" i="12"/>
  <c r="H169" i="12"/>
  <c r="H137" i="12"/>
  <c r="H105" i="12"/>
  <c r="H73" i="12"/>
  <c r="H9" i="12"/>
  <c r="H80" i="12"/>
  <c r="H48" i="12"/>
  <c r="H16" i="12"/>
  <c r="H230" i="12"/>
  <c r="H101" i="12"/>
  <c r="H220" i="12"/>
  <c r="H227" i="12"/>
  <c r="H50" i="12"/>
  <c r="H39" i="12"/>
  <c r="H262" i="12"/>
  <c r="H134" i="12"/>
  <c r="H102" i="12"/>
  <c r="H167" i="12"/>
  <c r="H234" i="12"/>
  <c r="H202" i="12"/>
  <c r="H170" i="12"/>
  <c r="H138" i="12"/>
  <c r="H106" i="12"/>
  <c r="H17" i="12"/>
  <c r="H57" i="12"/>
  <c r="H72" i="12"/>
  <c r="H40" i="12"/>
  <c r="H8" i="12"/>
  <c r="H229" i="12"/>
  <c r="H37" i="12"/>
  <c r="H284" i="12"/>
  <c r="H124" i="12"/>
  <c r="H259" i="12"/>
  <c r="H55" i="12"/>
  <c r="H176" i="12"/>
  <c r="H183" i="12"/>
  <c r="H166" i="12"/>
  <c r="H6" i="12"/>
  <c r="H285" i="12"/>
  <c r="H125" i="12"/>
  <c r="H60" i="12"/>
  <c r="H244" i="12"/>
  <c r="H84" i="12"/>
  <c r="H283" i="12"/>
  <c r="H287" i="12"/>
  <c r="H10" i="12"/>
  <c r="H289" i="12"/>
  <c r="H161" i="12"/>
  <c r="H207" i="12"/>
  <c r="H200" i="12"/>
  <c r="H254" i="12"/>
  <c r="H62" i="12"/>
  <c r="H111" i="12"/>
  <c r="H277" i="12"/>
  <c r="H268" i="12"/>
  <c r="H226" i="12"/>
  <c r="H194" i="12"/>
  <c r="H162" i="12"/>
  <c r="H130" i="12"/>
  <c r="H98" i="12"/>
  <c r="H65" i="12"/>
  <c r="H217" i="12"/>
  <c r="H185" i="12"/>
  <c r="H153" i="12"/>
  <c r="H121" i="12"/>
  <c r="H89" i="12"/>
  <c r="H41" i="12"/>
  <c r="H279" i="12"/>
  <c r="H165" i="12"/>
  <c r="H5" i="12"/>
  <c r="H252" i="12"/>
  <c r="H92" i="12"/>
  <c r="H291" i="12"/>
  <c r="H163" i="12"/>
  <c r="H272" i="12"/>
  <c r="H112" i="12"/>
  <c r="H294" i="12"/>
  <c r="H11" i="12"/>
  <c r="H157" i="12"/>
  <c r="H29" i="12"/>
  <c r="H212" i="12"/>
  <c r="H20" i="12"/>
  <c r="H251" i="12"/>
  <c r="H298" i="12"/>
  <c r="H225" i="12"/>
  <c r="H97" i="12"/>
  <c r="H232" i="12"/>
  <c r="H104" i="12"/>
  <c r="H286" i="12"/>
  <c r="H158" i="12"/>
  <c r="H126" i="12"/>
  <c r="H52" i="12"/>
  <c r="H245" i="12"/>
  <c r="H213" i="12"/>
  <c r="H181" i="12"/>
  <c r="H149" i="12"/>
  <c r="H117" i="12"/>
  <c r="H85" i="12"/>
  <c r="H53" i="12"/>
  <c r="H21" i="12"/>
  <c r="H44" i="12"/>
  <c r="H83" i="12"/>
  <c r="H175" i="12"/>
  <c r="H300" i="12"/>
  <c r="H236" i="12"/>
  <c r="H204" i="12"/>
  <c r="H172" i="12"/>
  <c r="H140" i="12"/>
  <c r="H108" i="12"/>
  <c r="H76" i="12"/>
  <c r="H131" i="12"/>
  <c r="H263" i="12"/>
  <c r="H31" i="12"/>
  <c r="H275" i="12"/>
  <c r="H243" i="12"/>
  <c r="H211" i="12"/>
  <c r="H179" i="12"/>
  <c r="H115" i="12"/>
  <c r="H215" i="12"/>
  <c r="H290" i="12"/>
  <c r="H258" i="12"/>
  <c r="H66" i="12"/>
  <c r="H34" i="12"/>
  <c r="H271" i="12"/>
  <c r="H87" i="12"/>
  <c r="H281" i="12"/>
  <c r="H249" i="12"/>
  <c r="H151" i="12"/>
  <c r="H288" i="12"/>
  <c r="H256" i="12"/>
  <c r="H224" i="12"/>
  <c r="H192" i="12"/>
  <c r="H160" i="12"/>
  <c r="H128" i="12"/>
  <c r="H96" i="12"/>
  <c r="H64" i="12"/>
  <c r="H32" i="12"/>
  <c r="H79" i="12"/>
  <c r="H278" i="12"/>
  <c r="H246" i="12"/>
  <c r="H214" i="12"/>
  <c r="H182" i="12"/>
  <c r="H150" i="12"/>
  <c r="H118" i="12"/>
  <c r="AA86" i="12"/>
  <c r="H54" i="12"/>
  <c r="H22" i="12"/>
  <c r="H28" i="12"/>
  <c r="H67" i="12"/>
  <c r="H255" i="12"/>
  <c r="H63" i="12"/>
  <c r="H261" i="12"/>
  <c r="H133" i="12"/>
  <c r="H139" i="12"/>
  <c r="H188" i="12"/>
  <c r="H59" i="12"/>
  <c r="H195" i="12"/>
  <c r="H82" i="12"/>
  <c r="H265" i="12"/>
  <c r="H240" i="12"/>
  <c r="H123" i="12"/>
  <c r="H221" i="12"/>
  <c r="H93" i="12"/>
  <c r="H239" i="12"/>
  <c r="H180" i="12"/>
  <c r="H35" i="12"/>
  <c r="H187" i="12"/>
  <c r="H266" i="12"/>
  <c r="H74" i="12"/>
  <c r="H143" i="12"/>
  <c r="H193" i="12"/>
  <c r="H264" i="12"/>
  <c r="H136" i="12"/>
  <c r="H135" i="12"/>
  <c r="H190" i="12"/>
  <c r="H94" i="12"/>
  <c r="H295" i="12"/>
  <c r="H260" i="12"/>
  <c r="H218" i="12"/>
  <c r="H186" i="12"/>
  <c r="H154" i="12"/>
  <c r="H122" i="12"/>
  <c r="H90" i="12"/>
  <c r="H49" i="12"/>
  <c r="H241" i="12"/>
  <c r="H209" i="12"/>
  <c r="H177" i="12"/>
  <c r="H145" i="12"/>
  <c r="H113" i="12"/>
  <c r="H81" i="12"/>
  <c r="H25" i="12"/>
  <c r="H56" i="12"/>
  <c r="H24" i="12"/>
  <c r="H238" i="12"/>
  <c r="H293" i="12"/>
  <c r="H69" i="12"/>
  <c r="H71" i="12"/>
  <c r="H156" i="12"/>
  <c r="H159" i="12"/>
  <c r="H43" i="12"/>
  <c r="H191" i="12"/>
  <c r="H208" i="12"/>
  <c r="H198" i="12"/>
  <c r="H38" i="12"/>
  <c r="H253" i="12"/>
  <c r="H61" i="12"/>
  <c r="H107" i="12"/>
  <c r="H276" i="12"/>
  <c r="H116" i="12"/>
  <c r="H103" i="12"/>
  <c r="H147" i="12"/>
  <c r="H42" i="12"/>
  <c r="H257" i="12"/>
  <c r="H129" i="12"/>
  <c r="H296" i="12"/>
  <c r="H168" i="12"/>
  <c r="H222" i="12"/>
  <c r="H30" i="12"/>
  <c r="H99" i="12"/>
  <c r="H269" i="12"/>
  <c r="H237" i="12"/>
  <c r="H205" i="12"/>
  <c r="H173" i="12"/>
  <c r="H141" i="12"/>
  <c r="H109" i="12"/>
  <c r="H77" i="12"/>
  <c r="H46" i="12"/>
  <c r="H13" i="12"/>
  <c r="H12" i="12"/>
  <c r="H51" i="12"/>
  <c r="H127" i="12"/>
  <c r="H292" i="12"/>
  <c r="H228" i="12"/>
  <c r="H196" i="12"/>
  <c r="H164" i="12"/>
  <c r="H132" i="12"/>
  <c r="H100" i="12"/>
  <c r="H68" i="12"/>
  <c r="H91" i="12"/>
  <c r="H223" i="12"/>
  <c r="H299" i="12"/>
  <c r="H267" i="12"/>
  <c r="H235" i="12"/>
  <c r="H203" i="12"/>
  <c r="H171" i="12"/>
  <c r="H75" i="12"/>
  <c r="H119" i="12"/>
  <c r="H282" i="12"/>
  <c r="H250" i="12"/>
  <c r="H58" i="12"/>
  <c r="H26" i="12"/>
  <c r="H231" i="12"/>
  <c r="H47" i="12"/>
  <c r="H273" i="12"/>
  <c r="H95" i="12"/>
  <c r="H280" i="12"/>
  <c r="H248" i="12"/>
  <c r="H216" i="12"/>
  <c r="H184" i="12"/>
  <c r="H152" i="12"/>
  <c r="H120" i="12"/>
  <c r="H88" i="12"/>
  <c r="H247" i="12"/>
  <c r="H15" i="12"/>
  <c r="H270" i="12"/>
  <c r="H206" i="12"/>
  <c r="H174" i="12"/>
  <c r="H142" i="12"/>
  <c r="H110" i="12"/>
  <c r="H78" i="12"/>
  <c r="H45" i="12"/>
  <c r="H14" i="12"/>
  <c r="H155" i="12"/>
  <c r="H27" i="12"/>
  <c r="H199" i="12"/>
  <c r="H7" i="12"/>
  <c r="AA152" i="12" l="1"/>
  <c r="AA203" i="12"/>
  <c r="AA13" i="12"/>
  <c r="AA276" i="12"/>
  <c r="AA145" i="12"/>
  <c r="AA261" i="12"/>
  <c r="AA192" i="12"/>
  <c r="AA140" i="12"/>
  <c r="AA104" i="12"/>
  <c r="AA153" i="12"/>
  <c r="AA125" i="12"/>
  <c r="AA201" i="12"/>
  <c r="AA7" i="12"/>
  <c r="AA69" i="12"/>
  <c r="AA94" i="12"/>
  <c r="AA151" i="12"/>
  <c r="AA290" i="12"/>
  <c r="AA98" i="12"/>
  <c r="AA226" i="12"/>
  <c r="AA161" i="12"/>
  <c r="AA283" i="12"/>
  <c r="AA183" i="12"/>
  <c r="AA8" i="12"/>
  <c r="AA17" i="12"/>
  <c r="AA134" i="12"/>
  <c r="AA114" i="12"/>
  <c r="AA14" i="12"/>
  <c r="AA231" i="12"/>
  <c r="AA132" i="12"/>
  <c r="AA168" i="12"/>
  <c r="AA186" i="12"/>
  <c r="AA240" i="12"/>
  <c r="AA118" i="12"/>
  <c r="AA271" i="12"/>
  <c r="AA300" i="12"/>
  <c r="AA298" i="12"/>
  <c r="AA279" i="12"/>
  <c r="AA62" i="12"/>
  <c r="AA227" i="12"/>
  <c r="AA73" i="12"/>
  <c r="AA242" i="12"/>
  <c r="AA199" i="12"/>
  <c r="AA95" i="12"/>
  <c r="AA91" i="12"/>
  <c r="AA190" i="12"/>
  <c r="AA93" i="12"/>
  <c r="AA215" i="12"/>
  <c r="AA126" i="12"/>
  <c r="AA272" i="12"/>
  <c r="AA105" i="12"/>
  <c r="AA247" i="12"/>
  <c r="AA26" i="12"/>
  <c r="AA164" i="12"/>
  <c r="AA99" i="12"/>
  <c r="AA107" i="12"/>
  <c r="AA159" i="12"/>
  <c r="AA177" i="12"/>
  <c r="AA218" i="12"/>
  <c r="AA188" i="12"/>
  <c r="AA22" i="12"/>
  <c r="AA96" i="12"/>
  <c r="AA249" i="12"/>
  <c r="AA175" i="12"/>
  <c r="AA53" i="12"/>
  <c r="AA251" i="12"/>
  <c r="AA41" i="12"/>
  <c r="AA254" i="12"/>
  <c r="AA176" i="12"/>
  <c r="AA40" i="12"/>
  <c r="AA233" i="12"/>
  <c r="AA280" i="12"/>
  <c r="AA223" i="12"/>
  <c r="AA269" i="12"/>
  <c r="AA43" i="12"/>
  <c r="AA49" i="12"/>
  <c r="AA239" i="12"/>
  <c r="AA28" i="12"/>
  <c r="AA263" i="12"/>
  <c r="AA52" i="12"/>
  <c r="AA112" i="12"/>
  <c r="AA202" i="12"/>
  <c r="AA16" i="12"/>
  <c r="AA274" i="12"/>
  <c r="AA296" i="12"/>
  <c r="AA193" i="12"/>
  <c r="AA232" i="12"/>
  <c r="AA130" i="12"/>
  <c r="AA84" i="12"/>
  <c r="AA262" i="12"/>
  <c r="AA184" i="12"/>
  <c r="AA235" i="12"/>
  <c r="AA173" i="12"/>
  <c r="AA147" i="12"/>
  <c r="AA25" i="12"/>
  <c r="AA90" i="12"/>
  <c r="AA187" i="12"/>
  <c r="AA265" i="12"/>
  <c r="AA63" i="12"/>
  <c r="AA278" i="12"/>
  <c r="AA224" i="12"/>
  <c r="AA34" i="12"/>
  <c r="AA243" i="12"/>
  <c r="AA172" i="12"/>
  <c r="AA181" i="12"/>
  <c r="AA157" i="12"/>
  <c r="AA252" i="12"/>
  <c r="AA185" i="12"/>
  <c r="AA268" i="12"/>
  <c r="AA289" i="12"/>
  <c r="AA285" i="12"/>
  <c r="AA284" i="12"/>
  <c r="AA234" i="12"/>
  <c r="AA220" i="12"/>
  <c r="AA48" i="12"/>
  <c r="AA219" i="12"/>
  <c r="AA70" i="12"/>
  <c r="AA36" i="12"/>
  <c r="AA206" i="12"/>
  <c r="AA68" i="12"/>
  <c r="AA103" i="12"/>
  <c r="AA81" i="12"/>
  <c r="AA135" i="12"/>
  <c r="AA143" i="12"/>
  <c r="AA182" i="12"/>
  <c r="AA79" i="12"/>
  <c r="AA281" i="12"/>
  <c r="AA158" i="12"/>
  <c r="AA89" i="12"/>
  <c r="AA277" i="12"/>
  <c r="AA244" i="12"/>
  <c r="AA6" i="12"/>
  <c r="AA55" i="12"/>
  <c r="AA138" i="12"/>
  <c r="AA167" i="12"/>
  <c r="AA39" i="12"/>
  <c r="AA142" i="12"/>
  <c r="AA292" i="12"/>
  <c r="AA38" i="12"/>
  <c r="AA266" i="12"/>
  <c r="AA64" i="12"/>
  <c r="AA21" i="12"/>
  <c r="AA92" i="12"/>
  <c r="AA174" i="12"/>
  <c r="AA198" i="12"/>
  <c r="AA146" i="12"/>
  <c r="AA46" i="12"/>
  <c r="AA119" i="12"/>
  <c r="AA51" i="12"/>
  <c r="AA19" i="12"/>
  <c r="AA110" i="12"/>
  <c r="AA47" i="12"/>
  <c r="AA250" i="12"/>
  <c r="AA299" i="12"/>
  <c r="AA222" i="12"/>
  <c r="AA71" i="12"/>
  <c r="AA123" i="12"/>
  <c r="AA214" i="12"/>
  <c r="AA258" i="12"/>
  <c r="AA44" i="12"/>
  <c r="AA286" i="12"/>
  <c r="AA291" i="12"/>
  <c r="AA121" i="12"/>
  <c r="AA65" i="12"/>
  <c r="AA166" i="12"/>
  <c r="AA259" i="12"/>
  <c r="AA102" i="12"/>
  <c r="AA230" i="12"/>
  <c r="AA33" i="12"/>
  <c r="AA23" i="12"/>
  <c r="AA15" i="12"/>
  <c r="AA282" i="12"/>
  <c r="AA141" i="12"/>
  <c r="AA42" i="12"/>
  <c r="AA56" i="12"/>
  <c r="AA264" i="12"/>
  <c r="AA59" i="12"/>
  <c r="AA246" i="12"/>
  <c r="AA211" i="12"/>
  <c r="AA149" i="12"/>
  <c r="AA29" i="12"/>
  <c r="AA124" i="12"/>
  <c r="AA189" i="12"/>
  <c r="AA127" i="12"/>
  <c r="AA150" i="12"/>
  <c r="AA131" i="12"/>
  <c r="AA106" i="12"/>
  <c r="AA45" i="12"/>
  <c r="AA293" i="12"/>
  <c r="AA27" i="12"/>
  <c r="AA78" i="12"/>
  <c r="AA88" i="12"/>
  <c r="AA216" i="12"/>
  <c r="AA273" i="12"/>
  <c r="AA58" i="12"/>
  <c r="AA75" i="12"/>
  <c r="AA267" i="12"/>
  <c r="AA196" i="12"/>
  <c r="AA77" i="12"/>
  <c r="AA205" i="12"/>
  <c r="AA30" i="12"/>
  <c r="AA129" i="12"/>
  <c r="AA61" i="12"/>
  <c r="AA208" i="12"/>
  <c r="AA156" i="12"/>
  <c r="AA238" i="12"/>
  <c r="AA209" i="12"/>
  <c r="AA122" i="12"/>
  <c r="AA260" i="12"/>
  <c r="AA35" i="12"/>
  <c r="AA221" i="12"/>
  <c r="AA82" i="12"/>
  <c r="AA139" i="12"/>
  <c r="AA255" i="12"/>
  <c r="AA54" i="12"/>
  <c r="AA128" i="12"/>
  <c r="AA256" i="12"/>
  <c r="AA66" i="12"/>
  <c r="AA115" i="12"/>
  <c r="AA275" i="12"/>
  <c r="AA76" i="12"/>
  <c r="AA204" i="12"/>
  <c r="AA83" i="12"/>
  <c r="AA85" i="12"/>
  <c r="AA213" i="12"/>
  <c r="AA97" i="12"/>
  <c r="AA20" i="12"/>
  <c r="AA11" i="12"/>
  <c r="AA163" i="12"/>
  <c r="AA5" i="12"/>
  <c r="AA217" i="12"/>
  <c r="AA162" i="12"/>
  <c r="AA200" i="12"/>
  <c r="AA10" i="12"/>
  <c r="AA37" i="12"/>
  <c r="AA72" i="12"/>
  <c r="AA101" i="12"/>
  <c r="AA80" i="12"/>
  <c r="AA137" i="12"/>
  <c r="AA297" i="12"/>
  <c r="AA178" i="12"/>
  <c r="AA148" i="12"/>
  <c r="AA144" i="12"/>
  <c r="AA155" i="12"/>
  <c r="AA270" i="12"/>
  <c r="AA120" i="12"/>
  <c r="AA248" i="12"/>
  <c r="AA171" i="12"/>
  <c r="AA100" i="12"/>
  <c r="AA228" i="12"/>
  <c r="AA12" i="12"/>
  <c r="AA109" i="12"/>
  <c r="AA237" i="12"/>
  <c r="AA257" i="12"/>
  <c r="AA116" i="12"/>
  <c r="AA253" i="12"/>
  <c r="AA191" i="12"/>
  <c r="AA24" i="12"/>
  <c r="AA113" i="12"/>
  <c r="AA241" i="12"/>
  <c r="AA154" i="12"/>
  <c r="AA295" i="12"/>
  <c r="AA136" i="12"/>
  <c r="AA74" i="12"/>
  <c r="AA180" i="12"/>
  <c r="AA195" i="12"/>
  <c r="AA133" i="12"/>
  <c r="AA67" i="12"/>
  <c r="AA32" i="12"/>
  <c r="AA160" i="12"/>
  <c r="AA288" i="12"/>
  <c r="AA87" i="12"/>
  <c r="AA179" i="12"/>
  <c r="AA31" i="12"/>
  <c r="AA108" i="12"/>
  <c r="AA236" i="12"/>
  <c r="AA117" i="12"/>
  <c r="AA245" i="12"/>
  <c r="AA225" i="12"/>
  <c r="AA212" i="12"/>
  <c r="AA294" i="12"/>
  <c r="AA165" i="12"/>
  <c r="AA194" i="12"/>
  <c r="AA111" i="12"/>
  <c r="AA207" i="12"/>
  <c r="AA287" i="12"/>
  <c r="AA60" i="12"/>
  <c r="AA229" i="12"/>
  <c r="AA57" i="12"/>
  <c r="AA170" i="12"/>
  <c r="AA50" i="12"/>
  <c r="AA9" i="12"/>
  <c r="AA169" i="12"/>
  <c r="AA210" i="12"/>
  <c r="AA18" i="12"/>
  <c r="AA197" i="12"/>
  <c r="D7" i="8"/>
  <c r="P7" i="8" s="1"/>
  <c r="R7" i="8" s="1"/>
  <c r="D6" i="8"/>
  <c r="P6" i="8" s="1"/>
  <c r="R6" i="8" s="1"/>
  <c r="D5" i="8"/>
  <c r="P5" i="8" s="1"/>
  <c r="R5" i="8" s="1"/>
  <c r="D4" i="8"/>
  <c r="P4" i="8" s="1"/>
  <c r="R4" i="8" s="1"/>
  <c r="AC4" i="8" s="1"/>
  <c r="D3" i="8"/>
  <c r="P3" i="8" s="1"/>
  <c r="R3" i="8" s="1"/>
  <c r="AC3" i="8" s="1"/>
  <c r="D2" i="8"/>
  <c r="P2" i="8" s="1"/>
  <c r="R2" i="8" s="1"/>
  <c r="AC2" i="8" s="1"/>
  <c r="AD2" i="8" l="1"/>
  <c r="S6" i="8" s="1"/>
  <c r="F3" i="8"/>
  <c r="F2" i="8"/>
  <c r="H2" i="8" s="1"/>
  <c r="F5" i="8"/>
  <c r="F7" i="8"/>
  <c r="F4" i="8"/>
  <c r="H4" i="8" s="1"/>
  <c r="F6" i="8"/>
  <c r="O12" i="7"/>
  <c r="J12" i="7"/>
  <c r="K12" i="7" s="1"/>
  <c r="D12" i="7"/>
  <c r="D11" i="7"/>
  <c r="D10" i="7"/>
  <c r="N10" i="7" s="1"/>
  <c r="E12" i="7"/>
  <c r="E11" i="7"/>
  <c r="E10" i="7"/>
  <c r="E9" i="7"/>
  <c r="O11" i="7"/>
  <c r="J11" i="7"/>
  <c r="K11" i="7" s="1"/>
  <c r="O9" i="7"/>
  <c r="J9" i="7"/>
  <c r="K9" i="7" s="1"/>
  <c r="D9" i="7"/>
  <c r="N9" i="7" s="1"/>
  <c r="O8" i="7"/>
  <c r="J8" i="7"/>
  <c r="K8" i="7" s="1"/>
  <c r="D8" i="7"/>
  <c r="N8" i="7" s="1"/>
  <c r="D7" i="7"/>
  <c r="F7" i="7" s="1"/>
  <c r="O10" i="7"/>
  <c r="O7" i="7"/>
  <c r="J10" i="7"/>
  <c r="K10" i="7" s="1"/>
  <c r="J7" i="7"/>
  <c r="K7" i="7" s="1"/>
  <c r="L3" i="7"/>
  <c r="H5" i="8" l="1"/>
  <c r="L23" i="13" s="1"/>
  <c r="I23" i="13"/>
  <c r="H3" i="8"/>
  <c r="L27" i="13" s="1"/>
  <c r="I27" i="13"/>
  <c r="H7" i="8"/>
  <c r="L19" i="13" s="1"/>
  <c r="I19" i="13"/>
  <c r="S5" i="8"/>
  <c r="S3" i="8"/>
  <c r="S4" i="8"/>
  <c r="S2" i="8"/>
  <c r="S7" i="8"/>
  <c r="F12" i="7"/>
  <c r="H12" i="7" s="1"/>
  <c r="I12" i="7" s="1"/>
  <c r="F11" i="7"/>
  <c r="H11" i="7" s="1"/>
  <c r="I11" i="7" s="1"/>
  <c r="BA2" i="8"/>
  <c r="H6" i="8"/>
  <c r="N12" i="7"/>
  <c r="P12" i="7" s="1"/>
  <c r="N11" i="7"/>
  <c r="P11" i="7" s="1"/>
  <c r="P9" i="7"/>
  <c r="F10" i="7"/>
  <c r="N7" i="7"/>
  <c r="P7" i="7" s="1"/>
  <c r="F9" i="7"/>
  <c r="P10" i="7"/>
  <c r="P8" i="7"/>
  <c r="F8" i="7"/>
  <c r="H7" i="7"/>
  <c r="I7" i="7" s="1"/>
  <c r="Q7" i="7" l="1"/>
  <c r="Q8" i="7"/>
  <c r="Q9" i="7"/>
  <c r="Q10" i="7"/>
  <c r="Q12" i="7"/>
  <c r="Q11" i="7"/>
  <c r="H10" i="7"/>
  <c r="I10" i="7" s="1"/>
  <c r="H9" i="7"/>
  <c r="I9" i="7" s="1"/>
  <c r="H8" i="7"/>
  <c r="I8" i="7" s="1"/>
  <c r="H6" i="2" l="1"/>
  <c r="J6" i="2" s="1"/>
  <c r="H5" i="2"/>
  <c r="J5" i="2" s="1"/>
  <c r="H14" i="1" l="1"/>
  <c r="G4" i="1"/>
  <c r="G14" i="1" s="1"/>
  <c r="G13" i="13" s="1"/>
  <c r="F4" i="1"/>
  <c r="J13" i="13" l="1"/>
  <c r="I40" i="13" s="1"/>
  <c r="F11" i="2"/>
  <c r="F13" i="2"/>
  <c r="F12" i="2"/>
  <c r="F14" i="1"/>
  <c r="D13" i="13" s="1"/>
  <c r="I2" i="8"/>
  <c r="N4" i="8"/>
  <c r="O4" i="8" s="1"/>
  <c r="N2" i="8"/>
  <c r="O2" i="8" s="1"/>
  <c r="N3" i="8"/>
  <c r="O3" i="8" s="1"/>
  <c r="N6" i="8"/>
  <c r="O6" i="8" s="1"/>
  <c r="N7" i="8"/>
  <c r="O7" i="8" s="1"/>
  <c r="N5" i="8"/>
  <c r="O5" i="8" s="1"/>
  <c r="I3" i="8"/>
  <c r="O26" i="13" s="1"/>
  <c r="I5" i="8"/>
  <c r="O22" i="13" s="1"/>
  <c r="I7" i="8"/>
  <c r="I6" i="8"/>
  <c r="I4" i="8"/>
  <c r="L7" i="7"/>
  <c r="L12" i="7"/>
  <c r="L11" i="7"/>
  <c r="L9" i="7"/>
  <c r="L8" i="7"/>
  <c r="L10" i="7"/>
  <c r="I14" i="5"/>
  <c r="I13" i="5"/>
  <c r="G10" i="5"/>
  <c r="O10" i="5" s="1"/>
  <c r="E10" i="5"/>
  <c r="G9" i="5"/>
  <c r="O9" i="5" s="1"/>
  <c r="E9" i="5"/>
  <c r="G8" i="5"/>
  <c r="E8" i="5"/>
  <c r="G7" i="5"/>
  <c r="O7" i="5" s="1"/>
  <c r="E7" i="5"/>
  <c r="G6" i="5"/>
  <c r="O6" i="5" s="1"/>
  <c r="E6" i="5"/>
  <c r="G5" i="5"/>
  <c r="E5" i="5"/>
  <c r="M4" i="5"/>
  <c r="N4" i="5" s="1"/>
  <c r="G4" i="5"/>
  <c r="E4" i="5"/>
  <c r="M3" i="5"/>
  <c r="N3" i="5" s="1"/>
  <c r="G3" i="5"/>
  <c r="E3" i="5"/>
  <c r="M2" i="5"/>
  <c r="N2" i="5" s="1"/>
  <c r="G2" i="5"/>
  <c r="E2" i="5"/>
  <c r="G18" i="4"/>
  <c r="I18" i="4" s="1"/>
  <c r="G17" i="4"/>
  <c r="I17" i="4" s="1"/>
  <c r="F18" i="4"/>
  <c r="F17" i="4"/>
  <c r="G22" i="4"/>
  <c r="I22" i="4" s="1"/>
  <c r="G19" i="4"/>
  <c r="I19" i="4" s="1"/>
  <c r="F22" i="4"/>
  <c r="F19" i="4"/>
  <c r="G16" i="4"/>
  <c r="I16" i="4" s="1"/>
  <c r="F16" i="4"/>
  <c r="G8" i="4"/>
  <c r="I8" i="4" s="1"/>
  <c r="J8" i="4" s="1"/>
  <c r="G7" i="4"/>
  <c r="I7" i="4" s="1"/>
  <c r="G9" i="4"/>
  <c r="I9" i="4" s="1"/>
  <c r="G5" i="4"/>
  <c r="I5" i="4" s="1"/>
  <c r="G11" i="4"/>
  <c r="I11" i="4" s="1"/>
  <c r="G10" i="4"/>
  <c r="H10" i="4" s="1"/>
  <c r="G12" i="4"/>
  <c r="I12" i="4" s="1"/>
  <c r="G23" i="4"/>
  <c r="H23" i="4" s="1"/>
  <c r="G14" i="4"/>
  <c r="H14" i="4" s="1"/>
  <c r="G15" i="4"/>
  <c r="I15" i="4" s="1"/>
  <c r="F8" i="4"/>
  <c r="F7" i="4"/>
  <c r="F9" i="4"/>
  <c r="F5" i="4"/>
  <c r="F11" i="4"/>
  <c r="F10" i="4"/>
  <c r="F12" i="4"/>
  <c r="F23" i="4"/>
  <c r="F14" i="4"/>
  <c r="F15" i="4"/>
  <c r="G4" i="4"/>
  <c r="H4" i="4" s="1"/>
  <c r="F4" i="4"/>
  <c r="G2" i="4"/>
  <c r="I2" i="4" s="1"/>
  <c r="G3" i="4"/>
  <c r="I3" i="4" s="1"/>
  <c r="G27" i="4"/>
  <c r="H27" i="4" s="1"/>
  <c r="G26" i="4"/>
  <c r="H26" i="4" s="1"/>
  <c r="G25" i="4"/>
  <c r="I25" i="4" s="1"/>
  <c r="G24" i="4"/>
  <c r="I24" i="4" s="1"/>
  <c r="G21" i="4"/>
  <c r="H21" i="4" s="1"/>
  <c r="G20" i="4"/>
  <c r="H20" i="4" s="1"/>
  <c r="G13" i="4"/>
  <c r="H13" i="4" s="1"/>
  <c r="G6" i="4"/>
  <c r="H6" i="4" s="1"/>
  <c r="O18" i="13" l="1"/>
  <c r="I32" i="13"/>
  <c r="I36" i="13"/>
  <c r="J2" i="4"/>
  <c r="J25" i="4"/>
  <c r="I15" i="5"/>
  <c r="I17" i="5" s="1"/>
  <c r="J16" i="4"/>
  <c r="J12" i="4"/>
  <c r="J24" i="4"/>
  <c r="J18" i="4"/>
  <c r="J11" i="4"/>
  <c r="J5" i="4"/>
  <c r="J19" i="4"/>
  <c r="J22" i="4"/>
  <c r="J9" i="4"/>
  <c r="J15" i="4"/>
  <c r="J7" i="4"/>
  <c r="P6" i="5"/>
  <c r="H8" i="5"/>
  <c r="J3" i="4"/>
  <c r="J17" i="4"/>
  <c r="P7" i="5"/>
  <c r="O2" i="5"/>
  <c r="P2" i="5" s="1"/>
  <c r="H2" i="5"/>
  <c r="P9" i="5"/>
  <c r="O3" i="5"/>
  <c r="P3" i="5" s="1"/>
  <c r="H5" i="5"/>
  <c r="O5" i="5"/>
  <c r="P5" i="5" s="1"/>
  <c r="P10" i="5"/>
  <c r="O8" i="5"/>
  <c r="P8" i="5" s="1"/>
  <c r="O4" i="5"/>
  <c r="P4" i="5" s="1"/>
  <c r="H4" i="5"/>
  <c r="H10" i="5"/>
  <c r="H3" i="5"/>
  <c r="H7" i="5"/>
  <c r="H9" i="5"/>
  <c r="H6" i="5"/>
  <c r="H22" i="4"/>
  <c r="H16" i="4"/>
  <c r="H9" i="4"/>
  <c r="H24" i="4"/>
  <c r="H25" i="4"/>
  <c r="H18" i="4"/>
  <c r="H2" i="4"/>
  <c r="H17" i="4"/>
  <c r="H19" i="4"/>
  <c r="I21" i="4"/>
  <c r="J21" i="4" s="1"/>
  <c r="I26" i="4"/>
  <c r="J26" i="4" s="1"/>
  <c r="I10" i="4"/>
  <c r="J10" i="4" s="1"/>
  <c r="H3" i="4"/>
  <c r="I27" i="4"/>
  <c r="J27" i="4" s="1"/>
  <c r="I20" i="4"/>
  <c r="J20" i="4" s="1"/>
  <c r="I6" i="4"/>
  <c r="J6" i="4" s="1"/>
  <c r="I14" i="4"/>
  <c r="J14" i="4" s="1"/>
  <c r="I4" i="4"/>
  <c r="J4" i="4" s="1"/>
  <c r="I13" i="4"/>
  <c r="J13" i="4" s="1"/>
  <c r="H7" i="4"/>
  <c r="I23" i="4"/>
  <c r="J23" i="4" s="1"/>
  <c r="H11" i="4"/>
  <c r="H15" i="4"/>
  <c r="H12" i="4"/>
  <c r="H5" i="4"/>
  <c r="H8" i="4"/>
  <c r="F2" i="4"/>
  <c r="F3" i="4"/>
  <c r="F27" i="4"/>
  <c r="F26" i="4"/>
  <c r="F25" i="4"/>
  <c r="F24" i="4"/>
  <c r="F21" i="4"/>
  <c r="F20" i="4"/>
  <c r="F13" i="4"/>
  <c r="F6" i="4"/>
  <c r="K14" i="3" l="1"/>
  <c r="I14" i="3"/>
  <c r="H14" i="3"/>
  <c r="D2" i="3"/>
  <c r="H2" i="2" l="1"/>
  <c r="J2" i="2" s="1"/>
  <c r="H3" i="2"/>
  <c r="J3" i="2" s="1"/>
  <c r="H4" i="2"/>
  <c r="J4" i="2" s="1"/>
  <c r="AC3" i="12" l="1"/>
  <c r="J293" i="12" l="1"/>
  <c r="J285" i="12"/>
  <c r="J277" i="12"/>
  <c r="J269" i="12"/>
  <c r="J261" i="12"/>
  <c r="J253" i="12"/>
  <c r="J245" i="12"/>
  <c r="J237" i="12"/>
  <c r="J229" i="12"/>
  <c r="J221" i="12"/>
  <c r="J213" i="12"/>
  <c r="J205" i="12"/>
  <c r="J197" i="12"/>
  <c r="J189" i="12"/>
  <c r="J181" i="12"/>
  <c r="J173" i="12"/>
  <c r="J165" i="12"/>
  <c r="J157" i="12"/>
  <c r="J149" i="12"/>
  <c r="J141" i="12"/>
  <c r="J133" i="12"/>
  <c r="J125" i="12"/>
  <c r="J117" i="12"/>
  <c r="J109" i="12"/>
  <c r="J101" i="12"/>
  <c r="J93" i="12"/>
  <c r="J85" i="12"/>
  <c r="J77" i="12"/>
  <c r="J69" i="12"/>
  <c r="J61" i="12"/>
  <c r="J53" i="12"/>
  <c r="J46" i="12"/>
  <c r="J37" i="12"/>
  <c r="J29" i="12"/>
  <c r="J21" i="12"/>
  <c r="J13" i="12"/>
  <c r="J5" i="12"/>
  <c r="J107" i="12"/>
  <c r="J300" i="12"/>
  <c r="J292" i="12"/>
  <c r="J284" i="12"/>
  <c r="J276" i="12"/>
  <c r="J268" i="12"/>
  <c r="J260" i="12"/>
  <c r="J252" i="12"/>
  <c r="J244" i="12"/>
  <c r="J236" i="12"/>
  <c r="J228" i="12"/>
  <c r="J220" i="12"/>
  <c r="J212" i="12"/>
  <c r="J204" i="12"/>
  <c r="J196" i="12"/>
  <c r="J188" i="12"/>
  <c r="J180" i="12"/>
  <c r="J172" i="12"/>
  <c r="J164" i="12"/>
  <c r="J156" i="12"/>
  <c r="J148" i="12"/>
  <c r="J140" i="12"/>
  <c r="J132" i="12"/>
  <c r="J124" i="12"/>
  <c r="J116" i="12"/>
  <c r="J108" i="12"/>
  <c r="J100" i="12"/>
  <c r="J92" i="12"/>
  <c r="J76" i="12"/>
  <c r="J68" i="12"/>
  <c r="J60" i="12"/>
  <c r="J52" i="12"/>
  <c r="J44" i="12"/>
  <c r="J36" i="12"/>
  <c r="J28" i="12"/>
  <c r="J20" i="12"/>
  <c r="J12" i="12"/>
  <c r="J211" i="12"/>
  <c r="J91" i="12"/>
  <c r="J83" i="12"/>
  <c r="J59" i="12"/>
  <c r="J43" i="12"/>
  <c r="J35" i="12"/>
  <c r="J19" i="12"/>
  <c r="J11" i="12"/>
  <c r="J299" i="12"/>
  <c r="J291" i="12"/>
  <c r="J283" i="12"/>
  <c r="J275" i="12"/>
  <c r="J267" i="12"/>
  <c r="J259" i="12"/>
  <c r="J251" i="12"/>
  <c r="J243" i="12"/>
  <c r="J235" i="12"/>
  <c r="J227" i="12"/>
  <c r="J219" i="12"/>
  <c r="J203" i="12"/>
  <c r="J195" i="12"/>
  <c r="J187" i="12"/>
  <c r="J179" i="12"/>
  <c r="J171" i="12"/>
  <c r="J163" i="12"/>
  <c r="J155" i="12"/>
  <c r="J147" i="12"/>
  <c r="J139" i="12"/>
  <c r="J131" i="12"/>
  <c r="J123" i="12"/>
  <c r="J115" i="12"/>
  <c r="J99" i="12"/>
  <c r="J75" i="12"/>
  <c r="J51" i="12"/>
  <c r="J27" i="12"/>
  <c r="J298" i="12"/>
  <c r="J290" i="12"/>
  <c r="J282" i="12"/>
  <c r="J274" i="12"/>
  <c r="J266" i="12"/>
  <c r="J258" i="12"/>
  <c r="J250" i="12"/>
  <c r="J242" i="12"/>
  <c r="J234" i="12"/>
  <c r="J226" i="12"/>
  <c r="J218" i="12"/>
  <c r="J210" i="12"/>
  <c r="J202" i="12"/>
  <c r="J194" i="12"/>
  <c r="J186" i="12"/>
  <c r="J178" i="12"/>
  <c r="J170" i="12"/>
  <c r="J162" i="12"/>
  <c r="J154" i="12"/>
  <c r="J146" i="12"/>
  <c r="J138" i="12"/>
  <c r="J130" i="12"/>
  <c r="J122" i="12"/>
  <c r="J114" i="12"/>
  <c r="J106" i="12"/>
  <c r="J98" i="12"/>
  <c r="J90" i="12"/>
  <c r="J82" i="12"/>
  <c r="J74" i="12"/>
  <c r="J66" i="12"/>
  <c r="J58" i="12"/>
  <c r="J50" i="12"/>
  <c r="J42" i="12"/>
  <c r="J34" i="12"/>
  <c r="J26" i="12"/>
  <c r="J18" i="12"/>
  <c r="J10" i="12"/>
  <c r="J279" i="12"/>
  <c r="J263" i="12"/>
  <c r="J239" i="12"/>
  <c r="J215" i="12"/>
  <c r="J199" i="12"/>
  <c r="J175" i="12"/>
  <c r="J143" i="12"/>
  <c r="J127" i="12"/>
  <c r="J103" i="12"/>
  <c r="J87" i="12"/>
  <c r="J63" i="12"/>
  <c r="J47" i="12"/>
  <c r="J23" i="12"/>
  <c r="J297" i="12"/>
  <c r="J289" i="12"/>
  <c r="J281" i="12"/>
  <c r="J273" i="12"/>
  <c r="J265" i="12"/>
  <c r="J257" i="12"/>
  <c r="J249" i="12"/>
  <c r="J241" i="12"/>
  <c r="J233" i="12"/>
  <c r="J225" i="12"/>
  <c r="J217" i="12"/>
  <c r="J209" i="12"/>
  <c r="J201" i="12"/>
  <c r="J193" i="12"/>
  <c r="J185" i="12"/>
  <c r="J177" i="12"/>
  <c r="J169" i="12"/>
  <c r="J161" i="12"/>
  <c r="J153" i="12"/>
  <c r="J145" i="12"/>
  <c r="J137" i="12"/>
  <c r="J129" i="12"/>
  <c r="J121" i="12"/>
  <c r="J113" i="12"/>
  <c r="J105" i="12"/>
  <c r="J97" i="12"/>
  <c r="J89" i="12"/>
  <c r="J81" i="12"/>
  <c r="J73" i="12"/>
  <c r="J65" i="12"/>
  <c r="J57" i="12"/>
  <c r="J49" i="12"/>
  <c r="J41" i="12"/>
  <c r="J33" i="12"/>
  <c r="J25" i="12"/>
  <c r="J17" i="12"/>
  <c r="J9" i="12"/>
  <c r="J287" i="12"/>
  <c r="J271" i="12"/>
  <c r="J247" i="12"/>
  <c r="J231" i="12"/>
  <c r="J207" i="12"/>
  <c r="J191" i="12"/>
  <c r="J167" i="12"/>
  <c r="J151" i="12"/>
  <c r="J135" i="12"/>
  <c r="J111" i="12"/>
  <c r="J95" i="12"/>
  <c r="J71" i="12"/>
  <c r="J39" i="12"/>
  <c r="J15" i="12"/>
  <c r="J296" i="12"/>
  <c r="J288" i="12"/>
  <c r="J280" i="12"/>
  <c r="J272" i="12"/>
  <c r="J264" i="12"/>
  <c r="J256" i="12"/>
  <c r="J248" i="12"/>
  <c r="J240" i="12"/>
  <c r="J232" i="12"/>
  <c r="J224" i="12"/>
  <c r="J216" i="12"/>
  <c r="J208" i="12"/>
  <c r="J200" i="12"/>
  <c r="J192" i="12"/>
  <c r="J184" i="12"/>
  <c r="J176" i="12"/>
  <c r="J168" i="12"/>
  <c r="J160" i="12"/>
  <c r="J152" i="12"/>
  <c r="J144" i="12"/>
  <c r="J136" i="12"/>
  <c r="J128" i="12"/>
  <c r="J120" i="12"/>
  <c r="J112" i="12"/>
  <c r="J104" i="12"/>
  <c r="J96" i="12"/>
  <c r="J88" i="12"/>
  <c r="J80" i="12"/>
  <c r="J72" i="12"/>
  <c r="J64" i="12"/>
  <c r="J56" i="12"/>
  <c r="J48" i="12"/>
  <c r="J40" i="12"/>
  <c r="J32" i="12"/>
  <c r="J24" i="12"/>
  <c r="J16" i="12"/>
  <c r="J8" i="12"/>
  <c r="J295" i="12"/>
  <c r="J255" i="12"/>
  <c r="J223" i="12"/>
  <c r="J183" i="12"/>
  <c r="J159" i="12"/>
  <c r="J119" i="12"/>
  <c r="J79" i="12"/>
  <c r="J55" i="12"/>
  <c r="J31" i="12"/>
  <c r="J7" i="12"/>
  <c r="J294" i="12"/>
  <c r="J286" i="12"/>
  <c r="J278" i="12"/>
  <c r="J270" i="12"/>
  <c r="J262" i="12"/>
  <c r="J254" i="12"/>
  <c r="J246" i="12"/>
  <c r="J238" i="12"/>
  <c r="J230" i="12"/>
  <c r="J222" i="12"/>
  <c r="J214" i="12"/>
  <c r="J206" i="12"/>
  <c r="J198" i="12"/>
  <c r="J190" i="12"/>
  <c r="J182" i="12"/>
  <c r="J174" i="12"/>
  <c r="J166" i="12"/>
  <c r="J158" i="12"/>
  <c r="J150" i="12"/>
  <c r="J142" i="12"/>
  <c r="J134" i="12"/>
  <c r="J126" i="12"/>
  <c r="J118" i="12"/>
  <c r="J110" i="12"/>
  <c r="J102" i="12"/>
  <c r="J94" i="12"/>
  <c r="J86" i="12"/>
  <c r="J78" i="12"/>
  <c r="J70" i="12"/>
  <c r="J62" i="12"/>
  <c r="J54" i="12"/>
  <c r="J45" i="12"/>
  <c r="J38" i="12"/>
  <c r="J30" i="12"/>
  <c r="J22" i="12"/>
  <c r="J14" i="12"/>
  <c r="J6" i="12"/>
  <c r="J67" i="12"/>
  <c r="J84" i="12"/>
  <c r="I11" i="2"/>
  <c r="BA2" i="13" s="1"/>
  <c r="I13" i="2"/>
  <c r="BC2" i="13" s="1"/>
  <c r="I12" i="2"/>
  <c r="BB2" i="13" s="1"/>
  <c r="BD2" i="13" l="1"/>
  <c r="BB3" i="13" s="1"/>
  <c r="B23" i="13" s="1"/>
  <c r="C23" i="13" s="1"/>
  <c r="BC3" i="13" l="1"/>
  <c r="B27" i="13" s="1"/>
  <c r="C27" i="13" s="1"/>
  <c r="BA3" i="13"/>
  <c r="B19" i="13" s="1"/>
  <c r="C19" i="13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C4786F3-A5E3-4146-8098-82D9A173920E}" keepAlive="1" name="ModelConnection_ExternalData_1" description="Data Model" type="5" refreshedVersion="6" minRefreshableVersion="5" saveData="1">
    <dbPr connection="Data Model Connection" command="Intel DB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05808EBB-8263-49CF-B056-43D6AAF5ADE3}" name="Query - Intel DB" description="Connection to the 'Intel DB' query in the workbook." type="100" refreshedVersion="6" minRefreshableVersion="5">
    <extLst>
      <ext xmlns:x15="http://schemas.microsoft.com/office/spreadsheetml/2010/11/main" uri="{DE250136-89BD-433C-8126-D09CA5730AF9}">
        <x15:connection id="5fcf8a6e-bdcc-4a94-bce8-cca858448f39"/>
      </ext>
    </extLst>
  </connection>
  <connection id="3" xr16:uid="{E2118DB5-54C5-4171-98EB-4DDA7BA96AB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<sst xmlns="http://schemas.openxmlformats.org/spreadsheetml/2006/main" count="647" uniqueCount="429">
  <si>
    <t>Profile Group</t>
  </si>
  <si>
    <t>vCPU</t>
  </si>
  <si>
    <t>Quantity</t>
  </si>
  <si>
    <t>Total Cores</t>
  </si>
  <si>
    <t>Server Quantity</t>
  </si>
  <si>
    <t>Graphics Card Type</t>
  </si>
  <si>
    <t>P40</t>
  </si>
  <si>
    <t>M60</t>
  </si>
  <si>
    <t>M10</t>
  </si>
  <si>
    <t>T4</t>
  </si>
  <si>
    <t>Memory /Card (GB)</t>
  </si>
  <si>
    <t>CUDA Cores</t>
  </si>
  <si>
    <t>Power (W)</t>
  </si>
  <si>
    <t>Thermal</t>
  </si>
  <si>
    <t>passive</t>
  </si>
  <si>
    <t>active/passive</t>
  </si>
  <si>
    <t>Total Memory (GB)</t>
  </si>
  <si>
    <t>Dell R640</t>
  </si>
  <si>
    <t>Dell R740</t>
  </si>
  <si>
    <t>Memory (GB)</t>
  </si>
  <si>
    <t>Switch</t>
  </si>
  <si>
    <t>Ports</t>
  </si>
  <si>
    <t>Switch Quantity</t>
  </si>
  <si>
    <t>Total Ports</t>
  </si>
  <si>
    <t>S5224</t>
  </si>
  <si>
    <t>Fiber Ports Needed</t>
  </si>
  <si>
    <t>Cable Quantity</t>
  </si>
  <si>
    <t>Cable Type</t>
  </si>
  <si>
    <t>Scenario</t>
  </si>
  <si>
    <t>Frankenstein</t>
  </si>
  <si>
    <t>SFP+ TwinAx</t>
  </si>
  <si>
    <t>HPE Gen10</t>
  </si>
  <si>
    <t>SFP28 TwinAx</t>
  </si>
  <si>
    <t>Dell Unity 650F</t>
  </si>
  <si>
    <t>Description</t>
  </si>
  <si>
    <t>VxRail</t>
  </si>
  <si>
    <t>v570F</t>
  </si>
  <si>
    <t>HPE Gen 9</t>
  </si>
  <si>
    <t>HPE Gen8</t>
  </si>
  <si>
    <t>Total</t>
  </si>
  <si>
    <t>Processor Identifier</t>
  </si>
  <si>
    <t>Processor Name</t>
  </si>
  <si>
    <t>Cores</t>
  </si>
  <si>
    <t>Speed (GHz)</t>
  </si>
  <si>
    <t>List Price</t>
  </si>
  <si>
    <t>Cost Per Core</t>
  </si>
  <si>
    <t>8280L</t>
  </si>
  <si>
    <t>8280M</t>
  </si>
  <si>
    <t>Capacity Per Socket (GHz)</t>
  </si>
  <si>
    <t>Capacity per Server (GHz) (assuming 2 sockets)</t>
  </si>
  <si>
    <t>Cost per GHz</t>
  </si>
  <si>
    <t>8260L</t>
  </si>
  <si>
    <t>8260M</t>
  </si>
  <si>
    <t>8276M</t>
  </si>
  <si>
    <t>8276L</t>
  </si>
  <si>
    <t>6262V</t>
  </si>
  <si>
    <t>6222V</t>
  </si>
  <si>
    <t>6240M</t>
  </si>
  <si>
    <t>6240L</t>
  </si>
  <si>
    <t>Memory Identifier</t>
  </si>
  <si>
    <t>Memory Type</t>
  </si>
  <si>
    <t>Memory Size</t>
  </si>
  <si>
    <t>Memory Total</t>
  </si>
  <si>
    <t>List Price /per</t>
  </si>
  <si>
    <t>List Price Total</t>
  </si>
  <si>
    <t>Cost per GB</t>
  </si>
  <si>
    <t>Proc Requirement</t>
  </si>
  <si>
    <t>Dependent Memory Type</t>
  </si>
  <si>
    <t>Dependent Memory Quantity</t>
  </si>
  <si>
    <t>Total Cost</t>
  </si>
  <si>
    <t>Total Cost per GB</t>
  </si>
  <si>
    <t>DCPMM 6144</t>
  </si>
  <si>
    <t>Optane</t>
  </si>
  <si>
    <t>L</t>
  </si>
  <si>
    <t>RDIMM 2933</t>
  </si>
  <si>
    <t>DCPMM 3072</t>
  </si>
  <si>
    <t>M</t>
  </si>
  <si>
    <t>DCPMM 1536</t>
  </si>
  <si>
    <t>n/a</t>
  </si>
  <si>
    <t>RDIMM 1536</t>
  </si>
  <si>
    <t>RDIMM 768</t>
  </si>
  <si>
    <t>RDIMM 384</t>
  </si>
  <si>
    <t>LRDIMM 3072</t>
  </si>
  <si>
    <t>LRDIMM 2666</t>
  </si>
  <si>
    <t>LRDIMM 1536</t>
  </si>
  <si>
    <t>LRDIMM 768</t>
  </si>
  <si>
    <t>32G DIMM</t>
  </si>
  <si>
    <t>128G DCPMM</t>
  </si>
  <si>
    <t>Total GB</t>
  </si>
  <si>
    <t>Total vGPU Requirement (GB)</t>
  </si>
  <si>
    <t>Total Memory Requirement</t>
  </si>
  <si>
    <t>Total vCPU Requirement</t>
  </si>
  <si>
    <t>Dependent Memory Size (minimum)</t>
  </si>
  <si>
    <t>List Price /per DIMM</t>
  </si>
  <si>
    <t xml:space="preserve">List Price Total Dependent </t>
  </si>
  <si>
    <t>GPU</t>
  </si>
  <si>
    <t>Server Model</t>
  </si>
  <si>
    <t>Cisco B200</t>
  </si>
  <si>
    <t>Processor</t>
  </si>
  <si>
    <t>Total GHz</t>
  </si>
  <si>
    <t>E5-2670v3</t>
  </si>
  <si>
    <t>Total Processor Quantity</t>
  </si>
  <si>
    <t>Notes</t>
  </si>
  <si>
    <t>Percent Less than most expensive</t>
  </si>
  <si>
    <t>Total GPU Cost</t>
  </si>
  <si>
    <t>RTX8000</t>
  </si>
  <si>
    <t>.5, 1, 2, 4, 8</t>
  </si>
  <si>
    <t>Profile Options (GB)</t>
  </si>
  <si>
    <t>1,2,3,4,6,8,12,24</t>
  </si>
  <si>
    <t>.5,1,2,4,8</t>
  </si>
  <si>
    <t>1,2,3,4,6,8,12,16,24,48</t>
  </si>
  <si>
    <t>1,2,4,8,16</t>
  </si>
  <si>
    <t>Supported Servers Matrix</t>
  </si>
  <si>
    <t>Cost Per User (using lowest profile)</t>
  </si>
  <si>
    <t>Memory Utilization</t>
  </si>
  <si>
    <t>Estimated Memory Utilization</t>
  </si>
  <si>
    <t>GHz Capacity</t>
  </si>
  <si>
    <t>GHz Consumed</t>
  </si>
  <si>
    <t>GHz Utilization Percentage</t>
  </si>
  <si>
    <t>Total Nvidia Cost</t>
  </si>
  <si>
    <t>Total Processor Costs (List)</t>
  </si>
  <si>
    <t>Processor Utilization (Cluster)</t>
  </si>
  <si>
    <t>Estimated Processor Utilization</t>
  </si>
  <si>
    <t>Memory Capacity</t>
  </si>
  <si>
    <t>Memory Consumed</t>
  </si>
  <si>
    <t>Cores per Socket</t>
  </si>
  <si>
    <t>Core GHz</t>
  </si>
  <si>
    <t>vCPU:pCPU Ratio</t>
  </si>
  <si>
    <t>(24) 64GB DIMMs for 1536GB per host</t>
  </si>
  <si>
    <t>Total Memory Costs (List)</t>
  </si>
  <si>
    <t>(12) 64GB DIMMs for 768GB per host</t>
  </si>
  <si>
    <t>vCPU:pCPU Ratio (assuming 250 users)</t>
  </si>
  <si>
    <t>Total (proc &amp; mem)</t>
  </si>
  <si>
    <t>Summary</t>
  </si>
  <si>
    <t>% Lower than Most Expensive</t>
  </si>
  <si>
    <t>*only 250 users are considered for calculations and this number will grow</t>
  </si>
  <si>
    <t xml:space="preserve">Need four to cover cpu capacity in single node failure and factoring future growth*.  </t>
  </si>
  <si>
    <t>Need four to cover memory capacity in single node failure and factoring future growth*.</t>
  </si>
  <si>
    <t>Need five to cover cpu capacity in single node failure and factoring future growth*.</t>
  </si>
  <si>
    <t>Utilization with roughly 250 users logged in.</t>
  </si>
  <si>
    <t>Recommended 1:4 ratio (RDIMM to DCPMM)</t>
  </si>
  <si>
    <t>still lower than RDIMM alone</t>
  </si>
  <si>
    <t>Memory (DIMM) Type</t>
  </si>
  <si>
    <t>Memory (DIMM) Quantity</t>
  </si>
  <si>
    <t>Memory (DIMM) Size</t>
  </si>
  <si>
    <t>Existing Environment</t>
  </si>
  <si>
    <t>VDI Environment Already in Place?</t>
  </si>
  <si>
    <t>Yes</t>
  </si>
  <si>
    <t>No</t>
  </si>
  <si>
    <t xml:space="preserve"> -Choose-</t>
  </si>
  <si>
    <t>8280M, 28, 2.7</t>
  </si>
  <si>
    <t>8268, 24, 2.9</t>
  </si>
  <si>
    <t>8280L, 28, 2.7</t>
  </si>
  <si>
    <t>8280, 28, 2.7</t>
  </si>
  <si>
    <t>8270, 26, 2.7</t>
  </si>
  <si>
    <t>8276M, 28, 2.2</t>
  </si>
  <si>
    <t>8276L, 28, 2.2</t>
  </si>
  <si>
    <t>8276, 28, 2.2</t>
  </si>
  <si>
    <t>8260M, 24, 2.4</t>
  </si>
  <si>
    <t>8260L, 24, 2.4</t>
  </si>
  <si>
    <t>8260, 24, 2.4</t>
  </si>
  <si>
    <t>6254, 18, 3.1</t>
  </si>
  <si>
    <t>6252, 24, 2.1</t>
  </si>
  <si>
    <t>6248, 20, 2.5</t>
  </si>
  <si>
    <t>6240, 18, 2.6</t>
  </si>
  <si>
    <t>6240M, 18, 2.6</t>
  </si>
  <si>
    <t>6240L, 18, 2.6</t>
  </si>
  <si>
    <t>6262V, 24, 1.9</t>
  </si>
  <si>
    <t>6242, 16, 2.8</t>
  </si>
  <si>
    <t>6246, 12, 3.3</t>
  </si>
  <si>
    <t>6222V, 20, 1.8</t>
  </si>
  <si>
    <t>8253, 16, 2.2</t>
  </si>
  <si>
    <t>6244, 8, 3.6</t>
  </si>
  <si>
    <t>6234, 8, 3.3</t>
  </si>
  <si>
    <t>5217, 8, 3.0</t>
  </si>
  <si>
    <t>4215, 8, 2.5</t>
  </si>
  <si>
    <t>on VDI Profiles worksheet, give ability to create multiple vdi profiles</t>
  </si>
  <si>
    <t>Product Name</t>
  </si>
  <si>
    <t>Intel® Xeon® Platinum 9282 Processor</t>
  </si>
  <si>
    <t>Intel® Xeon® Platinum 9242 Processor</t>
  </si>
  <si>
    <t>Intel® Xeon® Platinum 9222 Processor</t>
  </si>
  <si>
    <t>Intel® Xeon® Platinum 9221 Processor</t>
  </si>
  <si>
    <t>Intel® Xeon® Platinum 8280L Processor</t>
  </si>
  <si>
    <t>Intel® Xeon® Platinum 8280 Processor</t>
  </si>
  <si>
    <t>Intel® Xeon® Platinum 8276L Processor</t>
  </si>
  <si>
    <t>Intel® Xeon® Platinum 8276 Processor</t>
  </si>
  <si>
    <t>Intel® Xeon® Platinum 8270 Processor</t>
  </si>
  <si>
    <t>Intel® Xeon® Platinum 8268 Processor</t>
  </si>
  <si>
    <t>Intel® Xeon® Platinum 8260Y Processor</t>
  </si>
  <si>
    <t>Intel® Xeon® Platinum 8260L Processor</t>
  </si>
  <si>
    <t>Intel® Xeon® Platinum 8260 Processor</t>
  </si>
  <si>
    <t>Intel® Xeon® Platinum 8256 Processor</t>
  </si>
  <si>
    <t>Intel® Xeon® Platinum 8253 Processor</t>
  </si>
  <si>
    <t>Intel® Xeon® Gold 6262V Processor</t>
  </si>
  <si>
    <t>Intel® Xeon® Gold 6258R Processor</t>
  </si>
  <si>
    <t>Intel® Xeon® Gold 6256 Processor</t>
  </si>
  <si>
    <t>Intel® Xeon® Gold 6254 Processor</t>
  </si>
  <si>
    <t>Intel® Xeon® Gold 6252N Processor</t>
  </si>
  <si>
    <t>Intel® Xeon® Gold 6252 Processor</t>
  </si>
  <si>
    <t>Intel® Xeon® Gold 6250L Processor</t>
  </si>
  <si>
    <t>Intel® Xeon® Gold 6250 Processor</t>
  </si>
  <si>
    <t>Intel® Xeon® Gold 6248R Processor</t>
  </si>
  <si>
    <t>Intel® Xeon® Gold 6248 Processor</t>
  </si>
  <si>
    <t>Intel® Xeon® Gold 6246R Processor</t>
  </si>
  <si>
    <t>Intel® Xeon® Gold 6246 Processor</t>
  </si>
  <si>
    <t>Intel® Xeon® Gold 6244 Processor</t>
  </si>
  <si>
    <t>Intel® Xeon® Gold 6242R Processor</t>
  </si>
  <si>
    <t>Intel® Xeon® Gold 6242 Processor</t>
  </si>
  <si>
    <t>Intel® Xeon® Gold 6240Y Processor</t>
  </si>
  <si>
    <t>Intel® Xeon® Gold 6240R Processor</t>
  </si>
  <si>
    <t>Intel® Xeon® Gold 6240L Processor</t>
  </si>
  <si>
    <t>Intel® Xeon® Gold 6240 Processor</t>
  </si>
  <si>
    <t>Intel® Xeon® Gold 6238T Processor</t>
  </si>
  <si>
    <t>Intel® Xeon® Gold 6238R Processor</t>
  </si>
  <si>
    <t>Intel® Xeon® Gold 6238L Processor</t>
  </si>
  <si>
    <t>Intel® Xeon® Gold 6238 Processor</t>
  </si>
  <si>
    <t>Intel® Xeon® Gold 6234 Processor</t>
  </si>
  <si>
    <t>Intel® Xeon® Gold 6230T Processor</t>
  </si>
  <si>
    <t>Intel® Xeon® Gold 6230N Processor</t>
  </si>
  <si>
    <t>Intel® Xeon® Gold 6230R Processor</t>
  </si>
  <si>
    <t>Intel® Xeon® Gold 6230 Processor</t>
  </si>
  <si>
    <t>Intel® Xeon® Gold 6226R Processor</t>
  </si>
  <si>
    <t>Intel® Xeon® Gold 6226 Processor</t>
  </si>
  <si>
    <t>Intel® Xeon® Gold 6222V Processor</t>
  </si>
  <si>
    <t>Intel® Xeon® Gold 6208U Processor</t>
  </si>
  <si>
    <t>Intel® Xeon® Gold 5222 Processor</t>
  </si>
  <si>
    <t>Intel® Xeon® Gold 5220T Processor</t>
  </si>
  <si>
    <t>Intel® Xeon® Gold 5220S Processor</t>
  </si>
  <si>
    <t>Intel® Xeon® Gold 5220R Processor</t>
  </si>
  <si>
    <t>Intel® Xeon® Gold 5220 Processor</t>
  </si>
  <si>
    <t>Intel® Xeon® Gold 5218T Processor</t>
  </si>
  <si>
    <t>Intel® Xeon® Gold 5218R Processor</t>
  </si>
  <si>
    <t>Intel® Xeon® Gold 5218N Processor</t>
  </si>
  <si>
    <t>Intel® Xeon® Gold 5218B Processor</t>
  </si>
  <si>
    <t>Intel® Xeon® Gold 5218 Processor</t>
  </si>
  <si>
    <t>Intel® Xeon® Gold 5217 Processor</t>
  </si>
  <si>
    <t>Intel® Xeon® Gold 5215L Processor</t>
  </si>
  <si>
    <t>Intel® Xeon® Gold 5215 Processor</t>
  </si>
  <si>
    <t>Intel® Xeon® Silver 4216 Processor</t>
  </si>
  <si>
    <t>Intel® Xeon® Silver 4215R Processor</t>
  </si>
  <si>
    <t>Intel® Xeon® Silver 4215 Processor</t>
  </si>
  <si>
    <t>Intel® Xeon® Silver 4214Y Processor</t>
  </si>
  <si>
    <t>Intel® Xeon® Silver 4214R Processor</t>
  </si>
  <si>
    <t>Intel® Xeon® Silver 4214 Processor</t>
  </si>
  <si>
    <t>Intel® Xeon® Silver 4210T Processor</t>
  </si>
  <si>
    <t>Intel® Xeon® Silver 4210R Processor</t>
  </si>
  <si>
    <t>Intel® Xeon® Silver 4210 Processor</t>
  </si>
  <si>
    <t>Intel® Xeon® Silver 4209T Processor</t>
  </si>
  <si>
    <t>Intel® Xeon® Silver 4208 Processor</t>
  </si>
  <si>
    <t>Intel® Xeon® Bronze 3206R Processor</t>
  </si>
  <si>
    <t>Intel® Xeon® Bronze 3204 Processor</t>
  </si>
  <si>
    <t>List Price*</t>
  </si>
  <si>
    <t>Processor Model</t>
  </si>
  <si>
    <t>Processor Details</t>
  </si>
  <si>
    <t>https://ark.intel.com/content/www/us/en/ark/products/194146/intel-xeon-platinum-9282-processor-77m-cache-2-60-ghz.html</t>
  </si>
  <si>
    <t>https://ark.intel.com/content/www/us/en/ark/products/194145/intel-xeon-platinum-9242-processor-71-5m-cache-2-30-ghz.html</t>
  </si>
  <si>
    <t>https://ark.intel.com/content/www/us/en/ark/products/195437/intel-xeon-platinum-9222-processor-71-5m-cache-2-30-ghz.html</t>
  </si>
  <si>
    <t>https://ark.intel.com/content/www/us/en/ark/products/195434/intel-xeon-platinum-9221-processor-71-5m-cache-2-30-ghz.html</t>
  </si>
  <si>
    <t>https://ark.intel.com/content/www/us/en/ark/products/192472/intel-xeon-platinum-8280l-processor-38-5m-cache-2-70-ghz.html</t>
  </si>
  <si>
    <t>https://ark.intel.com/content/www/us/en/ark/products/192478/intel-xeon-platinum-8280-processor-38-5m-cache-2-70-ghz.html</t>
  </si>
  <si>
    <t>https://ark.intel.com/content/www/us/en/ark/products/192475/intel-xeon-platinum-8276l-processor-38-5m-cache-2-20-ghz.html</t>
  </si>
  <si>
    <t>https://ark.intel.com/content/www/us/en/ark/products/192470/intel-xeon-platinum-8276-processor-38-5m-cache-2-20-ghz.html</t>
  </si>
  <si>
    <t>https://ark.intel.com/content/www/us/en/ark/products/192482/intel-xeon-platinum-8270-processor-35-75m-cache-2-70-ghz.html</t>
  </si>
  <si>
    <t>https://ark.intel.com/content/www/us/en/ark/products/192481/intel-xeon-platinum-8268-processor-35-75m-cache-2-90-ghz.html</t>
  </si>
  <si>
    <t>https://ark.intel.com/content/www/us/en/ark/products/192480/intel-xeon-platinum-8260y-processor-35-75m-cache-2-40-ghz.html</t>
  </si>
  <si>
    <t>https://ark.intel.com/content/www/us/en/ark/products/192476/intel-xeon-platinum-8260l-processor-35-75m-cache-2-40-ghz.html</t>
  </si>
  <si>
    <t>https://ark.intel.com/content/www/us/en/ark/products/192474/intel-xeon-platinum-8260-processor-35-75m-cache-2-40-ghz.html</t>
  </si>
  <si>
    <t>https://ark.intel.com/content/www/us/en/ark/products/192467/intel-xeon-platinum-8256-processor-16-5m-cache-3-80-ghz.html</t>
  </si>
  <si>
    <t>https://ark.intel.com/content/www/us/en/ark/products/192465/intel-xeon-platinum-8253-processor-22m-cache-2-20-ghz.html</t>
  </si>
  <si>
    <t>https://ark.intel.com/content/www/us/en/ark/products/199350/intel-xeon-gold-6258r-processor-38-5m-cache-2-70-ghz.html</t>
  </si>
  <si>
    <t>https://ark.intel.com/content/www/us/en/ark/products/198655/intel-xeon-gold-6256-processor-33m-cache-3-60-ghz.html</t>
  </si>
  <si>
    <t>https://ark.intel.com/content/www/us/en/ark/products/192451/intel-xeon-gold-6254-processor-24-75m-cache-3-10-ghz.html</t>
  </si>
  <si>
    <t>https://ark.intel.com/content/www/us/en/ark/products/193951/intel-xeon-gold-6252n-processor-35-75m-cache-2-30-ghz.html</t>
  </si>
  <si>
    <t>https://ark.intel.com/content/www/us/en/ark/products/192447/intel-xeon-gold-6252-processor-35-75m-cache-2-10-ghz.html</t>
  </si>
  <si>
    <t>https://ark.intel.com/content/www/us/en/ark/products/202780/intel-xeon-gold-6250l-processor-35-75m-cache-3-90-ghz.html</t>
  </si>
  <si>
    <t>https://ark.intel.com/content/www/us/en/ark/products/199351/intel-xeon-gold-6248r-processor-35-75m-cache-3-00-ghz.html</t>
  </si>
  <si>
    <t>https://ark.intel.com/content/www/us/en/ark/products/192446/intel-xeon-gold-6248-processor-27-5m-cache-2-50-ghz.html</t>
  </si>
  <si>
    <t>https://ark.intel.com/content/www/us/en/ark/products/199353/intel-xeon-gold-6246r-processor-35-75m-cache-3-40-ghz.html</t>
  </si>
  <si>
    <t>https://ark.intel.com/content/www/us/en/ark/products/193969/intel-xeon-gold-6246-processor-24-75m-cache-3-30-ghz.html</t>
  </si>
  <si>
    <t>https://ark.intel.com/content/www/us/en/ark/products/192442/intel-xeon-gold-6244-processor-24-75m-cache-3-60-ghz.html</t>
  </si>
  <si>
    <t>https://ark.intel.com/content/www/us/en/ark/products/192440/intel-xeon-gold-6242-processor-22m-cache-2-80-ghz.html</t>
  </si>
  <si>
    <t>https://ark.intel.com/content/www/us/en/ark/products/199343/intel-xeon-gold-6240r-processor-35-75m-cache-2-40-ghz.html</t>
  </si>
  <si>
    <t>https://ark.intel.com/content/www/us/en/ark/products/192443/intel-xeon-gold-6240-processor-24-75m-cache-2-60-ghz.html</t>
  </si>
  <si>
    <t>https://ark.intel.com/content/www/us/en/ark/products/192439/intel-xeon-gold-6238t-processor-30-25m-cache-1-90-ghz.html</t>
  </si>
  <si>
    <t>https://ark.intel.com/content/www/us/en/ark/products/199345/intel-xeon-gold-6238r-processor-38-5m-cache-2-20-ghz.html</t>
  </si>
  <si>
    <t>https://ark.intel.com/content/www/us/en/ark/products/193958/intel-xeon-gold-6238l-processor-30-25m-cache-2-10-ghz.html</t>
  </si>
  <si>
    <t>https://ark.intel.com/content/www/us/en/ark/products/193949/intel-xeon-gold-6238-processor-30-25m-cache-2-10-ghz.html</t>
  </si>
  <si>
    <t>https://ark.intel.com/content/www/us/en/ark/products/193954/intel-xeon-gold-6234-processor-24-75m-cache-3-30-ghz.html</t>
  </si>
  <si>
    <t>https://ark.intel.com/content/www/us/en/ark/products/192437/intel-xeon-gold-6230-processor-27-5m-cache-2-10-ghz.html</t>
  </si>
  <si>
    <t>https://ark.intel.com/content/www/us/en/ark/products/192450/intel-xeon-gold-6230n-processor-27-5m-cache-2-30-ghz.html</t>
  </si>
  <si>
    <t>https://ark.intel.com/content/www/us/en/ark/products/199346/intel-xeon-gold-6230r-processor-35-75m-cache-2-10-ghz.html</t>
  </si>
  <si>
    <t>https://ark.intel.com/content/www/us/en/ark/products/199347/intel-xeon-gold-6226r-processor-22m-cache-2-90-ghz.html</t>
  </si>
  <si>
    <t>https://ark.intel.com/content/www/us/en/ark/products/193957/intel-xeon-gold-6226-processor-19-25m-cache-2-70-ghz.html</t>
  </si>
  <si>
    <t>https://ark.intel.com/content/www/us/en/ark/products/193962/intel-xeon-gold-6222v-processor-27-5m-cache-1-80-ghz.html</t>
  </si>
  <si>
    <t>https://ark.intel.com/content/www/us/en/ark/products/199348/intel-xeon-gold-6208u-processor-22m-cache-2-90-ghz.html</t>
  </si>
  <si>
    <t>https://ark.intel.com/content/www/us/en/ark/products/192445/intel-xeon-gold-5222-processor-16-5m-cache-3-80-ghz.html</t>
  </si>
  <si>
    <t>https://ark.intel.com/content/www/us/en/ark/products/193388/intel-xeon-gold-5220-processor-24-75m-cache-2-20-ghz.html</t>
  </si>
  <si>
    <t>https://ark.intel.com/content/www/us/en/ark/products/193950/intel-xeon-gold-5220s-processor-24-75m-cache-2-70-ghz.html</t>
  </si>
  <si>
    <t>https://ark.intel.com/content/www/us/en/ark/products/199354/intel-xeon-gold-5220r-processor-35-75m-cache-2-20-ghz.html</t>
  </si>
  <si>
    <t>https://ark.intel.com/content/www/us/en/ark/products/192444/intel-xeon-gold-5218-processor-22m-cache-2-30-ghz.html</t>
  </si>
  <si>
    <t>https://ark.intel.com/content/www/us/en/ark/products/199342/intel-xeon-gold-5218r-processor-27-5m-cache-2-10-ghz.html</t>
  </si>
  <si>
    <t>https://ark.intel.com/content/www/us/en/ark/products/193397/intel-xeon-gold-5218n-processor-22m-cache-2-30-ghz.html</t>
  </si>
  <si>
    <t>https://ark.intel.com/content/www/us/en/ark/products/193564/intel-xeon-gold-5218b-processor-22m-cache-2-30-ghz.html</t>
  </si>
  <si>
    <t>https://ark.intel.com/content/www/us/en/ark/products/193396/intel-xeon-gold-5217-processor-11m-cache-3-00-ghz.html</t>
  </si>
  <si>
    <t>https://ark.intel.com/content/www/us/en/ark/products/193393/intel-xeon-gold-5215l-processor-13-75m-cache-2-50-ghz.html</t>
  </si>
  <si>
    <t>https://ark.intel.com/content/www/us/en/ark/products/193391/intel-xeon-gold-5215-processor-13-75m-cache-2-50-ghz.html</t>
  </si>
  <si>
    <t>https://ark.intel.com/content/www/us/en/ark/products/193394/intel-xeon-silver-4216-processor-22m-cache-2-10-ghz.html</t>
  </si>
  <si>
    <t>https://ark.intel.com/content/www/us/en/ark/products/199349/intel-xeon-silver-4215r-processor-11m-cache-3-20-ghz.html</t>
  </si>
  <si>
    <t>https://ark.intel.com/content/www/us/en/ark/products/193389/intel-xeon-silver-4215-processor-11m-cache-2-50-ghz.html</t>
  </si>
  <si>
    <t>https://ark.intel.com/content/www/us/en/ark/products/193553/intel-xeon-silver-4214y-processor-16-5m-cache-2-20-ghz.html</t>
  </si>
  <si>
    <t>https://ark.intel.com/content/www/us/en/ark/products/193385/intel-xeon-silver-4214-processor-16-5m-cache-2-20-ghz.html</t>
  </si>
  <si>
    <t>https://ark.intel.com/content/www/us/en/ark/products/193384/intel-xeon-silver-4210-processor-13-75m-cache-2-20-ghz.html</t>
  </si>
  <si>
    <t>https://ark.intel.com/content/www/us/en/ark/products/193382/intel-xeon-silver-4209t-processor-11m-cache-2-20-ghz.html</t>
  </si>
  <si>
    <t>https://ark.intel.com/content/www/us/en/ark/products/193390/intel-xeon-silver-4208-processor-11m-cache-2-10-ghz.html</t>
  </si>
  <si>
    <t>https://ark.intel.com/content/www/us/en/ark/products/197101/intel-xeon-bronze-3206r-processor-11m-cache-1-90-ghz.html</t>
  </si>
  <si>
    <t>https://ark.intel.com/content/www/us/en/ark/products/193381/intel-xeon-bronze-3204-processor-8-25m-cache-1-90-ghz.html</t>
  </si>
  <si>
    <t>https://ark.intel.com/content/www/us/en/ark/products/193972/intel-xeon-gold-6262v-processor-33m-cache-1-90-ghz.html</t>
  </si>
  <si>
    <t>https://ark.intel.com/content/www/us/en/ark/products/198652/intel-xeon-gold-6250-processor-35-75m-cache-3-90-ghz.html</t>
  </si>
  <si>
    <t>https://ark.intel.com/content/www/us/en/ark/products/199352/intel-xeon-gold-6242r-processor-35-75m-cache-3-10-ghz.html</t>
  </si>
  <si>
    <t>https://ark.intel.com/content/www/us/en/ark/products/192448/intel-xeon-gold-6240y-processor-24-75m-cache-2-60-ghz.html</t>
  </si>
  <si>
    <t>Intel Product ID</t>
  </si>
  <si>
    <t>Position of 1st digit</t>
  </si>
  <si>
    <t>What is highest number in column</t>
  </si>
  <si>
    <t>fixes pricing formatting</t>
  </si>
  <si>
    <t>Processor Option 1:</t>
  </si>
  <si>
    <t xml:space="preserve">Processor Option 2: </t>
  </si>
  <si>
    <t>Processor Option 3:</t>
  </si>
  <si>
    <t>Server Profile</t>
  </si>
  <si>
    <t>Highest Number</t>
  </si>
  <si>
    <t>Required Memory (GB)</t>
  </si>
  <si>
    <t>% Left at Full Capacity</t>
  </si>
  <si>
    <t>Top Choice:</t>
  </si>
  <si>
    <t>Second Choice:</t>
  </si>
  <si>
    <t>Third Choice:</t>
  </si>
  <si>
    <t>GPU Quantity Max Per Server *</t>
  </si>
  <si>
    <t>Price Per Unit**</t>
  </si>
  <si>
    <t>**prices from Dell on 2019 deal</t>
  </si>
  <si>
    <t>Total Nvidia License Costs</t>
  </si>
  <si>
    <t>How Many VDI Profiles? (Max 10)</t>
  </si>
  <si>
    <t>How many profiles</t>
  </si>
  <si>
    <t>GPU Quantity Per Server</t>
  </si>
  <si>
    <t>GPU Total GB</t>
  </si>
  <si>
    <t>$7007.00 - $7014.00</t>
  </si>
  <si>
    <t>$3655.00 - $3662.00</t>
  </si>
  <si>
    <t>$3072.00 - $3078.00</t>
  </si>
  <si>
    <t>$2529.00 - $2537.00</t>
  </si>
  <si>
    <t>$2200.00 - $2205.00</t>
  </si>
  <si>
    <t>$2445.00 - $2451.00</t>
  </si>
  <si>
    <t>$2612.00 - $2618.00</t>
  </si>
  <si>
    <t>$2214.00 - $2220.00</t>
  </si>
  <si>
    <t>$1894.00 - $1900.00</t>
  </si>
  <si>
    <t>$1300.00 - $1306.00</t>
  </si>
  <si>
    <t>$1555.00 - $1561.00</t>
  </si>
  <si>
    <t>$1273.00 - $1280.00</t>
  </si>
  <si>
    <t>$694.00 - $704.00</t>
  </si>
  <si>
    <t>$501.00 - $511.00</t>
  </si>
  <si>
    <t>$417.00 - $428.00</t>
  </si>
  <si>
    <t>$306.00 - $317.00</t>
  </si>
  <si>
    <t>$213.00 - $224.00</t>
  </si>
  <si>
    <t>Unformatted Prices</t>
  </si>
  <si>
    <t>Fix Prices with Ranges</t>
  </si>
  <si>
    <t>https://ark.intel.com/content/www/us/en/ark/products/197100/intel-xeon-silver-4214r-processor-16-5m-cache-2-40-ghz.html</t>
  </si>
  <si>
    <t>$694.00 - $705.00</t>
  </si>
  <si>
    <t>automatically pull down most recent list pricing for CPUs</t>
  </si>
  <si>
    <t>automatically pull down most recent pricing info for memory</t>
  </si>
  <si>
    <t>automatically pull down most recent pricing info for GPUs</t>
  </si>
  <si>
    <t>VDI Profile Requirements</t>
  </si>
  <si>
    <t>vCPUs</t>
  </si>
  <si>
    <t>Total vCPUs</t>
  </si>
  <si>
    <t>GB of RAM</t>
  </si>
  <si>
    <t>Total GB of Memory</t>
  </si>
  <si>
    <t>GB of vGPU</t>
  </si>
  <si>
    <t>Total GB of vGPU</t>
  </si>
  <si>
    <t>vGPU Profile (GB)s</t>
  </si>
  <si>
    <t>Server Options</t>
  </si>
  <si>
    <t>Recommended Option</t>
  </si>
  <si>
    <t>Second Option</t>
  </si>
  <si>
    <t>Third Option</t>
  </si>
  <si>
    <t>Servers</t>
  </si>
  <si>
    <t>Intel Xeon Processors</t>
  </si>
  <si>
    <t>Cores per Processor</t>
  </si>
  <si>
    <t>Cores in Total</t>
  </si>
  <si>
    <t>GHz Processor</t>
  </si>
  <si>
    <t>vCPU:pCPU ratio</t>
  </si>
  <si>
    <t>GPU Information</t>
  </si>
  <si>
    <t>GPUs in Total</t>
  </si>
  <si>
    <t>GPUs per Server</t>
  </si>
  <si>
    <t>GB of GPU Total</t>
  </si>
  <si>
    <t>GB of GPU Needed</t>
  </si>
  <si>
    <t>Option 1a:  24 DIMMs</t>
  </si>
  <si>
    <t>Option 1b:  12 DIMMs</t>
  </si>
  <si>
    <t>Option 2a:  24 DIMMs</t>
  </si>
  <si>
    <t>Option 2b:  12 DIMMs</t>
  </si>
  <si>
    <t>Option 3a:  24 DIMMs</t>
  </si>
  <si>
    <t>Option 3b:  12 DIMMs</t>
  </si>
  <si>
    <t>*see hyperlink at L2</t>
  </si>
  <si>
    <t>Example VDI Profile</t>
  </si>
  <si>
    <t>account for adding additional vdi hosts, or refreshing equipment (only account for greenfield at the moment)</t>
  </si>
  <si>
    <t>For comments, questions, bug findings, or feature suggestions, please contact me:</t>
  </si>
  <si>
    <t>This is intended to be a SALES / PRE-SALES scoping and selling tool.  Uses include:</t>
  </si>
  <si>
    <t>Brief walkthrough on using the tool:</t>
  </si>
  <si>
    <t>Roadmap</t>
  </si>
  <si>
    <t>Talbert Houle</t>
  </si>
  <si>
    <t>thoule@presidio.com</t>
  </si>
  <si>
    <t xml:space="preserve">Pricing Version:  </t>
  </si>
  <si>
    <t>Memory from deal with Dell in 2019</t>
  </si>
  <si>
    <t>CPU directly from Intel.com</t>
  </si>
  <si>
    <t>GPU from deal with Dell in 2019</t>
  </si>
  <si>
    <t>Welcome to the PRESIDIO VDI Sizing Calculator</t>
  </si>
  <si>
    <t>Get quick results on value of hardware for evaluated environment</t>
  </si>
  <si>
    <r>
      <t xml:space="preserve">Go from left to right and fill in </t>
    </r>
    <r>
      <rPr>
        <sz val="11"/>
        <rFont val="Calibri"/>
        <family val="2"/>
        <scheme val="minor"/>
      </rPr>
      <t>yellow</t>
    </r>
    <r>
      <rPr>
        <sz val="11"/>
        <color theme="1"/>
        <rFont val="Calibri"/>
        <family val="2"/>
        <scheme val="minor"/>
      </rPr>
      <t xml:space="preserve"> boxes with values</t>
    </r>
  </si>
  <si>
    <r>
      <rPr>
        <b/>
        <sz val="11"/>
        <color rgb="FFFF0000"/>
        <rFont val="Calibri"/>
        <family val="2"/>
        <scheme val="minor"/>
      </rPr>
      <t>WARNING</t>
    </r>
    <r>
      <rPr>
        <sz val="11"/>
        <color theme="1"/>
        <rFont val="Calibri"/>
        <family val="2"/>
        <scheme val="minor"/>
      </rPr>
      <t>: Pricing is meant to guide, so pay more attention to percentage differences, unless you want to go through pain of manually entering in pricing to match manufacturer and discount</t>
    </r>
  </si>
  <si>
    <t>Tool Release date: March 24, 2020</t>
  </si>
  <si>
    <t>Prerequisites</t>
  </si>
  <si>
    <t>Requirements:  Windows only, include Reference to "Microsoft Scripting Runtime" (Tools -&gt; References -&gt; Check Microsoft Scripting Runtime)</t>
  </si>
  <si>
    <t>Requirements:  JSON Parser installation needs to be added to project - https://github.com/VBA-tools/VBA-JSON - (Download latest release -&gt; Import JsonConverter.bas -&gt; File -&gt; Import File)</t>
  </si>
  <si>
    <t>Requirements:  Add a refernce to Microsoft WinHTTP Services 5.1.  (Tools -&gt; References -&gt; Check Microsoft WinHTTP Services 5.1)</t>
  </si>
  <si>
    <t>5218R</t>
  </si>
  <si>
    <t>Total Top Choice Server Costs</t>
  </si>
  <si>
    <t>Total 2nd Choice Server 2 Costs</t>
  </si>
  <si>
    <t>Total Top Choice Server 3 Costs</t>
  </si>
  <si>
    <t>Most Expensive</t>
  </si>
  <si>
    <t>Another example VDI Profile</t>
  </si>
  <si>
    <t>8268</t>
  </si>
  <si>
    <t>6240</t>
  </si>
  <si>
    <t>vGPU Profile Total Needed (GB)</t>
  </si>
  <si>
    <t>Version 0.7</t>
  </si>
  <si>
    <t>Total Profile Types</t>
  </si>
  <si>
    <t>Total Profiles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</si>
</sst>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8" formatCode="&quot;$&quot;#,##0.00_);[Red]\(&quot;$&quot;#,##0.00\)"/>
    <numFmt numFmtId="44" formatCode="_(&quot;$&quot;* #,##0.00_);_(&quot;$&quot;* \(#,##0.00\);_(&quot;$&quot;* &quot;-&quot;??_);_(@_)"/>
    <numFmt numFmtId="164" formatCode="0.0"/>
    <numFmt numFmtId="165" formatCode="_(&quot;$&quot;* #,##0_);_(&quot;$&quot;* \(#,##0\);_(&quot;$&quot;* &quot;-&quot;??_);_(@_)"/>
    <numFmt numFmtId="166" formatCode="&quot;$&quot;#,##0.00"/>
  </numFmts>
  <fonts count="1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trike/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rgb="FF0070C0"/>
      <name val="Calibri"/>
      <family val="2"/>
      <scheme val="minor"/>
    </font>
    <font>
      <b/>
      <i/>
      <sz val="11"/>
      <color theme="1"/>
      <name val="Bahnschrift"/>
      <family val="2"/>
    </font>
    <font>
      <b/>
      <sz val="11"/>
      <color rgb="FFFF0000"/>
      <name val="Calibri"/>
      <family val="2"/>
      <scheme val="minor"/>
    </font>
    <font>
      <b/>
      <i/>
      <sz val="11"/>
      <color theme="0"/>
      <name val="Calibri"/>
      <family val="2"/>
      <scheme val="minor"/>
    </font>
    <font>
      <u/>
      <sz val="11"/>
      <color theme="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0070C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6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119">
    <xf numFmtId="0" fontId="0" fillId="0" borderId="0" xfId="0"/>
    <xf numFmtId="0" fontId="0" fillId="2" borderId="0" xfId="0" applyFill="1"/>
    <xf numFmtId="0" fontId="0" fillId="0" borderId="0" xfId="0" applyFill="1"/>
    <xf numFmtId="0" fontId="0" fillId="3" borderId="0" xfId="0" applyFill="1"/>
    <xf numFmtId="0" fontId="0" fillId="0" borderId="0" xfId="0" applyFill="1" applyAlignment="1">
      <alignment wrapText="1"/>
    </xf>
    <xf numFmtId="44" fontId="0" fillId="0" borderId="0" xfId="1" applyFont="1" applyFill="1"/>
    <xf numFmtId="0" fontId="0" fillId="0" borderId="0" xfId="0" applyAlignment="1">
      <alignment wrapText="1"/>
    </xf>
    <xf numFmtId="0" fontId="0" fillId="2" borderId="0" xfId="0" applyFill="1" applyAlignment="1">
      <alignment wrapText="1"/>
    </xf>
    <xf numFmtId="0" fontId="0" fillId="2" borderId="0" xfId="0" applyFill="1" applyAlignment="1">
      <alignment horizontal="left"/>
    </xf>
    <xf numFmtId="0" fontId="1" fillId="0" borderId="0" xfId="3" applyFill="1"/>
    <xf numFmtId="0" fontId="1" fillId="2" borderId="0" xfId="3" applyFill="1"/>
    <xf numFmtId="0" fontId="1" fillId="0" borderId="0" xfId="3"/>
    <xf numFmtId="44" fontId="1" fillId="0" borderId="0" xfId="3" applyNumberFormat="1" applyFill="1"/>
    <xf numFmtId="164" fontId="1" fillId="0" borderId="0" xfId="3" applyNumberFormat="1" applyFill="1"/>
    <xf numFmtId="0" fontId="1" fillId="0" borderId="0" xfId="3" applyFill="1" applyAlignment="1">
      <alignment horizontal="right"/>
    </xf>
    <xf numFmtId="0" fontId="1" fillId="2" borderId="0" xfId="3" applyFont="1" applyFill="1"/>
    <xf numFmtId="0" fontId="0" fillId="0" borderId="0" xfId="3" applyFont="1" applyFill="1"/>
    <xf numFmtId="0" fontId="0" fillId="0" borderId="0" xfId="3" applyFont="1" applyFill="1" applyAlignment="1">
      <alignment wrapText="1"/>
    </xf>
    <xf numFmtId="44" fontId="1" fillId="0" borderId="0" xfId="1" applyFill="1" applyAlignment="1">
      <alignment horizontal="right"/>
    </xf>
    <xf numFmtId="0" fontId="0" fillId="0" borderId="0" xfId="3" applyFont="1" applyFill="1" applyAlignment="1">
      <alignment horizontal="right"/>
    </xf>
    <xf numFmtId="44" fontId="1" fillId="0" borderId="0" xfId="1" applyFill="1"/>
    <xf numFmtId="9" fontId="1" fillId="0" borderId="0" xfId="2" applyFill="1"/>
    <xf numFmtId="165" fontId="0" fillId="0" borderId="0" xfId="1" applyNumberFormat="1" applyFont="1" applyFill="1"/>
    <xf numFmtId="165" fontId="1" fillId="0" borderId="0" xfId="1" applyNumberFormat="1" applyFill="1"/>
    <xf numFmtId="0" fontId="3" fillId="0" borderId="0" xfId="3" applyFont="1"/>
    <xf numFmtId="0" fontId="3" fillId="0" borderId="0" xfId="3" applyFont="1" applyFill="1"/>
    <xf numFmtId="44" fontId="0" fillId="0" borderId="0" xfId="4" applyFont="1"/>
    <xf numFmtId="0" fontId="5" fillId="0" borderId="1" xfId="3" applyFont="1" applyFill="1" applyBorder="1"/>
    <xf numFmtId="44" fontId="1" fillId="2" borderId="0" xfId="3" applyNumberFormat="1" applyFill="1"/>
    <xf numFmtId="0" fontId="3" fillId="0" borderId="0" xfId="3" applyFont="1" applyAlignment="1">
      <alignment wrapText="1"/>
    </xf>
    <xf numFmtId="9" fontId="0" fillId="0" borderId="0" xfId="0" applyNumberFormat="1"/>
    <xf numFmtId="44" fontId="0" fillId="0" borderId="0" xfId="0" applyNumberFormat="1" applyFill="1"/>
    <xf numFmtId="0" fontId="4" fillId="2" borderId="0" xfId="5" applyFill="1"/>
    <xf numFmtId="44" fontId="0" fillId="2" borderId="0" xfId="0" applyNumberFormat="1" applyFill="1"/>
    <xf numFmtId="0" fontId="0" fillId="2" borderId="0" xfId="0" applyFill="1" applyBorder="1"/>
    <xf numFmtId="0" fontId="0" fillId="0" borderId="0" xfId="0" applyNumberFormat="1"/>
    <xf numFmtId="0" fontId="2" fillId="4" borderId="3" xfId="0" applyFont="1" applyFill="1" applyBorder="1" applyAlignment="1">
      <alignment wrapText="1"/>
    </xf>
    <xf numFmtId="9" fontId="0" fillId="0" borderId="0" xfId="0" applyNumberFormat="1" applyAlignment="1">
      <alignment wrapText="1"/>
    </xf>
    <xf numFmtId="2" fontId="0" fillId="0" borderId="0" xfId="0" applyNumberFormat="1" applyAlignment="1">
      <alignment wrapText="1"/>
    </xf>
    <xf numFmtId="0" fontId="0" fillId="2" borderId="0" xfId="0" applyFill="1" applyAlignment="1"/>
    <xf numFmtId="0" fontId="0" fillId="0" borderId="0" xfId="0" applyAlignment="1"/>
    <xf numFmtId="0" fontId="2" fillId="4" borderId="2" xfId="0" applyFont="1" applyFill="1" applyBorder="1" applyAlignment="1">
      <alignment wrapText="1"/>
    </xf>
    <xf numFmtId="0" fontId="2" fillId="4" borderId="4" xfId="0" applyFont="1" applyFill="1" applyBorder="1" applyAlignment="1">
      <alignment wrapText="1"/>
    </xf>
    <xf numFmtId="1" fontId="0" fillId="0" borderId="0" xfId="0" applyNumberFormat="1" applyFill="1"/>
    <xf numFmtId="0" fontId="0" fillId="3" borderId="0" xfId="0" applyFill="1" applyAlignment="1">
      <alignment wrapText="1"/>
    </xf>
    <xf numFmtId="9" fontId="6" fillId="0" borderId="0" xfId="0" applyNumberFormat="1" applyFont="1" applyFill="1"/>
    <xf numFmtId="9" fontId="6" fillId="0" borderId="0" xfId="0" applyNumberFormat="1" applyFont="1" applyFill="1" applyAlignment="1">
      <alignment wrapText="1"/>
    </xf>
    <xf numFmtId="2" fontId="6" fillId="0" borderId="0" xfId="0" applyNumberFormat="1" applyFont="1" applyAlignment="1">
      <alignment wrapText="1"/>
    </xf>
    <xf numFmtId="44" fontId="6" fillId="0" borderId="0" xfId="0" applyNumberFormat="1" applyFont="1" applyFill="1"/>
    <xf numFmtId="9" fontId="6" fillId="0" borderId="0" xfId="2" applyFont="1" applyFill="1"/>
    <xf numFmtId="0" fontId="7" fillId="2" borderId="0" xfId="0" applyFont="1" applyFill="1"/>
    <xf numFmtId="2" fontId="0" fillId="0" borderId="0" xfId="0" applyNumberFormat="1" applyFont="1" applyAlignment="1">
      <alignment wrapText="1"/>
    </xf>
    <xf numFmtId="0" fontId="2" fillId="4" borderId="5" xfId="3" applyNumberFormat="1" applyFont="1" applyFill="1" applyBorder="1" applyAlignment="1">
      <alignment wrapText="1"/>
    </xf>
    <xf numFmtId="0" fontId="2" fillId="4" borderId="6" xfId="3" applyNumberFormat="1" applyFont="1" applyFill="1" applyBorder="1" applyAlignment="1">
      <alignment wrapText="1"/>
    </xf>
    <xf numFmtId="0" fontId="8" fillId="0" borderId="0" xfId="0" applyFont="1"/>
    <xf numFmtId="0" fontId="2" fillId="4" borderId="0" xfId="3" applyNumberFormat="1" applyFont="1" applyFill="1" applyAlignment="1">
      <alignment wrapText="1"/>
    </xf>
    <xf numFmtId="44" fontId="0" fillId="0" borderId="0" xfId="1" applyFont="1"/>
    <xf numFmtId="44" fontId="0" fillId="0" borderId="0" xfId="0" applyNumberFormat="1"/>
    <xf numFmtId="9" fontId="0" fillId="0" borderId="0" xfId="2" applyFont="1"/>
    <xf numFmtId="44" fontId="0" fillId="0" borderId="0" xfId="0" applyNumberFormat="1" applyFont="1" applyFill="1"/>
    <xf numFmtId="44" fontId="0" fillId="2" borderId="0" xfId="1" applyFont="1" applyFill="1"/>
    <xf numFmtId="9" fontId="0" fillId="0" borderId="0" xfId="2" applyFont="1" applyFill="1"/>
    <xf numFmtId="0" fontId="0" fillId="3" borderId="7" xfId="0" applyFill="1" applyBorder="1"/>
    <xf numFmtId="0" fontId="2" fillId="7" borderId="0" xfId="0" applyFont="1" applyFill="1"/>
    <xf numFmtId="0" fontId="10" fillId="2" borderId="0" xfId="0" applyFont="1" applyFill="1"/>
    <xf numFmtId="0" fontId="0" fillId="0" borderId="7" xfId="0" applyFill="1" applyBorder="1"/>
    <xf numFmtId="0" fontId="3" fillId="7" borderId="0" xfId="0" applyFont="1" applyFill="1"/>
    <xf numFmtId="0" fontId="0" fillId="0" borderId="8" xfId="0" applyFill="1" applyBorder="1"/>
    <xf numFmtId="0" fontId="0" fillId="3" borderId="8" xfId="0" applyFill="1" applyBorder="1"/>
    <xf numFmtId="0" fontId="0" fillId="3" borderId="7" xfId="0" applyNumberFormat="1" applyFill="1" applyBorder="1"/>
    <xf numFmtId="8" fontId="0" fillId="0" borderId="0" xfId="0" applyNumberFormat="1"/>
    <xf numFmtId="166" fontId="0" fillId="0" borderId="0" xfId="1" applyNumberFormat="1" applyFont="1"/>
    <xf numFmtId="0" fontId="0" fillId="2" borderId="0" xfId="0" applyFill="1" applyAlignment="1">
      <alignment horizontal="right"/>
    </xf>
    <xf numFmtId="2" fontId="0" fillId="2" borderId="0" xfId="0" applyNumberFormat="1" applyFill="1" applyAlignment="1">
      <alignment horizontal="right"/>
    </xf>
    <xf numFmtId="2" fontId="0" fillId="0" borderId="0" xfId="1" applyNumberFormat="1" applyFont="1" applyAlignment="1">
      <alignment horizontal="right"/>
    </xf>
    <xf numFmtId="2" fontId="0" fillId="0" borderId="0" xfId="0" applyNumberFormat="1" applyAlignment="1">
      <alignment horizontal="right"/>
    </xf>
    <xf numFmtId="2" fontId="0" fillId="0" borderId="0" xfId="0" applyNumberFormat="1" applyAlignment="1">
      <alignment horizontal="left" wrapText="1"/>
    </xf>
    <xf numFmtId="0" fontId="12" fillId="0" borderId="0" xfId="0" applyFont="1"/>
    <xf numFmtId="0" fontId="0" fillId="3" borderId="7" xfId="0" applyFill="1" applyBorder="1" applyProtection="1"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2" fontId="0" fillId="3" borderId="0" xfId="0" applyNumberFormat="1" applyFont="1" applyFill="1" applyAlignment="1" applyProtection="1">
      <alignment wrapText="1"/>
      <protection locked="0"/>
    </xf>
    <xf numFmtId="1" fontId="0" fillId="3" borderId="0" xfId="0" applyNumberFormat="1" applyFont="1" applyFill="1" applyAlignment="1" applyProtection="1">
      <alignment wrapText="1"/>
      <protection locked="0"/>
    </xf>
    <xf numFmtId="44" fontId="0" fillId="3" borderId="0" xfId="1" applyFont="1" applyFill="1" applyProtection="1">
      <protection locked="0"/>
    </xf>
    <xf numFmtId="0" fontId="0" fillId="8" borderId="9" xfId="0" applyFill="1" applyBorder="1" applyAlignment="1">
      <alignment horizontal="center"/>
    </xf>
    <xf numFmtId="0" fontId="0" fillId="8" borderId="0" xfId="0" applyFill="1" applyAlignment="1">
      <alignment horizontal="right"/>
    </xf>
    <xf numFmtId="0" fontId="2" fillId="7" borderId="7" xfId="0" applyFont="1" applyFill="1" applyBorder="1"/>
    <xf numFmtId="0" fontId="0" fillId="8" borderId="0" xfId="0" applyFill="1"/>
    <xf numFmtId="2" fontId="0" fillId="8" borderId="0" xfId="0" applyNumberFormat="1" applyFill="1" applyAlignment="1">
      <alignment horizontal="right"/>
    </xf>
    <xf numFmtId="0" fontId="0" fillId="7" borderId="0" xfId="0" applyFill="1"/>
    <xf numFmtId="0" fontId="13" fillId="7" borderId="0" xfId="0" applyFont="1" applyFill="1"/>
    <xf numFmtId="0" fontId="3" fillId="5" borderId="0" xfId="0" applyFont="1" applyFill="1" applyProtection="1"/>
    <xf numFmtId="0" fontId="0" fillId="2" borderId="0" xfId="0" applyFill="1" applyProtection="1"/>
    <xf numFmtId="0" fontId="0" fillId="0" borderId="0" xfId="0" applyProtection="1"/>
    <xf numFmtId="0" fontId="14" fillId="2" borderId="0" xfId="0" applyFont="1" applyFill="1"/>
    <xf numFmtId="0" fontId="15" fillId="2" borderId="0" xfId="0" applyFont="1" applyFill="1"/>
    <xf numFmtId="0" fontId="6" fillId="2" borderId="0" xfId="0" applyFont="1" applyFill="1"/>
    <xf numFmtId="0" fontId="3" fillId="7" borderId="10" xfId="0" applyFont="1" applyFill="1" applyBorder="1"/>
    <xf numFmtId="0" fontId="3" fillId="7" borderId="11" xfId="0" applyFont="1" applyFill="1" applyBorder="1"/>
    <xf numFmtId="0" fontId="3" fillId="7" borderId="12" xfId="0" applyFont="1" applyFill="1" applyBorder="1"/>
    <xf numFmtId="0" fontId="3" fillId="7" borderId="1" xfId="0" applyFont="1" applyFill="1" applyBorder="1"/>
    <xf numFmtId="0" fontId="3" fillId="7" borderId="13" xfId="0" applyFont="1" applyFill="1" applyBorder="1"/>
    <xf numFmtId="0" fontId="3" fillId="7" borderId="14" xfId="0" applyFont="1" applyFill="1" applyBorder="1"/>
    <xf numFmtId="0" fontId="3" fillId="7" borderId="9" xfId="0" applyFont="1" applyFill="1" applyBorder="1"/>
    <xf numFmtId="0" fontId="3" fillId="7" borderId="15" xfId="0" applyFont="1" applyFill="1" applyBorder="1"/>
    <xf numFmtId="0" fontId="3" fillId="2" borderId="0" xfId="0" applyFont="1" applyFill="1" applyBorder="1"/>
    <xf numFmtId="0" fontId="2" fillId="2" borderId="0" xfId="0" applyFont="1" applyFill="1" applyBorder="1"/>
    <xf numFmtId="0" fontId="18" fillId="2" borderId="0" xfId="5" applyFont="1" applyFill="1" applyBorder="1"/>
    <xf numFmtId="0" fontId="3" fillId="7" borderId="0" xfId="0" applyFont="1" applyFill="1" applyBorder="1"/>
    <xf numFmtId="0" fontId="2" fillId="7" borderId="0" xfId="0" applyFont="1" applyFill="1" applyBorder="1"/>
    <xf numFmtId="0" fontId="17" fillId="7" borderId="0" xfId="0" applyFont="1" applyFill="1" applyBorder="1"/>
    <xf numFmtId="0" fontId="18" fillId="7" borderId="0" xfId="5" applyFont="1" applyFill="1" applyBorder="1"/>
    <xf numFmtId="0" fontId="2" fillId="7" borderId="9" xfId="0" applyFont="1" applyFill="1" applyBorder="1"/>
    <xf numFmtId="0" fontId="17" fillId="7" borderId="9" xfId="0" applyFont="1" applyFill="1" applyBorder="1"/>
    <xf numFmtId="1" fontId="0" fillId="3" borderId="0" xfId="0" applyNumberFormat="1" applyFont="1" applyFill="1" applyAlignment="1">
      <alignment wrapText="1"/>
    </xf>
    <xf numFmtId="9" fontId="0" fillId="2" borderId="0" xfId="0" applyNumberFormat="1" applyFill="1"/>
    <xf numFmtId="0" fontId="3" fillId="6" borderId="0" xfId="0" applyFont="1" applyFill="1" applyAlignment="1">
      <alignment horizontal="center"/>
    </xf>
    <xf numFmtId="0" fontId="0" fillId="8" borderId="9" xfId="0" applyFill="1" applyBorder="1" applyAlignment="1">
      <alignment horizontal="center"/>
    </xf>
    <xf numFmtId="0" fontId="0" fillId="8" borderId="0" xfId="0" applyFill="1" applyAlignment="1">
      <alignment horizontal="center"/>
    </xf>
  </cellXfs>
  <cellStyles count="6">
    <cellStyle name="Currency" xfId="1" builtinId="4"/>
    <cellStyle name="Currency 2" xfId="4" xr:uid="{A596962B-A32D-4DDB-9FD1-FBA92A699B99}"/>
    <cellStyle name="Hyperlink" xfId="5" builtinId="8"/>
    <cellStyle name="Normal" xfId="0" builtinId="0"/>
    <cellStyle name="Normal 4" xfId="3" xr:uid="{D4B62249-281D-47EE-AEB6-55166EE9F7C5}"/>
    <cellStyle name="Percent" xfId="2" builtinId="5"/>
  </cellStyles>
  <dxfs count="123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4" formatCode="_(&quot;$&quot;* #,##0.00_);_(&quot;$&quot;* \(#,##0.00\);_(&quot;$&quot;* &quot;-&quot;??_);_(@_)"/>
    </dxf>
    <dxf>
      <numFmt numFmtId="34" formatCode="_(&quot;$&quot;* #,##0.00_);_(&quot;$&quot;* \(#,##0.00\);_(&quot;$&quot;* &quot;-&quot;??_);_(@_)"/>
    </dxf>
    <dxf>
      <font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4" formatCode="0.0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65" formatCode="_(&quot;$&quot;* #,##0_);_(&quot;$&quot;* \(#,##0\);_(&quot;$&quot;* &quot;-&quot;??_);_(@_)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ill>
        <patternFill patternType="solid">
          <fgColor indexed="64"/>
          <bgColor rgb="FFFFFF00"/>
        </patternFill>
      </fill>
      <protection locked="0" hidden="0"/>
    </dxf>
    <dxf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  <protection locked="0" hidden="0"/>
    </dxf>
    <dxf>
      <fill>
        <patternFill patternType="solid">
          <fgColor indexed="64"/>
          <bgColor rgb="FFFFFF00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  <protection locked="0" hidden="0"/>
    </dxf>
    <dxf>
      <fill>
        <patternFill patternType="solid">
          <fgColor indexed="64"/>
          <bgColor rgb="FFFFFF00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ont>
        <b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ont>
        <b/>
      </font>
      <numFmt numFmtId="13" formatCode="0%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ont>
        <b/>
      </font>
      <numFmt numFmtId="13" formatCode="0%"/>
      <fill>
        <patternFill patternType="none">
          <fgColor indexed="64"/>
          <bgColor auto="1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/>
      </font>
      <numFmt numFmtId="13" formatCode="0%"/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solid">
          <fgColor indexed="64"/>
          <bgColor rgb="FFFFFF00"/>
        </patternFill>
      </fill>
    </dxf>
    <dxf>
      <fill>
        <patternFill patternType="none">
          <fgColor indexed="64"/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2" formatCode="0.00"/>
      <alignment horizontal="general" vertical="bottom" textRotation="0" wrapText="1" indent="0" justifyLastLine="0" shrinkToFit="0" readingOrder="0"/>
    </dxf>
    <dxf>
      <numFmt numFmtId="13" formatCode="0%"/>
      <alignment horizontal="general" vertical="bottom" textRotation="0" wrapText="1" indent="0" justifyLastLine="0" shrinkToFit="0" readingOrder="0"/>
    </dxf>
    <dxf>
      <numFmt numFmtId="0" formatCode="General"/>
    </dxf>
    <dxf>
      <numFmt numFmtId="13" formatCode="0%"/>
    </dxf>
    <dxf>
      <alignment horizontal="general" vertical="bottom" textRotation="0" wrapText="1" indent="0" justifyLastLine="0" shrinkToFit="0" readingOrder="0"/>
    </dxf>
    <dxf>
      <fill>
        <patternFill patternType="solid">
          <fgColor indexed="64"/>
          <bgColor rgb="FFFFFF00"/>
        </patternFill>
      </fill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  <fill>
        <patternFill patternType="none">
          <fgColor indexed="64"/>
          <bgColor indexed="65"/>
        </patternFill>
      </fill>
    </dxf>
    <dxf>
      <font>
        <b val="0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numFmt numFmtId="1" formatCode="0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solid">
          <fgColor indexed="64"/>
          <bgColor rgb="FFFFFF00"/>
        </patternFill>
      </fill>
      <alignment horizontal="general" vertical="bottom" textRotation="0" wrapText="1" indent="0" justifyLastLine="0" shrinkToFit="0" readingOrder="0"/>
      <protection locked="0" hidden="0"/>
    </dxf>
    <dxf>
      <font>
        <b val="0"/>
      </font>
      <numFmt numFmtId="2" formatCode="0.00"/>
      <fill>
        <patternFill patternType="none">
          <fgColor indexed="64"/>
          <bgColor indexed="65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solid">
          <fgColor indexed="64"/>
          <bgColor rgb="FFFFFF00"/>
        </patternFill>
      </fill>
      <protection locked="0" hidden="0"/>
    </dxf>
    <dxf>
      <fill>
        <patternFill patternType="none">
          <fgColor indexed="64"/>
          <bgColor auto="1"/>
        </patternFill>
      </fill>
    </dxf>
    <dxf>
      <fill>
        <patternFill patternType="none">
          <fgColor rgb="FF000000"/>
          <bgColor auto="1"/>
        </patternFill>
      </fill>
    </dxf>
    <dxf>
      <border outline="0">
        <bottom style="thin">
          <color rgb="FF8EA9DB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numFmt numFmtId="2" formatCode="0.0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 Unicode MS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0" formatCode="General"/>
      <fill>
        <patternFill patternType="solid">
          <fgColor theme="4"/>
          <bgColor theme="4"/>
        </patternFill>
      </fill>
      <alignment horizontal="general" vertical="bottom" textRotation="0" wrapText="1" indent="0" justifyLastLine="0" shrinkToFit="0" readingOrder="0"/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rgb="FFFFFF00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fgColor indexed="64"/>
          <bgColor rgb="FFFFFF00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20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onnections" Target="connections.xml"/><Relationship Id="rId22" Type="http://schemas.openxmlformats.org/officeDocument/2006/relationships/customXml" Target="../customXml/item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107950</xdr:colOff>
          <xdr:row>0</xdr:row>
          <xdr:rowOff>95250</xdr:rowOff>
        </xdr:from>
        <xdr:to>
          <xdr:col>6</xdr:col>
          <xdr:colOff>895350</xdr:colOff>
          <xdr:row>2</xdr:row>
          <xdr:rowOff>76200</xdr:rowOff>
        </xdr:to>
        <xdr:sp macro="" textlink="">
          <xdr:nvSpPr>
            <xdr:cNvPr id="15361" name="Button 1" descr="Update Processor Information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2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Processors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1073150</xdr:colOff>
          <xdr:row>30</xdr:row>
          <xdr:rowOff>177800</xdr:rowOff>
        </xdr:from>
        <xdr:to>
          <xdr:col>6</xdr:col>
          <xdr:colOff>1187450</xdr:colOff>
          <xdr:row>32</xdr:row>
          <xdr:rowOff>44450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1" xr16:uid="{0C638C01-F839-4CDD-A545-3803F78F504F}" autoFormatId="16" applyNumberFormats="0" applyBorderFormats="0" applyFontFormats="0" applyPatternFormats="0" applyAlignmentFormats="0" applyWidthHeightFormats="0">
  <queryTableRefresh nextId="13">
    <queryTableFields count="10">
      <queryTableField id="1" name="Product Name" tableColumnId="1"/>
      <queryTableField id="2" name="Status" tableColumnId="2"/>
      <queryTableField id="3" name="Launch Date" tableColumnId="3"/>
      <queryTableField id="4" name="# of Cores" tableColumnId="4"/>
      <queryTableField id="5" name="Max Turbo Frequency" tableColumnId="5"/>
      <queryTableField id="6" name="Processor Base Frequency" tableColumnId="6"/>
      <queryTableField id="7" name="Cache" tableColumnId="7"/>
      <queryTableField id="9" name="Processor Graphics ‡" tableColumnId="9"/>
      <queryTableField id="10" name="Recommended Customer Price" tableColumnId="10"/>
      <queryTableField id="8" name="Compare All | None" tableColumnId="8"/>
    </queryTableFields>
  </queryTableRefresh>
  <extLst>
    <ext xmlns:x15="http://schemas.microsoft.com/office/spreadsheetml/2010/11/main" uri="{883FBD77-0823-4a55-B5E3-86C4891E6966}">
      <x15:queryTable sourceDataName="Query - Intel DB"/>
    </ext>
  </extLst>
</queryTable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843CD20-4ECD-4890-914B-351C2F757956}" name="Table1" displayName="Table1" ref="A3:H13" totalsRowShown="0">
  <autoFilter ref="A3:H13" xr:uid="{4035A12D-DC9A-421E-A7DE-F0580511C5BF}"/>
  <tableColumns count="8">
    <tableColumn id="1" xr3:uid="{99722EAD-2771-49A9-B817-CBBB89F6726B}" name="Profile Group" dataDxfId="122"/>
    <tableColumn id="3" xr3:uid="{311CF18D-4661-421E-8836-0AE43D17C1E0}" name="vCPU" dataDxfId="121"/>
    <tableColumn id="4" xr3:uid="{AD5ACA4B-CC20-4A8B-9DF5-B4B61FC159D9}" name="Memory (GB)" dataDxfId="120"/>
    <tableColumn id="5" xr3:uid="{565F6679-E8FE-4370-9246-4B2E2E599DB2}" name="vGPU Profile (GB)s" dataDxfId="119"/>
    <tableColumn id="6" xr3:uid="{36E7AF5F-0DF7-42C9-AC37-04A634CF0219}" name="Quantity" dataDxfId="118"/>
    <tableColumn id="8" xr3:uid="{ACA1501E-D2DD-4523-9CAD-419B713810E0}" name="Total vCPU Requirement" dataDxfId="117">
      <calculatedColumnFormula>B4*E4</calculatedColumnFormula>
    </tableColumn>
    <tableColumn id="9" xr3:uid="{70186325-1A6F-486C-9F54-3FF6CB84A7A0}" name="Total Memory Requirement" dataDxfId="116"/>
    <tableColumn id="10" xr3:uid="{424DC4F1-D22C-4719-8209-8DEE8B18BBC0}" name="Total vGPU Requirement (GB)" dataDxfId="1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3F0167-EE6E-4443-A4A1-D2E998B0E714}" name="Table11" displayName="Table11" ref="A4:O1003" totalsRowShown="0" headerRowDxfId="114" headerRowCellStyle="Normal 4">
  <autoFilter ref="A4:O1003" xr:uid="{965EDEC4-B824-49E6-A7C0-307F1994EA05}"/>
  <sortState xmlns:xlrd2="http://schemas.microsoft.com/office/spreadsheetml/2017/richdata2" ref="A5:O1003">
    <sortCondition descending="1" ref="B4:B1003"/>
  </sortState>
  <tableColumns count="15">
    <tableColumn id="1" xr3:uid="{1265603B-E31C-4C04-93E2-05507A129E5D}" name="Product Name"/>
    <tableColumn id="11" xr3:uid="{75299022-8D99-4F27-9799-0A4FECE73913}" name="Processor Model" dataDxfId="113"/>
    <tableColumn id="2" xr3:uid="{F5EA1358-3AA6-47A9-A672-AF35958FC494}" name="Cores"/>
    <tableColumn id="3" xr3:uid="{4F14EFFC-187A-4E9F-823D-05C3C53AA3FB}" name="Speed (GHz)"/>
    <tableColumn id="4" xr3:uid="{C459691D-8CDD-4BAE-AFEC-A65B877A1FF2}" name="List Price*" dataDxfId="112" dataCellStyle="Currency">
      <calculatedColumnFormula>IF(O5 = 0,"",O5)</calculatedColumnFormula>
    </tableColumn>
    <tableColumn id="5" xr3:uid="{E6448A6F-E1F7-4408-A5C1-2763B08D6EE2}" name="Cost Per Core" dataCellStyle="Currency"/>
    <tableColumn id="6" xr3:uid="{83BBA1A9-1C3E-4973-AC69-626931BDB09C}" name="Capacity Per Socket (GHz)"/>
    <tableColumn id="7" xr3:uid="{AC6B94CD-7018-468F-AB44-9A054A6864FA}" name="Capacity per Server (GHz) (assuming 2 sockets)"/>
    <tableColumn id="8" xr3:uid="{E4AE8871-F79B-48CE-A756-2731876935CB}" name="Cost per GHz" dataCellStyle="Currency"/>
    <tableColumn id="9" xr3:uid="{1595822C-C7B8-4EEC-ACFE-958964A8BB59}" name="Percent Less than most expensive"/>
    <tableColumn id="10" xr3:uid="{426867D6-9F6B-477D-9BDA-69F07D36AAF1}" name="Processor Details"/>
    <tableColumn id="13" xr3:uid="{D9BFF484-B88D-40FF-B7D0-26981101156E}" name="Position of 1st digit"/>
    <tableColumn id="12" xr3:uid="{A0EC8C38-848E-42C5-9C98-F98E78124778}" name="Intel Product ID"/>
    <tableColumn id="15" xr3:uid="{83FE5C61-141F-4EEC-94DF-059567B39D72}" name="Unformatted Prices"/>
    <tableColumn id="16" xr3:uid="{395E015F-6F19-48AE-AE76-B9213EBB1E4B}" name="Fix Prices with Rang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73D8EC0-327A-4112-B349-342C48DA82BB}" name="Table157" displayName="Table157" ref="A1:T7" totalsRowShown="0" headerRowDxfId="111" dataDxfId="109" headerRowBorderDxfId="110">
  <autoFilter ref="A1:T7" xr:uid="{7A1822BF-7622-4121-A31F-8444EE61CB00}">
    <filterColumn colId="2">
      <filters>
        <filter val="6254"/>
        <filter val="8268"/>
      </filters>
    </filterColumn>
  </autoFilter>
  <tableColumns count="20">
    <tableColumn id="1" xr3:uid="{E48FB021-747C-4046-916D-9D5459569BF7}" name="Server Profile" dataDxfId="108"/>
    <tableColumn id="2" xr3:uid="{779A5014-4281-497E-83A1-D0EF84FB3F1E}" name="Server Quantity" dataDxfId="107"/>
    <tableColumn id="3" xr3:uid="{88FC83AB-B91B-4C1D-8D21-8CBBDA95F198}" name="Processor" dataDxfId="106"/>
    <tableColumn id="4" xr3:uid="{A7FB64B4-EB3A-46F3-9D47-5A97CEDBFE06}" name="Total Processor Quantity" dataDxfId="105">
      <calculatedColumnFormula>2*B2</calculatedColumnFormula>
    </tableColumn>
    <tableColumn id="5" xr3:uid="{FD483673-DB45-4DCF-9339-A84B97249F1E}" name="Cores per Socket" dataDxfId="104"/>
    <tableColumn id="6" xr3:uid="{5080348F-06A1-456C-9CED-EC92ACB7F28F}" name="Total Cores" dataDxfId="103">
      <calculatedColumnFormula>D2*E2</calculatedColumnFormula>
    </tableColumn>
    <tableColumn id="7" xr3:uid="{21B10010-C49C-41D8-A1DE-E64DDC7BE6CF}" name="Core GHz" dataDxfId="102"/>
    <tableColumn id="8" xr3:uid="{EEE101D8-9725-4FAC-9FAD-A8007E68DE84}" name="Total GHz" dataDxfId="101">
      <calculatedColumnFormula>F2*G2</calculatedColumnFormula>
    </tableColumn>
    <tableColumn id="12" xr3:uid="{127E4D32-944A-4891-A745-5F3331CEA223}" name="vCPU:pCPU Ratio" dataDxfId="100">
      <calculatedColumnFormula>'VDI Profiles'!$F$4/Table157[[#This Row],[Total Cores]]</calculatedColumnFormula>
    </tableColumn>
    <tableColumn id="19" xr3:uid="{97C40974-2F91-4619-AFF0-459BECFFE0FA}" name="Memory (DIMM) Type" dataDxfId="99"/>
    <tableColumn id="21" xr3:uid="{60537933-330F-4ED6-BA5D-419849068160}" name="Memory (DIMM) Size" dataDxfId="98"/>
    <tableColumn id="20" xr3:uid="{26DB7A22-65FA-475E-925C-7ADD7FE0BFE9}" name="Memory (DIMM) Quantity" dataDxfId="97"/>
    <tableColumn id="10" xr3:uid="{B44729B3-6286-4B2B-B50C-7853B6509BE8}" name="Total Memory (GB)" dataDxfId="96"/>
    <tableColumn id="9" xr3:uid="{590DF599-2108-4ED7-994D-A311DD0EED08}" name="Required Memory (GB)" dataDxfId="95"/>
    <tableColumn id="11" xr3:uid="{E7436851-A3BF-4ECA-974C-78BE8785E250}" name="% Left at Full Capacity" dataDxfId="94" dataCellStyle="Percent"/>
    <tableColumn id="14" xr3:uid="{C811ED79-490F-4E25-93F7-E1DE54BB99C4}" name="Total Processor Costs (List)" dataDxfId="93" dataCellStyle="Currency"/>
    <tableColumn id="15" xr3:uid="{F59BD3D5-250F-44F3-8BAB-F6C0269C30B9}" name="Total Memory Costs (List)" dataDxfId="92"/>
    <tableColumn id="16" xr3:uid="{540DDCDF-0564-43A9-B5A8-C9BA6C37AECD}" name="Total (proc &amp; mem)" dataDxfId="91">
      <calculatedColumnFormula>Table157[[#This Row],[Total Processor Costs (List)]]+Table157[[#This Row],[Total Memory Costs (List)]]</calculatedColumnFormula>
    </tableColumn>
    <tableColumn id="18" xr3:uid="{0AF9192D-00AD-4D74-BA78-0D454F809BC8}" name="% Lower than Most Expensive" dataDxfId="90">
      <calculatedColumnFormula>($R$6/R2)-1</calculatedColumnFormula>
    </tableColumn>
    <tableColumn id="17" xr3:uid="{2C0B5325-B900-4597-81A9-5CC27DDC5DB3}" name="Summary" dataDxfId="89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9BA85C85-950B-4728-AE82-226C5798FC1C}" name="Table14" displayName="Table14" ref="A2:M3" totalsRowShown="0" headerRowDxfId="88">
  <autoFilter ref="A2:M3" xr:uid="{2698285C-848F-4646-AEAA-EF9F7D34A90E}"/>
  <tableColumns count="13">
    <tableColumn id="1" xr3:uid="{67515C1A-D079-41E2-8759-0015C0BFE964}" name="Server Model"/>
    <tableColumn id="2" xr3:uid="{1A22E740-1A3D-4BCE-B631-A7153FD59755}" name="Server Quantity"/>
    <tableColumn id="3" xr3:uid="{F53E6058-D757-46C8-9245-54379D3B1313}" name="Processor"/>
    <tableColumn id="4" xr3:uid="{E69A4AE7-204B-410A-B72D-DCD267DC1C70}" name="Total Processor Quantity"/>
    <tableColumn id="5" xr3:uid="{3DDC63B3-10FE-489B-B250-81071314D447}" name="Cores per Socket"/>
    <tableColumn id="6" xr3:uid="{1A65F939-52D7-44C5-AEAC-1866296AC19C}" name="Total Cores"/>
    <tableColumn id="7" xr3:uid="{7D240425-0FFF-4613-9793-EB6A888F8167}" name="Core GHz"/>
    <tableColumn id="8" xr3:uid="{B69E35AD-836A-4502-BA38-B58D89EF02ED}" name="Total GHz"/>
    <tableColumn id="9" xr3:uid="{02ECC1F2-94B1-4EFC-90AE-02B719D69DA7}" name="Processor Utilization (Cluster)" dataDxfId="87"/>
    <tableColumn id="10" xr3:uid="{E9DFAC1A-F69E-4AD3-8331-6030268ED6A3}" name="Total Memory (GB)" dataDxfId="86"/>
    <tableColumn id="11" xr3:uid="{2A8C59D5-C7A5-4C81-94FA-D699BD56E24B}" name="Memory Utilization" dataDxfId="85"/>
    <tableColumn id="12" xr3:uid="{251F2398-D4FA-4B3B-9AB7-5CBD30E0AD25}" name="vCPU:pCPU Ratio" dataDxfId="84">
      <calculatedColumnFormula>250*Table1[[#This Row],[vCPU]]/F3</calculatedColumnFormula>
    </tableColumn>
    <tableColumn id="13" xr3:uid="{C1BA5633-AF08-448D-B669-C7DD97F3C945}" name="Notes" dataDxfId="8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BEB1569F-8613-4D92-ADC5-43EB14CDA4A0}" name="Table15" displayName="Table15" ref="A6:R12" totalsRowShown="0" headerRowDxfId="82" dataDxfId="80" headerRowBorderDxfId="81">
  <autoFilter ref="A6:R12" xr:uid="{7A1822BF-7622-4121-A31F-8444EE61CB00}">
    <filterColumn colId="2">
      <filters>
        <filter val="6254"/>
        <filter val="8268"/>
      </filters>
    </filterColumn>
    <filterColumn colId="12">
      <filters>
        <filter val="(12) 64GB DIMMs for 768GB per host"/>
      </filters>
    </filterColumn>
  </autoFilter>
  <tableColumns count="18">
    <tableColumn id="1" xr3:uid="{3596FC2F-1EBF-4A82-B3FA-93D2F26809E6}" name="Server Model" dataDxfId="79"/>
    <tableColumn id="2" xr3:uid="{962014D9-5673-4C40-86E8-367BF9FC5FFD}" name="Server Quantity" dataDxfId="78"/>
    <tableColumn id="3" xr3:uid="{CB2787B8-A3B5-42E9-B7D1-497A513D1E04}" name="Processor" dataDxfId="77"/>
    <tableColumn id="4" xr3:uid="{14BFC9CC-50A9-49F1-81B5-29D9D5A039D3}" name="Total Processor Quantity" dataDxfId="76"/>
    <tableColumn id="5" xr3:uid="{23391119-E0A4-4064-8ECC-EBB63E03B90B}" name="Cores per Socket" dataDxfId="75"/>
    <tableColumn id="6" xr3:uid="{64C7B89F-DDC1-4ADD-A786-28F30E748876}" name="Total Cores" dataDxfId="74"/>
    <tableColumn id="7" xr3:uid="{239537BD-1EAC-499F-B9E7-BB7FB5B0F9C5}" name="Core GHz" dataDxfId="73"/>
    <tableColumn id="8" xr3:uid="{8353507A-5BF4-4ED3-BB7B-E7E683F5BC39}" name="Total GHz" dataDxfId="72"/>
    <tableColumn id="9" xr3:uid="{91A6AF94-8110-4E9A-95BA-436DDAF9DE60}" name="Estimated Processor Utilization" dataDxfId="71"/>
    <tableColumn id="10" xr3:uid="{3EC99ED6-D9F2-4E59-8D55-D5D9AD88E2DF}" name="Total Memory (GB)" dataDxfId="70"/>
    <tableColumn id="11" xr3:uid="{AD1FD066-685E-46B3-8209-D53D4DC0594C}" name="Estimated Memory Utilization" dataDxfId="69"/>
    <tableColumn id="12" xr3:uid="{1C168EF1-24A1-42BD-931C-6F9C65D219ED}" name="vCPU:pCPU Ratio (assuming 250 users)" dataDxfId="68"/>
    <tableColumn id="13" xr3:uid="{6CEDBF18-8DC0-446D-ACA7-BD23EA708DCA}" name="Notes" dataDxfId="67"/>
    <tableColumn id="14" xr3:uid="{7412BFE8-C038-4D5C-A987-2F99A4F2A918}" name="Total Processor Costs (List)" dataDxfId="66" dataCellStyle="Currency"/>
    <tableColumn id="15" xr3:uid="{3E8FE797-CBC6-4C53-B0B1-BF9F9FD6894B}" name="Total Memory Costs (List)" dataDxfId="65"/>
    <tableColumn id="16" xr3:uid="{E81D5B6E-8659-484B-A5BA-1FA57CD81CAF}" name="Total (proc &amp; mem)" dataDxfId="64"/>
    <tableColumn id="18" xr3:uid="{B933C7B4-A5B8-415C-B725-967B60A911F2}" name="% Lower than Most Expensive" dataDxfId="63"/>
    <tableColumn id="17" xr3:uid="{3BFA63C1-9AA4-4E82-ADFC-F046826EC5BD}" name="Summary" dataDxfId="6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99E372-499C-468E-8FEA-C048D9661C93}" name="Table46" displayName="Table46" ref="A1:J6" totalsRowShown="0" headerRowDxfId="61" dataDxfId="60">
  <autoFilter ref="A1:J6" xr:uid="{4CDC5783-7E41-48B1-9566-C6F71CF5D21F}"/>
  <tableColumns count="10">
    <tableColumn id="1" xr3:uid="{A1B09F89-D94F-4BB3-BEEC-8E067320E7EB}" name="Graphics Card Type" dataDxfId="59"/>
    <tableColumn id="2" xr3:uid="{965C6035-A819-4DC7-A311-750F4A4DD1AC}" name="Memory /Card (GB)" dataDxfId="58"/>
    <tableColumn id="3" xr3:uid="{0AFAD525-F4C5-4E3F-8467-F8EBC3A0457E}" name="CUDA Cores" dataDxfId="57"/>
    <tableColumn id="4" xr3:uid="{59A01C16-9687-4747-B241-ED75D35E6F8D}" name="Power (W)" dataDxfId="56"/>
    <tableColumn id="5" xr3:uid="{F4A818EC-ED4A-4994-8DDE-20729B23957F}" name="Thermal" dataDxfId="55"/>
    <tableColumn id="6" xr3:uid="{0B37760C-DFEB-4A62-A653-CEB7C4FAE068}" name="GPU Quantity Max Per Server *" dataDxfId="54"/>
    <tableColumn id="7" xr3:uid="{5879F919-CE6F-45B9-84EC-96F57DE01FB5}" name="Price Per Unit**" dataDxfId="53" dataCellStyle="Currency"/>
    <tableColumn id="8" xr3:uid="{D946C542-BD22-423B-A3D9-37FEF00D73DA}" name="Total GPU Cost" dataDxfId="52"/>
    <tableColumn id="9" xr3:uid="{D707C3B5-1D95-46AD-A5E2-0073074D2C26}" name="Profile Options (GB)" dataDxfId="51"/>
    <tableColumn id="10" xr3:uid="{0E2833DB-2180-4CDE-85CD-A69396CF14CB}" name="Cost Per User (using lowest profile)" dataDxfId="50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F62B9F2-284C-4222-B358-D042C871DE91}" name="Table7" displayName="Table7" ref="A10:I13" totalsRowShown="0" headerRowDxfId="49" dataDxfId="48">
  <autoFilter ref="A10:I13" xr:uid="{05A60EBC-D86A-4C14-9E84-847F3F948894}"/>
  <tableColumns count="9">
    <tableColumn id="1" xr3:uid="{EFC8BFF7-D48C-4AA9-AD28-FC2E4FA91B41}" name="Server Profile" dataDxfId="47">
      <calculatedColumnFormula>#REF!</calculatedColumnFormula>
    </tableColumn>
    <tableColumn id="2" xr3:uid="{E68286ED-5FB5-479F-BAC2-0673E62CB6B6}" name="Server Quantity" dataDxfId="46"/>
    <tableColumn id="3" xr3:uid="{78C16F1D-6771-488E-97E5-3D326D6D6920}" name="GPU" dataDxfId="45"/>
    <tableColumn id="4" xr3:uid="{F9EA225F-8FCF-4A71-BC00-23527965BC17}" name="GPU Quantity Per Server" dataDxfId="44"/>
    <tableColumn id="5" xr3:uid="{5566D200-B0C1-460E-AA17-8FFFBB266CC5}" name="GPU Total GB" dataDxfId="43">
      <calculatedColumnFormula>'VDI Profiles'!D4</calculatedColumnFormula>
    </tableColumn>
    <tableColumn id="6" xr3:uid="{7AAE1027-E78A-4418-B596-3ECABFD15983}" name="vGPU Profile Total Needed (GB)" dataDxfId="42">
      <calculatedColumnFormula>(B4/E11)*D11</calculatedColumnFormula>
    </tableColumn>
    <tableColumn id="7" xr3:uid="{9B5D1289-3EF9-40F5-ABF5-6FF6FF83BD88}" name="Total GPU Cost" dataDxfId="41">
      <calculatedColumnFormula>F4*C11</calculatedColumnFormula>
    </tableColumn>
    <tableColumn id="8" xr3:uid="{361F21BD-D5F1-49BB-995B-70FFAA5CA5E7}" name="Total Nvidia License Costs" dataDxfId="40" dataCellStyle="Currency">
      <calculatedColumnFormula>370*158</calculatedColumnFormula>
    </tableColumn>
    <tableColumn id="9" xr3:uid="{24481907-0EB1-4F8B-BC10-06DA669B692A}" name="Total Nvidia Cost" dataDxfId="39" dataCellStyle="Currency">
      <calculatedColumnFormula>Table7[[#This Row],[Total Nvidia License Costs]]+Table7[[#This Row],[Total Nvidia Cost]]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64D9D46-24BE-45C9-87D2-831EA706473C}" name="Table12" displayName="Table12" ref="A1:J28" totalsRowShown="0" headerRowDxfId="38" dataDxfId="37">
  <autoFilter ref="A1:J28" xr:uid="{AA55C7A5-31FB-4EA8-9A38-3B0982CF26BB}"/>
  <sortState xmlns:xlrd2="http://schemas.microsoft.com/office/spreadsheetml/2017/richdata2" ref="A2:J27">
    <sortCondition descending="1" ref="H1:H27"/>
  </sortState>
  <tableColumns count="10">
    <tableColumn id="9" xr3:uid="{FA093C06-4071-488F-84AC-2FBEF60C9925}" name="Processor Identifier" dataDxfId="36"/>
    <tableColumn id="1" xr3:uid="{C40F7074-5E72-4D1B-A2ED-908D5F8FCBEC}" name="Processor Name" dataDxfId="35"/>
    <tableColumn id="2" xr3:uid="{A5189DAC-6574-4435-8F76-415BC6F782E6}" name="Cores" dataDxfId="34"/>
    <tableColumn id="3" xr3:uid="{0572CED5-D15C-48BE-83AD-FB65777AFF51}" name="Speed (GHz)" dataDxfId="33"/>
    <tableColumn id="5" xr3:uid="{B012D7E1-FF7F-49F8-8443-41F81E3C29E4}" name="List Price" dataDxfId="32" dataCellStyle="Currency"/>
    <tableColumn id="6" xr3:uid="{F22D0000-7771-4460-B40F-3877142CB945}" name="Cost Per Core" dataDxfId="31">
      <calculatedColumnFormula>Table12[[#This Row],[List Price]]/Table12[[#This Row],[Cores]]</calculatedColumnFormula>
    </tableColumn>
    <tableColumn id="7" xr3:uid="{9557F42F-43BF-46B2-B2B2-C0F728F8560D}" name="Capacity Per Socket (GHz)" dataDxfId="30"/>
    <tableColumn id="4" xr3:uid="{46B13D4D-8658-4584-8EA7-937C12FD209D}" name="Capacity per Server (GHz) (assuming 2 sockets)" dataDxfId="29"/>
    <tableColumn id="8" xr3:uid="{100EA455-DBE5-451B-ADCD-B9B952E84318}" name="Cost per GHz" dataDxfId="28"/>
    <tableColumn id="10" xr3:uid="{45B67C9F-F4F7-4F07-A70B-766C91A218BE}" name="Percent Less than most expensive" dataDxfId="27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D0B269B-C9D7-490F-BF84-724AE1D1A41A}" name="Table218" displayName="Table218" ref="A1:P10" totalsRowShown="0" headerRowDxfId="26">
  <autoFilter ref="A1:P10" xr:uid="{0E14A21D-C2C1-4447-81E8-4591508671F4}"/>
  <tableColumns count="16">
    <tableColumn id="16" xr3:uid="{5A7B3FC5-B801-43E9-9498-58B270C0DE34}" name="Memory Identifier"/>
    <tableColumn id="1" xr3:uid="{DDFAE511-1F93-4E55-85E6-38847F44B59F}" name="Memory Type"/>
    <tableColumn id="2" xr3:uid="{6B6EDB76-1F43-404F-8A08-07B3550FF76E}" name="Memory Size"/>
    <tableColumn id="3" xr3:uid="{22DD6049-9281-4497-9B4F-63CF14DF6068}" name="Quantity"/>
    <tableColumn id="4" xr3:uid="{9079EBD0-0BA7-4EAB-A654-7BEAF22470AA}" name="Memory Total">
      <calculatedColumnFormula>C2*D2</calculatedColumnFormula>
    </tableColumn>
    <tableColumn id="5" xr3:uid="{2A2BD153-C95A-473A-8C07-13B31B7534B9}" name="List Price /per"/>
    <tableColumn id="6" xr3:uid="{B2D19728-9F2B-44B5-B59F-DEC6CC9D52D4}" name="List Price Total">
      <calculatedColumnFormula>F2*D2</calculatedColumnFormula>
    </tableColumn>
    <tableColumn id="14" xr3:uid="{959A8A7A-16D8-4C72-9201-824697C16065}" name="Cost per GB" dataDxfId="25">
      <calculatedColumnFormula>G2/E2</calculatedColumnFormula>
    </tableColumn>
    <tableColumn id="7" xr3:uid="{F76123DA-5A65-4E81-ACE7-726C7E97EE14}" name="Proc Requirement"/>
    <tableColumn id="8" xr3:uid="{731247FF-5256-4089-87C5-00CEA6539ADD}" name="Dependent Memory Type"/>
    <tableColumn id="9" xr3:uid="{3D7ADEE7-2781-49C0-A66D-504B6D5B7D0E}" name="Dependent Memory Size (minimum)"/>
    <tableColumn id="10" xr3:uid="{F8E3B6F4-3BD6-4BF1-A3C9-2B6E7353F85F}" name="Dependent Memory Quantity"/>
    <tableColumn id="11" xr3:uid="{C08462E3-B5D2-4D71-B8F4-E3E6B30C7D1A}" name="List Price /per DIMM"/>
    <tableColumn id="12" xr3:uid="{202B2031-2919-42A2-AFC3-BE2C238E3C8A}" name="List Price Total Dependent "/>
    <tableColumn id="13" xr3:uid="{3EEFCA41-0241-440A-8EB1-0B3A3A4ADDFA}" name="Total Cost" dataDxfId="24">
      <calculatedColumnFormula>G2+N2</calculatedColumnFormula>
    </tableColumn>
    <tableColumn id="15" xr3:uid="{F163612E-5A42-442C-A29E-4A87F9FB5391}" name="Total Cost per GB" dataDxfId="23">
      <calculatedColumnFormula>O2/E2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C7708CF-A0F4-4BA5-992D-7FCA313CAB31}" name="Intel_DB_Cores_Speed" displayName="Intel_DB_Cores_Speed" ref="A1:J2" tableType="queryTable" insertRow="1" totalsRowShown="0">
  <autoFilter ref="A1:J2" xr:uid="{8D9A0C6E-23AA-4DCA-AE86-4C33A34FAD23}"/>
  <tableColumns count="10">
    <tableColumn id="1" xr3:uid="{38C9A84F-C885-436A-AC87-7B68F12C929F}" uniqueName="1" name="Product Name" queryTableFieldId="1" dataDxfId="8"/>
    <tableColumn id="2" xr3:uid="{A5E0B106-3C50-4E15-BEE3-6A3362C175D2}" uniqueName="2" name="Status" queryTableFieldId="2" dataDxfId="7"/>
    <tableColumn id="3" xr3:uid="{4C3AB56A-94E2-4279-9950-CD81ACC12B8C}" uniqueName="3" name="Launch Date" queryTableFieldId="3" dataDxfId="6"/>
    <tableColumn id="4" xr3:uid="{A6317BDC-43B0-474C-9CA5-3C00294D005E}" uniqueName="4" name="# of Cores" queryTableFieldId="4"/>
    <tableColumn id="5" xr3:uid="{449D5A2A-6497-49DB-B730-BDB54338373D}" uniqueName="5" name="Max Turbo Frequency" queryTableFieldId="5" dataDxfId="5"/>
    <tableColumn id="6" xr3:uid="{51178AC5-9246-4BCE-AB46-D9066CD96F40}" uniqueName="6" name="Processor Base Frequency" queryTableFieldId="6" dataDxfId="4"/>
    <tableColumn id="7" xr3:uid="{C3C46B4D-DB9E-420F-9FC1-C3882CFC7FCD}" uniqueName="7" name="Cache" queryTableFieldId="7" dataDxfId="3"/>
    <tableColumn id="9" xr3:uid="{8B6C16CA-856C-4D35-A92B-85AB56B441E2}" uniqueName="9" name="Processor Graphics ‡" queryTableFieldId="9" dataDxfId="2"/>
    <tableColumn id="10" xr3:uid="{E5F1FE7E-CC0E-4D33-A498-3179453DA951}" uniqueName="10" name="Recommended Customer Price" queryTableFieldId="10" dataDxfId="1"/>
    <tableColumn id="8" xr3:uid="{BCD919B5-5D2C-4814-8190-928834DC878B}" uniqueName="8" name="Compare All | None" queryTableFieldId="8" dataDxfId="0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12C76D7-B560-46CF-A187-9227B786962E}" name="Table3" displayName="Table3" ref="A1:D2" totalsRowShown="0" headerRowDxfId="22" dataDxfId="21">
  <autoFilter ref="A1:D2" xr:uid="{33A74D29-135D-4F5A-9873-8E5FB49DD85B}"/>
  <tableColumns count="4">
    <tableColumn id="1" xr3:uid="{A706D6EF-D43E-442A-AE67-BDD0DE14E1D4}" name="Switch" dataDxfId="20"/>
    <tableColumn id="2" xr3:uid="{A8CAAF3D-7E73-43F2-B726-A2B1A7DB2BD4}" name="Ports" dataDxfId="19"/>
    <tableColumn id="3" xr3:uid="{497076C2-6C28-467C-B333-AA44DC91F36C}" name="Switch Quantity" dataDxfId="18"/>
    <tableColumn id="4" xr3:uid="{AEB69F81-7DA3-4050-AAE9-44ED860C063E}" name="Total Ports" dataDxfId="17">
      <calculatedColumnFormula>B2*C2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6156AFF6-9182-4C68-9561-598DF19EB4D0}" name="Table4" displayName="Table4" ref="F4:K14" totalsRowShown="0" headerRowDxfId="16" dataDxfId="15">
  <autoFilter ref="F4:K14" xr:uid="{784CD54C-CC93-485C-AE57-B6DFD3F5F6E7}"/>
  <tableColumns count="6">
    <tableColumn id="1" xr3:uid="{DA83EDFC-AEDB-4C45-BE6A-0597DF146D2E}" name="Scenario" dataDxfId="14"/>
    <tableColumn id="2" xr3:uid="{8653EA77-0A20-4567-8550-3C71C1F94F13}" name="Description" dataDxfId="13"/>
    <tableColumn id="3" xr3:uid="{720A73EC-FB80-46DD-84A0-E0003496F2FB}" name="Quantity" dataDxfId="12"/>
    <tableColumn id="4" xr3:uid="{28B0AC97-5BD6-4EDE-9DFE-103F5C11CC56}" name="Fiber Ports Needed" dataDxfId="11"/>
    <tableColumn id="5" xr3:uid="{C9F8729B-F888-4A16-AEC9-F30348EAA34A}" name="Cable Type" dataDxfId="10"/>
    <tableColumn id="6" xr3:uid="{97A6A631-C740-49CA-BF1E-7538F8BB7E28}" name="Cable Quantity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thoule@presidio.com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hyperlink" Target="https://www.nvidia.com/en-us/data-center/resources/vgpu-certified-servers/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Relationship Id="rId5" Type="http://schemas.openxmlformats.org/officeDocument/2006/relationships/table" Target="../tables/table8.xml"/><Relationship Id="rId4" Type="http://schemas.openxmlformats.org/officeDocument/2006/relationships/ctrlProp" Target="../ctrlProps/ctrlProp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EC0B25-6B29-4C1A-B20E-BA7D7D53B16E}">
  <sheetPr codeName="Sheet12">
    <tabColor theme="4"/>
  </sheetPr>
  <dimension ref="A1:AY582"/>
  <sheetViews>
    <sheetView tabSelected="1" workbookViewId="0">
      <selection activeCell="B4" sqref="B4"/>
    </sheetView>
  </sheetViews>
  <sheetFormatPr defaultRowHeight="14.5"/>
  <sheetData>
    <row r="1" spans="1:51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</row>
    <row r="2" spans="1:51" ht="18.5">
      <c r="A2" s="1"/>
      <c r="B2" s="94" t="s">
        <v>408</v>
      </c>
      <c r="C2" s="1"/>
      <c r="D2" s="1"/>
      <c r="E2" s="1"/>
      <c r="F2" s="1"/>
      <c r="G2" s="1"/>
      <c r="H2" s="1"/>
      <c r="I2" s="1"/>
      <c r="J2" s="1"/>
      <c r="K2" s="1"/>
      <c r="L2" s="1"/>
      <c r="M2" s="97"/>
      <c r="N2" s="98"/>
      <c r="O2" s="98"/>
      <c r="P2" s="98"/>
      <c r="Q2" s="98"/>
      <c r="R2" s="98"/>
      <c r="S2" s="98"/>
      <c r="T2" s="98"/>
      <c r="U2" s="99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</row>
    <row r="3" spans="1:51">
      <c r="A3" s="1"/>
      <c r="B3" s="95" t="s">
        <v>426</v>
      </c>
      <c r="C3" s="1"/>
      <c r="D3" s="1"/>
      <c r="E3" s="95" t="s">
        <v>412</v>
      </c>
      <c r="F3" s="1"/>
      <c r="G3" s="1"/>
      <c r="H3" s="1"/>
      <c r="I3" s="1"/>
      <c r="J3" s="1"/>
      <c r="K3" s="1"/>
      <c r="L3" s="1"/>
      <c r="M3" s="100"/>
      <c r="N3" s="108" t="s">
        <v>398</v>
      </c>
      <c r="O3" s="109"/>
      <c r="P3" s="109"/>
      <c r="Q3" s="108"/>
      <c r="R3" s="108"/>
      <c r="S3" s="108"/>
      <c r="T3" s="108"/>
      <c r="U3" s="10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</row>
    <row r="4" spans="1:51">
      <c r="A4" s="1"/>
      <c r="B4" s="1"/>
      <c r="C4" s="1"/>
      <c r="D4" s="1"/>
      <c r="E4" s="95" t="s">
        <v>404</v>
      </c>
      <c r="F4" s="1"/>
      <c r="G4" t="s">
        <v>406</v>
      </c>
      <c r="H4" s="1"/>
      <c r="I4" s="1"/>
      <c r="J4" s="1"/>
      <c r="K4" s="1"/>
      <c r="L4" s="1"/>
      <c r="M4" s="100"/>
      <c r="N4" s="109"/>
      <c r="O4" s="110" t="s">
        <v>402</v>
      </c>
      <c r="P4" s="109"/>
      <c r="Q4" s="108"/>
      <c r="R4" s="108"/>
      <c r="S4" s="108"/>
      <c r="T4" s="108"/>
      <c r="U4" s="10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</row>
    <row r="5" spans="1:51">
      <c r="A5" s="1"/>
      <c r="B5" s="1"/>
      <c r="C5" s="1"/>
      <c r="D5" s="1"/>
      <c r="E5" s="95"/>
      <c r="F5" s="1"/>
      <c r="G5" s="1" t="s">
        <v>405</v>
      </c>
      <c r="H5" s="1"/>
      <c r="I5" s="1"/>
      <c r="J5" s="1"/>
      <c r="K5" s="1"/>
      <c r="L5" s="1"/>
      <c r="M5" s="100"/>
      <c r="N5" s="109"/>
      <c r="O5" s="111" t="s">
        <v>403</v>
      </c>
      <c r="P5" s="109"/>
      <c r="Q5" s="108"/>
      <c r="R5" s="108"/>
      <c r="S5" s="108"/>
      <c r="T5" s="108"/>
      <c r="U5" s="10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</row>
    <row r="6" spans="1:51">
      <c r="A6" s="1"/>
      <c r="B6" s="1"/>
      <c r="C6" s="1"/>
      <c r="D6" s="1"/>
      <c r="E6" s="95"/>
      <c r="F6" s="1"/>
      <c r="G6" s="1" t="s">
        <v>407</v>
      </c>
      <c r="H6" s="1"/>
      <c r="I6" s="1"/>
      <c r="J6" s="1"/>
      <c r="K6" s="1"/>
      <c r="L6" s="1"/>
      <c r="M6" s="102"/>
      <c r="N6" s="112"/>
      <c r="O6" s="113"/>
      <c r="P6" s="112"/>
      <c r="Q6" s="103"/>
      <c r="R6" s="103"/>
      <c r="S6" s="103"/>
      <c r="T6" s="103"/>
      <c r="U6" s="104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</row>
    <row r="7" spans="1:51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34"/>
      <c r="M7" s="105"/>
      <c r="N7" s="106"/>
      <c r="O7" s="107"/>
      <c r="P7" s="106"/>
      <c r="Q7" s="105"/>
      <c r="R7" s="105"/>
      <c r="S7" s="105"/>
      <c r="T7" s="105"/>
      <c r="U7" s="105"/>
      <c r="V7" s="34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</row>
    <row r="8" spans="1:51">
      <c r="A8" s="1"/>
      <c r="B8" s="96" t="s">
        <v>413</v>
      </c>
      <c r="C8" s="1"/>
      <c r="D8" s="1"/>
      <c r="E8" s="1"/>
      <c r="F8" s="1"/>
      <c r="G8" s="1"/>
      <c r="H8" s="1"/>
      <c r="I8" s="1"/>
      <c r="J8" s="1"/>
      <c r="K8" s="1"/>
      <c r="L8" s="34"/>
      <c r="M8" s="105"/>
      <c r="N8" s="106"/>
      <c r="O8" s="107"/>
      <c r="P8" s="106"/>
      <c r="Q8" s="105"/>
      <c r="R8" s="105"/>
      <c r="S8" s="105"/>
      <c r="T8" s="105"/>
      <c r="U8" s="105"/>
      <c r="V8" s="34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</row>
    <row r="9" spans="1:51">
      <c r="A9" s="1"/>
      <c r="B9" s="1"/>
      <c r="C9" s="1" t="s">
        <v>415</v>
      </c>
      <c r="D9" s="1"/>
      <c r="E9" s="1"/>
      <c r="F9" s="1"/>
      <c r="G9" s="1"/>
      <c r="H9" s="1"/>
      <c r="I9" s="1"/>
      <c r="J9" s="1"/>
      <c r="K9" s="1"/>
      <c r="L9" s="34"/>
      <c r="M9" s="105"/>
      <c r="N9" s="106"/>
      <c r="O9" s="107"/>
      <c r="P9" s="106"/>
      <c r="Q9" s="105"/>
      <c r="R9" s="105"/>
      <c r="S9" s="105"/>
      <c r="T9" s="105"/>
      <c r="U9" s="105"/>
      <c r="V9" s="34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</row>
    <row r="10" spans="1:51">
      <c r="A10" s="1"/>
      <c r="B10" s="1"/>
      <c r="C10" s="1" t="s">
        <v>414</v>
      </c>
      <c r="D10" s="1"/>
      <c r="E10" s="1"/>
      <c r="F10" s="1"/>
      <c r="G10" s="1"/>
      <c r="H10" s="1"/>
      <c r="I10" s="1"/>
      <c r="J10" s="1"/>
      <c r="K10" s="1"/>
      <c r="L10" s="34"/>
      <c r="M10" s="105"/>
      <c r="N10" s="106"/>
      <c r="O10" s="107"/>
      <c r="P10" s="106"/>
      <c r="Q10" s="105"/>
      <c r="R10" s="105"/>
      <c r="S10" s="105"/>
      <c r="T10" s="105"/>
      <c r="U10" s="105"/>
      <c r="V10" s="34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</row>
    <row r="11" spans="1:51">
      <c r="A11" s="1"/>
      <c r="B11" s="1"/>
      <c r="C11" s="1" t="s">
        <v>416</v>
      </c>
      <c r="D11" s="1"/>
      <c r="E11" s="1"/>
      <c r="F11" s="1"/>
      <c r="G11" s="1"/>
      <c r="H11" s="1"/>
      <c r="I11" s="1"/>
      <c r="J11" s="1"/>
      <c r="K11" s="1"/>
      <c r="L11" s="34"/>
      <c r="M11" s="105"/>
      <c r="N11" s="106"/>
      <c r="O11" s="107"/>
      <c r="P11" s="106"/>
      <c r="Q11" s="105"/>
      <c r="R11" s="105"/>
      <c r="S11" s="105"/>
      <c r="T11" s="105"/>
      <c r="U11" s="105"/>
      <c r="V11" s="34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</row>
    <row r="12" spans="1:51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34"/>
      <c r="M12" s="105"/>
      <c r="N12" s="106"/>
      <c r="O12" s="107"/>
      <c r="P12" s="106"/>
      <c r="Q12" s="105"/>
      <c r="R12" s="105"/>
      <c r="S12" s="105"/>
      <c r="T12" s="105"/>
      <c r="U12" s="105"/>
      <c r="V12" s="34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</row>
    <row r="13" spans="1:51">
      <c r="A13" s="1"/>
      <c r="B13" s="96" t="s">
        <v>399</v>
      </c>
      <c r="C13" s="1"/>
      <c r="D13" s="1"/>
      <c r="E13" s="1"/>
      <c r="F13" s="1"/>
      <c r="G13" s="1"/>
      <c r="H13" s="1"/>
      <c r="I13" s="1"/>
      <c r="J13" s="1"/>
      <c r="K13" s="1"/>
      <c r="L13" s="34"/>
      <c r="M13" s="105"/>
      <c r="N13" s="105"/>
      <c r="O13" s="105"/>
      <c r="P13" s="105"/>
      <c r="Q13" s="105"/>
      <c r="R13" s="105"/>
      <c r="S13" s="105"/>
      <c r="T13" s="105"/>
      <c r="U13" s="105"/>
      <c r="V13" s="34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</row>
    <row r="14" spans="1:51">
      <c r="A14" s="1"/>
      <c r="B14" s="1"/>
      <c r="C14" s="1" t="s">
        <v>409</v>
      </c>
      <c r="D14" s="1"/>
      <c r="E14" s="1"/>
      <c r="F14" s="1"/>
      <c r="G14" s="1"/>
      <c r="H14" s="1"/>
      <c r="I14" s="1"/>
      <c r="J14" s="1"/>
      <c r="K14" s="1"/>
      <c r="L14" s="34"/>
      <c r="M14" s="34"/>
      <c r="N14" s="34"/>
      <c r="O14" s="34"/>
      <c r="P14" s="34"/>
      <c r="Q14" s="34"/>
      <c r="R14" s="34"/>
      <c r="S14" s="34"/>
      <c r="T14" s="34"/>
      <c r="U14" s="34"/>
      <c r="V14" s="34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</row>
    <row r="15" spans="1:51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34"/>
      <c r="M15" s="34"/>
      <c r="N15" s="34"/>
      <c r="O15" s="34"/>
      <c r="P15" s="34"/>
      <c r="Q15" s="34"/>
      <c r="R15" s="34"/>
      <c r="S15" s="34"/>
      <c r="T15" s="34"/>
      <c r="U15" s="34"/>
      <c r="V15" s="34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</row>
    <row r="16" spans="1:51">
      <c r="A16" s="1"/>
      <c r="B16" s="96" t="s">
        <v>400</v>
      </c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</row>
    <row r="17" spans="1:51">
      <c r="A17" s="1"/>
      <c r="B17" s="1"/>
      <c r="C17" s="1" t="s">
        <v>410</v>
      </c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</row>
    <row r="18" spans="1:51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</row>
    <row r="19" spans="1:51">
      <c r="A19" s="1"/>
      <c r="B19" s="1" t="s">
        <v>411</v>
      </c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</row>
    <row r="20" spans="1:51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</row>
    <row r="21" spans="1:51">
      <c r="A21" s="1"/>
      <c r="B21" s="96" t="s">
        <v>401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</row>
    <row r="22" spans="1:51">
      <c r="A22" s="1"/>
      <c r="B22" s="1"/>
      <c r="C22" s="1" t="s">
        <v>397</v>
      </c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</row>
    <row r="23" spans="1:51">
      <c r="A23" s="1"/>
      <c r="B23" s="1"/>
      <c r="C23" s="1" t="s">
        <v>365</v>
      </c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</row>
    <row r="24" spans="1:51">
      <c r="A24" s="1"/>
      <c r="B24" s="1"/>
      <c r="C24" s="1" t="s">
        <v>364</v>
      </c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</row>
    <row r="25" spans="1:51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</row>
    <row r="26" spans="1:51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</row>
    <row r="27" spans="1:51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</row>
    <row r="28" spans="1:51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</row>
    <row r="29" spans="1:51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</row>
    <row r="30" spans="1:51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</row>
    <row r="31" spans="1:51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</row>
    <row r="32" spans="1:51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</row>
    <row r="33" spans="1:51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</row>
    <row r="34" spans="1:51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</row>
    <row r="35" spans="1:51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</row>
    <row r="36" spans="1:51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</row>
    <row r="37" spans="1:51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</row>
    <row r="38" spans="1:51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</row>
    <row r="39" spans="1:51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</row>
    <row r="40" spans="1:51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</row>
    <row r="41" spans="1:51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</row>
    <row r="42" spans="1:51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</row>
    <row r="43" spans="1:5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</row>
    <row r="44" spans="1:51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</row>
    <row r="45" spans="1:51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</row>
    <row r="46" spans="1:51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</row>
    <row r="47" spans="1:51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</row>
    <row r="48" spans="1:51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</row>
    <row r="49" spans="1:51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</row>
    <row r="50" spans="1:51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</row>
    <row r="51" spans="1:51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</row>
    <row r="52" spans="1:51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</row>
    <row r="53" spans="1:51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</row>
    <row r="54" spans="1:51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</row>
    <row r="55" spans="1:51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</row>
    <row r="56" spans="1:51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</row>
    <row r="57" spans="1:51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</row>
    <row r="58" spans="1:51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</row>
    <row r="59" spans="1:51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</row>
    <row r="60" spans="1:51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</row>
    <row r="61" spans="1:51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</row>
    <row r="62" spans="1:51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</row>
    <row r="63" spans="1:51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</row>
    <row r="64" spans="1:51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</row>
    <row r="65" spans="1:51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</row>
    <row r="66" spans="1:51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</row>
    <row r="67" spans="1:51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</row>
    <row r="68" spans="1:51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</row>
    <row r="69" spans="1:51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</row>
    <row r="70" spans="1:51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</row>
    <row r="71" spans="1:51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</row>
    <row r="72" spans="1:51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</row>
    <row r="73" spans="1:51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</row>
    <row r="74" spans="1:51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</row>
    <row r="75" spans="1:51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</row>
    <row r="76" spans="1:51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</row>
    <row r="77" spans="1:51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</row>
    <row r="78" spans="1:51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</row>
    <row r="79" spans="1:51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</row>
    <row r="80" spans="1:51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</row>
    <row r="81" spans="1:51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</row>
    <row r="82" spans="1:51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</row>
    <row r="83" spans="1:51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</row>
    <row r="84" spans="1:51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</row>
    <row r="85" spans="1:51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</row>
    <row r="86" spans="1:51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</row>
    <row r="87" spans="1:51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</row>
    <row r="88" spans="1:51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</row>
    <row r="89" spans="1:51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</row>
    <row r="90" spans="1:51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</row>
    <row r="91" spans="1:51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</row>
    <row r="92" spans="1:51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</row>
    <row r="93" spans="1:51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</row>
    <row r="94" spans="1:51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</row>
    <row r="95" spans="1:51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</row>
    <row r="96" spans="1:51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</row>
    <row r="97" spans="1:51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</row>
    <row r="98" spans="1:51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</row>
    <row r="99" spans="1:51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</row>
    <row r="100" spans="1:51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</row>
    <row r="101" spans="1:51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</row>
    <row r="102" spans="1:51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</row>
    <row r="103" spans="1:51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</row>
    <row r="104" spans="1:51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</row>
    <row r="105" spans="1:51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</row>
    <row r="106" spans="1:51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</row>
    <row r="107" spans="1:51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</row>
    <row r="108" spans="1:51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</row>
    <row r="109" spans="1:51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</row>
    <row r="110" spans="1:51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</row>
    <row r="111" spans="1:51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</row>
    <row r="112" spans="1:51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</row>
    <row r="113" spans="1:51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</row>
    <row r="114" spans="1:51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</row>
    <row r="115" spans="1:51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</row>
    <row r="116" spans="1:51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</row>
    <row r="117" spans="1:51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</row>
    <row r="118" spans="1:51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</row>
    <row r="119" spans="1:51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</row>
    <row r="120" spans="1:51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</row>
    <row r="121" spans="1:51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</row>
    <row r="122" spans="1:51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</row>
    <row r="123" spans="1:51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</row>
    <row r="124" spans="1:51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</row>
    <row r="125" spans="1:51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</row>
    <row r="126" spans="1:51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</row>
    <row r="127" spans="1:51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</row>
    <row r="128" spans="1:51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</row>
    <row r="129" spans="1:51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</row>
    <row r="130" spans="1:51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</row>
    <row r="131" spans="1:51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</row>
    <row r="132" spans="1:51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</row>
    <row r="133" spans="1:51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</row>
    <row r="134" spans="1:51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</row>
    <row r="135" spans="1:51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</row>
    <row r="136" spans="1:51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</row>
    <row r="137" spans="1:51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</row>
    <row r="138" spans="1:51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</row>
    <row r="139" spans="1:51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</row>
    <row r="140" spans="1:51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</row>
    <row r="141" spans="1:51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</row>
    <row r="142" spans="1:51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</row>
    <row r="143" spans="1:51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</row>
    <row r="144" spans="1:51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</row>
    <row r="145" spans="1:51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</row>
    <row r="146" spans="1:51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</row>
    <row r="147" spans="1:51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</row>
    <row r="148" spans="1:51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</row>
    <row r="149" spans="1:51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</row>
    <row r="150" spans="1:51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</row>
    <row r="151" spans="1:51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</row>
    <row r="152" spans="1:51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</row>
    <row r="153" spans="1:51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</row>
    <row r="154" spans="1:51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</row>
    <row r="155" spans="1:51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</row>
    <row r="156" spans="1:51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</row>
    <row r="157" spans="1:51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</row>
    <row r="158" spans="1:51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</row>
    <row r="159" spans="1:51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</row>
    <row r="160" spans="1:51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</row>
    <row r="161" spans="1:51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</row>
    <row r="162" spans="1:51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</row>
    <row r="163" spans="1:51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</row>
    <row r="164" spans="1:51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</row>
    <row r="165" spans="1:51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</row>
    <row r="166" spans="1:51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</row>
    <row r="167" spans="1:51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</row>
    <row r="168" spans="1:51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</row>
    <row r="169" spans="1:51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</row>
    <row r="170" spans="1:51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</row>
    <row r="171" spans="1:51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</row>
    <row r="172" spans="1:51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</row>
    <row r="173" spans="1:51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</row>
    <row r="174" spans="1:51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</row>
    <row r="175" spans="1:51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</row>
    <row r="176" spans="1:51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</row>
    <row r="177" spans="1:51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</row>
    <row r="178" spans="1:51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</row>
    <row r="179" spans="1:51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</row>
    <row r="180" spans="1:51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</row>
    <row r="181" spans="1:51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</row>
    <row r="182" spans="1:51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</row>
    <row r="183" spans="1:51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</row>
    <row r="184" spans="1:51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</row>
    <row r="185" spans="1:51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</row>
    <row r="186" spans="1:51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</row>
    <row r="187" spans="1:51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</row>
    <row r="188" spans="1:51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</row>
    <row r="189" spans="1:51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</row>
    <row r="190" spans="1:51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</row>
    <row r="191" spans="1:51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</row>
    <row r="192" spans="1:51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</row>
    <row r="193" spans="1:51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</row>
    <row r="194" spans="1:51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</row>
    <row r="195" spans="1:51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</row>
    <row r="196" spans="1:51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</row>
    <row r="197" spans="1:51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</row>
    <row r="198" spans="1:51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</row>
    <row r="199" spans="1:51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</row>
    <row r="200" spans="1:51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</row>
    <row r="201" spans="1:51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</row>
    <row r="202" spans="1:51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</row>
    <row r="203" spans="1:51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</row>
    <row r="204" spans="1:51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</row>
    <row r="205" spans="1:51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</row>
    <row r="206" spans="1:51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</row>
    <row r="207" spans="1:51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</row>
    <row r="208" spans="1:51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</row>
    <row r="209" spans="1:51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</row>
    <row r="210" spans="1:51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</row>
    <row r="211" spans="1:51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</row>
    <row r="212" spans="1:51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</row>
    <row r="213" spans="1:51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</row>
    <row r="214" spans="1:51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</row>
    <row r="215" spans="1:51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</row>
    <row r="216" spans="1:51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</row>
    <row r="217" spans="1:51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</row>
    <row r="218" spans="1:51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</row>
    <row r="219" spans="1:51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</row>
    <row r="220" spans="1:51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</row>
    <row r="221" spans="1:51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</row>
    <row r="222" spans="1:51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</row>
    <row r="223" spans="1:51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</row>
    <row r="224" spans="1:51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</row>
    <row r="225" spans="1:51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</row>
    <row r="226" spans="1:51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</row>
    <row r="227" spans="1:51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</row>
    <row r="228" spans="1:51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</row>
    <row r="229" spans="1:51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</row>
    <row r="230" spans="1:51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</row>
    <row r="231" spans="1:51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</row>
    <row r="232" spans="1:51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</row>
    <row r="233" spans="1:51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</row>
    <row r="234" spans="1:51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</row>
    <row r="235" spans="1:51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</row>
    <row r="236" spans="1:51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</row>
    <row r="237" spans="1:51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</row>
    <row r="238" spans="1:51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</row>
    <row r="239" spans="1:51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</row>
    <row r="240" spans="1:51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</row>
    <row r="241" spans="1:51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</row>
    <row r="242" spans="1:51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</row>
    <row r="243" spans="1:51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</row>
    <row r="244" spans="1:51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</row>
    <row r="245" spans="1:51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</row>
    <row r="246" spans="1:51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</row>
    <row r="247" spans="1:51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</row>
    <row r="248" spans="1:51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</row>
    <row r="249" spans="1:51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</row>
    <row r="250" spans="1:51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</row>
    <row r="251" spans="1:51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</row>
    <row r="252" spans="1:51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</row>
    <row r="253" spans="1:51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</row>
    <row r="254" spans="1:51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</row>
    <row r="255" spans="1:51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</row>
    <row r="256" spans="1:51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</row>
    <row r="257" spans="1:51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</row>
    <row r="258" spans="1:51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</row>
    <row r="259" spans="1:51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</row>
    <row r="260" spans="1:51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</row>
    <row r="261" spans="1:51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</row>
    <row r="262" spans="1:51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</row>
    <row r="263" spans="1:51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</row>
    <row r="264" spans="1:51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</row>
    <row r="265" spans="1:51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</row>
    <row r="266" spans="1:51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</row>
    <row r="267" spans="1:51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</row>
    <row r="268" spans="1:51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</row>
    <row r="269" spans="1:51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</row>
    <row r="270" spans="1:51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</row>
    <row r="271" spans="1:51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</row>
    <row r="272" spans="1:51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</row>
    <row r="273" spans="1:51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</row>
    <row r="274" spans="1:51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</row>
    <row r="275" spans="1:51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</row>
    <row r="276" spans="1:51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</row>
    <row r="277" spans="1:51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</row>
    <row r="278" spans="1:51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</row>
    <row r="279" spans="1:51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</row>
    <row r="280" spans="1:51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</row>
    <row r="281" spans="1:51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</row>
    <row r="282" spans="1:51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</row>
    <row r="283" spans="1:51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</row>
    <row r="284" spans="1:51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</row>
    <row r="285" spans="1:51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</row>
    <row r="286" spans="1:51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</row>
    <row r="287" spans="1:51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</row>
    <row r="288" spans="1:51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</row>
    <row r="289" spans="1:51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</row>
    <row r="290" spans="1:51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</row>
    <row r="291" spans="1:51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</row>
    <row r="292" spans="1:51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</row>
    <row r="293" spans="1:51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</row>
    <row r="294" spans="1:51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</row>
    <row r="295" spans="1:51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</row>
    <row r="296" spans="1:51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</row>
    <row r="297" spans="1:51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</row>
    <row r="298" spans="1:51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</row>
    <row r="299" spans="1:51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</row>
    <row r="300" spans="1:51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</row>
    <row r="301" spans="1:51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</row>
    <row r="302" spans="1:51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</row>
    <row r="303" spans="1:51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</row>
    <row r="304" spans="1:51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</row>
    <row r="305" spans="1:51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</row>
    <row r="306" spans="1:51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</row>
    <row r="307" spans="1:51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</row>
    <row r="308" spans="1:51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</row>
    <row r="309" spans="1:51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</row>
    <row r="310" spans="1:51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</row>
    <row r="311" spans="1:51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</row>
    <row r="312" spans="1:51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</row>
    <row r="313" spans="1:51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</row>
    <row r="314" spans="1:51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</row>
    <row r="315" spans="1:51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</row>
    <row r="316" spans="1:51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</row>
    <row r="317" spans="1:51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</row>
    <row r="318" spans="1:51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</row>
    <row r="319" spans="1:51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</row>
    <row r="320" spans="1:51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</row>
    <row r="321" spans="1:51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</row>
    <row r="322" spans="1:51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</row>
    <row r="323" spans="1:51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</row>
    <row r="324" spans="1:51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</row>
    <row r="325" spans="1:51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</row>
    <row r="326" spans="1:51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</row>
    <row r="327" spans="1:51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</row>
    <row r="328" spans="1:51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</row>
    <row r="329" spans="1:51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</row>
    <row r="330" spans="1:51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</row>
    <row r="331" spans="1:51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</row>
    <row r="332" spans="1:51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</row>
    <row r="333" spans="1:51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</row>
    <row r="334" spans="1:51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</row>
    <row r="335" spans="1:51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</row>
    <row r="336" spans="1:51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</row>
    <row r="337" spans="1:51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</row>
    <row r="338" spans="1:51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</row>
    <row r="339" spans="1:51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</row>
    <row r="340" spans="1:51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</row>
    <row r="341" spans="1:51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</row>
    <row r="342" spans="1:51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</row>
    <row r="343" spans="1:51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</row>
    <row r="344" spans="1:51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</row>
    <row r="345" spans="1:51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</row>
    <row r="346" spans="1:51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</row>
    <row r="347" spans="1:51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</row>
    <row r="348" spans="1:51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</row>
    <row r="349" spans="1:51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</row>
    <row r="350" spans="1:51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</row>
    <row r="351" spans="1:51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</row>
    <row r="352" spans="1:51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</row>
    <row r="353" spans="1:51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</row>
    <row r="354" spans="1:51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</row>
    <row r="355" spans="1:51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</row>
    <row r="356" spans="1:51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</row>
    <row r="357" spans="1:51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</row>
    <row r="358" spans="1:51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</row>
    <row r="359" spans="1:51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</row>
    <row r="360" spans="1:51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</row>
    <row r="361" spans="1:51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</row>
    <row r="362" spans="1:51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</row>
    <row r="363" spans="1:51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</row>
    <row r="364" spans="1:51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</row>
    <row r="365" spans="1:51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</row>
    <row r="366" spans="1:51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</row>
    <row r="367" spans="1:51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</row>
    <row r="368" spans="1:51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</row>
    <row r="369" spans="1:51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</row>
    <row r="370" spans="1:51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</row>
    <row r="371" spans="1:51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</row>
    <row r="372" spans="1:51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</row>
    <row r="373" spans="1:51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</row>
    <row r="374" spans="1:51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</row>
    <row r="375" spans="1:51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</row>
    <row r="376" spans="1:51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</row>
    <row r="377" spans="1:51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</row>
    <row r="378" spans="1:51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</row>
    <row r="379" spans="1:51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</row>
    <row r="380" spans="1:51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</row>
    <row r="381" spans="1:51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</row>
    <row r="382" spans="1:51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</row>
    <row r="383" spans="1:51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</row>
    <row r="384" spans="1:51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</row>
    <row r="385" spans="1:51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</row>
    <row r="386" spans="1:51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</row>
    <row r="387" spans="1:51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</row>
    <row r="388" spans="1:51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</row>
    <row r="389" spans="1:51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</row>
    <row r="390" spans="1:51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</row>
    <row r="391" spans="1:51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</row>
    <row r="392" spans="1:51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</row>
    <row r="393" spans="1:51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</row>
    <row r="394" spans="1:51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</row>
    <row r="395" spans="1:51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</row>
    <row r="396" spans="1:51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</row>
    <row r="397" spans="1:51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</row>
    <row r="398" spans="1:51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</row>
    <row r="399" spans="1:51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</row>
    <row r="400" spans="1:51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</row>
    <row r="401" spans="1:51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</row>
    <row r="402" spans="1:51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  <c r="AX402" s="1"/>
      <c r="AY402" s="1"/>
    </row>
    <row r="403" spans="1:51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  <c r="AX403" s="1"/>
      <c r="AY403" s="1"/>
    </row>
    <row r="404" spans="1:51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  <c r="AX404" s="1"/>
      <c r="AY404" s="1"/>
    </row>
    <row r="405" spans="1:51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  <c r="AX405" s="1"/>
      <c r="AY405" s="1"/>
    </row>
    <row r="406" spans="1:51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  <c r="AX406" s="1"/>
      <c r="AY406" s="1"/>
    </row>
    <row r="407" spans="1:51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  <c r="AX407" s="1"/>
      <c r="AY407" s="1"/>
    </row>
    <row r="408" spans="1:51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  <c r="AX408" s="1"/>
      <c r="AY408" s="1"/>
    </row>
    <row r="409" spans="1:51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  <c r="AX409" s="1"/>
      <c r="AY409" s="1"/>
    </row>
    <row r="410" spans="1:51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  <c r="AX410" s="1"/>
      <c r="AY410" s="1"/>
    </row>
    <row r="411" spans="1:51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  <c r="AX411" s="1"/>
      <c r="AY411" s="1"/>
    </row>
    <row r="412" spans="1:51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  <c r="AX412" s="1"/>
      <c r="AY412" s="1"/>
    </row>
    <row r="413" spans="1:51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  <c r="AX413" s="1"/>
      <c r="AY413" s="1"/>
    </row>
    <row r="414" spans="1:51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  <c r="AX414" s="1"/>
      <c r="AY414" s="1"/>
    </row>
    <row r="415" spans="1:51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  <c r="AX415" s="1"/>
      <c r="AY415" s="1"/>
    </row>
    <row r="416" spans="1:51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  <c r="AX416" s="1"/>
      <c r="AY416" s="1"/>
    </row>
    <row r="417" spans="1:51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  <c r="AX417" s="1"/>
      <c r="AY417" s="1"/>
    </row>
    <row r="418" spans="1:51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  <c r="AX418" s="1"/>
      <c r="AY418" s="1"/>
    </row>
    <row r="419" spans="1:51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  <c r="AX419" s="1"/>
      <c r="AY419" s="1"/>
    </row>
    <row r="420" spans="1:51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  <c r="AX420" s="1"/>
      <c r="AY420" s="1"/>
    </row>
    <row r="421" spans="1:51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  <c r="AX421" s="1"/>
      <c r="AY421" s="1"/>
    </row>
    <row r="422" spans="1:51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  <c r="AX422" s="1"/>
      <c r="AY422" s="1"/>
    </row>
    <row r="423" spans="1:51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  <c r="AX423" s="1"/>
      <c r="AY423" s="1"/>
    </row>
    <row r="424" spans="1:51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  <c r="AX424" s="1"/>
      <c r="AY424" s="1"/>
    </row>
    <row r="425" spans="1:51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  <c r="AX425" s="1"/>
      <c r="AY425" s="1"/>
    </row>
    <row r="426" spans="1:51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  <c r="AX426" s="1"/>
      <c r="AY426" s="1"/>
    </row>
    <row r="427" spans="1:51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  <c r="AX427" s="1"/>
      <c r="AY427" s="1"/>
    </row>
    <row r="428" spans="1:51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  <c r="AX428" s="1"/>
      <c r="AY428" s="1"/>
    </row>
    <row r="429" spans="1:51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  <c r="AX429" s="1"/>
      <c r="AY429" s="1"/>
    </row>
    <row r="430" spans="1:51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  <c r="AX430" s="1"/>
      <c r="AY430" s="1"/>
    </row>
    <row r="431" spans="1:51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  <c r="AX431" s="1"/>
      <c r="AY431" s="1"/>
    </row>
    <row r="432" spans="1:51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  <c r="AX432" s="1"/>
      <c r="AY432" s="1"/>
    </row>
    <row r="433" spans="1:51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  <c r="AX433" s="1"/>
      <c r="AY433" s="1"/>
    </row>
    <row r="434" spans="1:51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  <c r="AX434" s="1"/>
      <c r="AY434" s="1"/>
    </row>
    <row r="435" spans="1:51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  <c r="AX435" s="1"/>
      <c r="AY435" s="1"/>
    </row>
    <row r="436" spans="1:51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  <c r="AX436" s="1"/>
      <c r="AY436" s="1"/>
    </row>
    <row r="437" spans="1:51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  <c r="AX437" s="1"/>
      <c r="AY437" s="1"/>
    </row>
    <row r="438" spans="1:51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  <c r="AX438" s="1"/>
      <c r="AY438" s="1"/>
    </row>
    <row r="439" spans="1:51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  <c r="AX439" s="1"/>
      <c r="AY439" s="1"/>
    </row>
    <row r="440" spans="1:51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  <c r="AX440" s="1"/>
      <c r="AY440" s="1"/>
    </row>
    <row r="441" spans="1:51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  <c r="AX441" s="1"/>
      <c r="AY441" s="1"/>
    </row>
    <row r="442" spans="1:51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  <c r="AX442" s="1"/>
      <c r="AY442" s="1"/>
    </row>
    <row r="443" spans="1:51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  <c r="AX443" s="1"/>
      <c r="AY443" s="1"/>
    </row>
    <row r="444" spans="1:51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  <c r="AX444" s="1"/>
      <c r="AY444" s="1"/>
    </row>
    <row r="445" spans="1:51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  <c r="AX445" s="1"/>
      <c r="AY445" s="1"/>
    </row>
    <row r="446" spans="1:51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  <c r="AX446" s="1"/>
      <c r="AY446" s="1"/>
    </row>
    <row r="447" spans="1:51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  <c r="AX447" s="1"/>
      <c r="AY447" s="1"/>
    </row>
    <row r="448" spans="1:51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  <c r="AX448" s="1"/>
      <c r="AY448" s="1"/>
    </row>
    <row r="449" spans="1:51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  <c r="AX449" s="1"/>
      <c r="AY449" s="1"/>
    </row>
    <row r="450" spans="1:51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  <c r="AX450" s="1"/>
      <c r="AY450" s="1"/>
    </row>
    <row r="451" spans="1:51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  <c r="AX451" s="1"/>
      <c r="AY451" s="1"/>
    </row>
    <row r="452" spans="1:51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  <c r="AX452" s="1"/>
      <c r="AY452" s="1"/>
    </row>
    <row r="453" spans="1:51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  <c r="AX453" s="1"/>
      <c r="AY453" s="1"/>
    </row>
    <row r="454" spans="1:51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  <c r="AX454" s="1"/>
      <c r="AY454" s="1"/>
    </row>
    <row r="455" spans="1:51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  <c r="AX455" s="1"/>
      <c r="AY455" s="1"/>
    </row>
    <row r="456" spans="1:51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  <c r="AX456" s="1"/>
      <c r="AY456" s="1"/>
    </row>
    <row r="457" spans="1:51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  <c r="AX457" s="1"/>
      <c r="AY457" s="1"/>
    </row>
    <row r="458" spans="1:51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  <c r="AX458" s="1"/>
      <c r="AY458" s="1"/>
    </row>
    <row r="459" spans="1:51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  <c r="AX459" s="1"/>
      <c r="AY459" s="1"/>
    </row>
    <row r="460" spans="1:51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  <c r="AX460" s="1"/>
      <c r="AY460" s="1"/>
    </row>
    <row r="461" spans="1:51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  <c r="AX461" s="1"/>
      <c r="AY461" s="1"/>
    </row>
    <row r="462" spans="1:51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  <c r="AX462" s="1"/>
      <c r="AY462" s="1"/>
    </row>
    <row r="463" spans="1:51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  <c r="AX463" s="1"/>
      <c r="AY463" s="1"/>
    </row>
    <row r="464" spans="1:51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  <c r="AX464" s="1"/>
      <c r="AY464" s="1"/>
    </row>
    <row r="465" spans="1:51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  <c r="AX465" s="1"/>
      <c r="AY465" s="1"/>
    </row>
    <row r="466" spans="1:51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  <c r="AX466" s="1"/>
      <c r="AY466" s="1"/>
    </row>
    <row r="467" spans="1:51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  <c r="AX467" s="1"/>
      <c r="AY467" s="1"/>
    </row>
    <row r="468" spans="1:51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  <c r="AX468" s="1"/>
      <c r="AY468" s="1"/>
    </row>
    <row r="469" spans="1:51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  <c r="AX469" s="1"/>
      <c r="AY469" s="1"/>
    </row>
    <row r="470" spans="1:51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  <c r="AX470" s="1"/>
      <c r="AY470" s="1"/>
    </row>
    <row r="471" spans="1:51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  <c r="AX471" s="1"/>
      <c r="AY471" s="1"/>
    </row>
    <row r="472" spans="1:51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  <c r="AX472" s="1"/>
      <c r="AY472" s="1"/>
    </row>
    <row r="473" spans="1:51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  <c r="AX473" s="1"/>
      <c r="AY473" s="1"/>
    </row>
    <row r="474" spans="1:51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  <c r="AX474" s="1"/>
      <c r="AY474" s="1"/>
    </row>
    <row r="475" spans="1:51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  <c r="AX475" s="1"/>
      <c r="AY475" s="1"/>
    </row>
    <row r="476" spans="1:51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  <c r="AX476" s="1"/>
      <c r="AY476" s="1"/>
    </row>
    <row r="477" spans="1:51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  <c r="AX477" s="1"/>
      <c r="AY477" s="1"/>
    </row>
    <row r="478" spans="1:51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  <c r="AX478" s="1"/>
      <c r="AY478" s="1"/>
    </row>
    <row r="479" spans="1:51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  <c r="AX479" s="1"/>
      <c r="AY479" s="1"/>
    </row>
    <row r="480" spans="1:51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  <c r="AX480" s="1"/>
      <c r="AY480" s="1"/>
    </row>
    <row r="481" spans="1:51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  <c r="AX481" s="1"/>
      <c r="AY481" s="1"/>
    </row>
    <row r="482" spans="1:51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  <c r="AX482" s="1"/>
      <c r="AY482" s="1"/>
    </row>
    <row r="483" spans="1:51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  <c r="AX483" s="1"/>
      <c r="AY483" s="1"/>
    </row>
    <row r="484" spans="1:51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  <c r="AX484" s="1"/>
      <c r="AY484" s="1"/>
    </row>
    <row r="485" spans="1:51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  <c r="AX485" s="1"/>
      <c r="AY485" s="1"/>
    </row>
    <row r="486" spans="1:51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  <c r="AX486" s="1"/>
      <c r="AY486" s="1"/>
    </row>
    <row r="487" spans="1:51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  <c r="AX487" s="1"/>
      <c r="AY487" s="1"/>
    </row>
    <row r="488" spans="1:51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  <c r="AX488" s="1"/>
      <c r="AY488" s="1"/>
    </row>
    <row r="489" spans="1:51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  <c r="AX489" s="1"/>
      <c r="AY489" s="1"/>
    </row>
    <row r="490" spans="1:51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  <c r="AX490" s="1"/>
      <c r="AY490" s="1"/>
    </row>
    <row r="491" spans="1:51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  <c r="AX491" s="1"/>
      <c r="AY491" s="1"/>
    </row>
    <row r="492" spans="1:51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  <c r="AX492" s="1"/>
      <c r="AY492" s="1"/>
    </row>
    <row r="493" spans="1:51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  <c r="AX493" s="1"/>
      <c r="AY493" s="1"/>
    </row>
    <row r="494" spans="1:51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  <c r="AX494" s="1"/>
      <c r="AY494" s="1"/>
    </row>
    <row r="495" spans="1:51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  <c r="AX495" s="1"/>
      <c r="AY495" s="1"/>
    </row>
    <row r="496" spans="1:51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  <c r="AX496" s="1"/>
      <c r="AY496" s="1"/>
    </row>
    <row r="497" spans="1:51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  <c r="AX497" s="1"/>
      <c r="AY497" s="1"/>
    </row>
    <row r="498" spans="1:51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  <c r="AX498" s="1"/>
      <c r="AY498" s="1"/>
    </row>
    <row r="499" spans="1:51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  <c r="AX499" s="1"/>
      <c r="AY499" s="1"/>
    </row>
    <row r="500" spans="1:51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  <c r="AX500" s="1"/>
      <c r="AY500" s="1"/>
    </row>
    <row r="501" spans="1:51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  <c r="AX501" s="1"/>
      <c r="AY501" s="1"/>
    </row>
    <row r="502" spans="1:51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  <c r="AX502" s="1"/>
      <c r="AY502" s="1"/>
    </row>
    <row r="503" spans="1:51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  <c r="AX503" s="1"/>
      <c r="AY503" s="1"/>
    </row>
    <row r="504" spans="1:51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  <c r="AX504" s="1"/>
      <c r="AY504" s="1"/>
    </row>
    <row r="505" spans="1:51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  <c r="AX505" s="1"/>
      <c r="AY505" s="1"/>
    </row>
    <row r="506" spans="1:51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  <c r="AX506" s="1"/>
      <c r="AY506" s="1"/>
    </row>
    <row r="507" spans="1:51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  <c r="AX507" s="1"/>
      <c r="AY507" s="1"/>
    </row>
    <row r="508" spans="1:51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  <c r="AX508" s="1"/>
      <c r="AY508" s="1"/>
    </row>
    <row r="509" spans="1:51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  <c r="AX509" s="1"/>
      <c r="AY509" s="1"/>
    </row>
    <row r="510" spans="1:51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  <c r="AX510" s="1"/>
      <c r="AY510" s="1"/>
    </row>
    <row r="511" spans="1:51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  <c r="AX511" s="1"/>
      <c r="AY511" s="1"/>
    </row>
    <row r="512" spans="1:51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  <c r="AX512" s="1"/>
      <c r="AY512" s="1"/>
    </row>
    <row r="513" spans="1:51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  <c r="AX513" s="1"/>
      <c r="AY513" s="1"/>
    </row>
    <row r="514" spans="1:51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  <c r="AX514" s="1"/>
      <c r="AY514" s="1"/>
    </row>
    <row r="515" spans="1:51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  <c r="AX515" s="1"/>
      <c r="AY515" s="1"/>
    </row>
    <row r="516" spans="1:51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  <c r="AX516" s="1"/>
      <c r="AY516" s="1"/>
    </row>
    <row r="517" spans="1:51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  <c r="AX517" s="1"/>
      <c r="AY517" s="1"/>
    </row>
    <row r="518" spans="1:51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  <c r="AX518" s="1"/>
      <c r="AY518" s="1"/>
    </row>
    <row r="519" spans="1:51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  <c r="AX519" s="1"/>
      <c r="AY519" s="1"/>
    </row>
    <row r="520" spans="1:51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  <c r="AX520" s="1"/>
      <c r="AY520" s="1"/>
    </row>
    <row r="521" spans="1:51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  <c r="AX521" s="1"/>
      <c r="AY521" s="1"/>
    </row>
    <row r="522" spans="1:51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  <c r="AX522" s="1"/>
      <c r="AY522" s="1"/>
    </row>
    <row r="523" spans="1:51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  <c r="AX523" s="1"/>
      <c r="AY523" s="1"/>
    </row>
    <row r="524" spans="1:51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  <c r="AX524" s="1"/>
      <c r="AY524" s="1"/>
    </row>
    <row r="525" spans="1:51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  <c r="AX525" s="1"/>
      <c r="AY525" s="1"/>
    </row>
    <row r="526" spans="1:51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  <c r="AX526" s="1"/>
      <c r="AY526" s="1"/>
    </row>
    <row r="527" spans="1:51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  <c r="AX527" s="1"/>
      <c r="AY527" s="1"/>
    </row>
    <row r="528" spans="1:51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  <c r="AX528" s="1"/>
      <c r="AY528" s="1"/>
    </row>
    <row r="529" spans="1:51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  <c r="AX529" s="1"/>
      <c r="AY529" s="1"/>
    </row>
    <row r="530" spans="1:51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  <c r="AX530" s="1"/>
      <c r="AY530" s="1"/>
    </row>
    <row r="531" spans="1:51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  <c r="AX531" s="1"/>
      <c r="AY531" s="1"/>
    </row>
    <row r="532" spans="1:51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  <c r="AX532" s="1"/>
      <c r="AY532" s="1"/>
    </row>
    <row r="533" spans="1:51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  <c r="AX533" s="1"/>
      <c r="AY533" s="1"/>
    </row>
    <row r="534" spans="1:51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  <c r="AX534" s="1"/>
      <c r="AY534" s="1"/>
    </row>
    <row r="535" spans="1:51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  <c r="AX535" s="1"/>
      <c r="AY535" s="1"/>
    </row>
    <row r="536" spans="1:51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  <c r="AX536" s="1"/>
      <c r="AY536" s="1"/>
    </row>
    <row r="537" spans="1:51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  <c r="AX537" s="1"/>
      <c r="AY537" s="1"/>
    </row>
    <row r="538" spans="1:51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  <c r="AX538" s="1"/>
      <c r="AY538" s="1"/>
    </row>
    <row r="539" spans="1:51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  <c r="AX539" s="1"/>
      <c r="AY539" s="1"/>
    </row>
    <row r="540" spans="1:51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  <c r="AX540" s="1"/>
      <c r="AY540" s="1"/>
    </row>
    <row r="541" spans="1:51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  <c r="AX541" s="1"/>
      <c r="AY541" s="1"/>
    </row>
    <row r="542" spans="1:51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  <c r="AX542" s="1"/>
      <c r="AY542" s="1"/>
    </row>
    <row r="543" spans="1:51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  <c r="AX543" s="1"/>
      <c r="AY543" s="1"/>
    </row>
    <row r="544" spans="1:51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  <c r="AX544" s="1"/>
      <c r="AY544" s="1"/>
    </row>
    <row r="545" spans="1:51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  <c r="AX545" s="1"/>
      <c r="AY545" s="1"/>
    </row>
    <row r="546" spans="1:51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  <c r="AX546" s="1"/>
      <c r="AY546" s="1"/>
    </row>
    <row r="547" spans="1:51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  <c r="AX547" s="1"/>
      <c r="AY547" s="1"/>
    </row>
    <row r="548" spans="1:51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  <c r="AX548" s="1"/>
      <c r="AY548" s="1"/>
    </row>
    <row r="549" spans="1:51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  <c r="AX549" s="1"/>
      <c r="AY549" s="1"/>
    </row>
    <row r="550" spans="1:51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  <c r="AX550" s="1"/>
      <c r="AY550" s="1"/>
    </row>
    <row r="551" spans="1:51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  <c r="AX551" s="1"/>
      <c r="AY551" s="1"/>
    </row>
    <row r="552" spans="1:51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  <c r="AX552" s="1"/>
      <c r="AY552" s="1"/>
    </row>
    <row r="553" spans="1:51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  <c r="AX553" s="1"/>
      <c r="AY553" s="1"/>
    </row>
    <row r="554" spans="1:51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  <c r="AX554" s="1"/>
      <c r="AY554" s="1"/>
    </row>
    <row r="555" spans="1:51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  <c r="AX555" s="1"/>
      <c r="AY555" s="1"/>
    </row>
    <row r="556" spans="1:51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  <c r="AX556" s="1"/>
      <c r="AY556" s="1"/>
    </row>
    <row r="557" spans="1:51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  <c r="AX557" s="1"/>
      <c r="AY557" s="1"/>
    </row>
    <row r="558" spans="1:51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  <c r="AB558" s="1"/>
      <c r="AC558" s="1"/>
      <c r="AD558" s="1"/>
      <c r="AE558" s="1"/>
      <c r="AF558" s="1"/>
      <c r="AG558" s="1"/>
      <c r="AH558" s="1"/>
      <c r="AI558" s="1"/>
      <c r="AJ558" s="1"/>
      <c r="AK558" s="1"/>
      <c r="AL558" s="1"/>
      <c r="AM558" s="1"/>
      <c r="AN558" s="1"/>
      <c r="AO558" s="1"/>
      <c r="AP558" s="1"/>
      <c r="AQ558" s="1"/>
      <c r="AR558" s="1"/>
      <c r="AS558" s="1"/>
      <c r="AT558" s="1"/>
      <c r="AU558" s="1"/>
      <c r="AV558" s="1"/>
      <c r="AW558" s="1"/>
      <c r="AX558" s="1"/>
      <c r="AY558" s="1"/>
    </row>
    <row r="559" spans="1:51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  <c r="AB559" s="1"/>
      <c r="AC559" s="1"/>
      <c r="AD559" s="1"/>
      <c r="AE559" s="1"/>
      <c r="AF559" s="1"/>
      <c r="AG559" s="1"/>
      <c r="AH559" s="1"/>
      <c r="AI559" s="1"/>
      <c r="AJ559" s="1"/>
      <c r="AK559" s="1"/>
      <c r="AL559" s="1"/>
      <c r="AM559" s="1"/>
      <c r="AN559" s="1"/>
      <c r="AO559" s="1"/>
      <c r="AP559" s="1"/>
      <c r="AQ559" s="1"/>
      <c r="AR559" s="1"/>
      <c r="AS559" s="1"/>
      <c r="AT559" s="1"/>
      <c r="AU559" s="1"/>
      <c r="AV559" s="1"/>
      <c r="AW559" s="1"/>
      <c r="AX559" s="1"/>
      <c r="AY559" s="1"/>
    </row>
    <row r="560" spans="1:51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  <c r="AB560" s="1"/>
      <c r="AC560" s="1"/>
      <c r="AD560" s="1"/>
      <c r="AE560" s="1"/>
      <c r="AF560" s="1"/>
      <c r="AG560" s="1"/>
      <c r="AH560" s="1"/>
      <c r="AI560" s="1"/>
      <c r="AJ560" s="1"/>
      <c r="AK560" s="1"/>
      <c r="AL560" s="1"/>
      <c r="AM560" s="1"/>
      <c r="AN560" s="1"/>
      <c r="AO560" s="1"/>
      <c r="AP560" s="1"/>
      <c r="AQ560" s="1"/>
      <c r="AR560" s="1"/>
      <c r="AS560" s="1"/>
      <c r="AT560" s="1"/>
      <c r="AU560" s="1"/>
      <c r="AV560" s="1"/>
      <c r="AW560" s="1"/>
      <c r="AX560" s="1"/>
      <c r="AY560" s="1"/>
    </row>
    <row r="561" spans="1:51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  <c r="AB561" s="1"/>
      <c r="AC561" s="1"/>
      <c r="AD561" s="1"/>
      <c r="AE561" s="1"/>
      <c r="AF561" s="1"/>
      <c r="AG561" s="1"/>
      <c r="AH561" s="1"/>
      <c r="AI561" s="1"/>
      <c r="AJ561" s="1"/>
      <c r="AK561" s="1"/>
      <c r="AL561" s="1"/>
      <c r="AM561" s="1"/>
      <c r="AN561" s="1"/>
      <c r="AO561" s="1"/>
      <c r="AP561" s="1"/>
      <c r="AQ561" s="1"/>
      <c r="AR561" s="1"/>
      <c r="AS561" s="1"/>
      <c r="AT561" s="1"/>
      <c r="AU561" s="1"/>
      <c r="AV561" s="1"/>
      <c r="AW561" s="1"/>
      <c r="AX561" s="1"/>
      <c r="AY561" s="1"/>
    </row>
    <row r="562" spans="1:51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  <c r="AB562" s="1"/>
      <c r="AC562" s="1"/>
      <c r="AD562" s="1"/>
      <c r="AE562" s="1"/>
      <c r="AF562" s="1"/>
      <c r="AG562" s="1"/>
      <c r="AH562" s="1"/>
      <c r="AI562" s="1"/>
      <c r="AJ562" s="1"/>
      <c r="AK562" s="1"/>
      <c r="AL562" s="1"/>
      <c r="AM562" s="1"/>
      <c r="AN562" s="1"/>
      <c r="AO562" s="1"/>
      <c r="AP562" s="1"/>
      <c r="AQ562" s="1"/>
      <c r="AR562" s="1"/>
      <c r="AS562" s="1"/>
      <c r="AT562" s="1"/>
      <c r="AU562" s="1"/>
      <c r="AV562" s="1"/>
      <c r="AW562" s="1"/>
      <c r="AX562" s="1"/>
      <c r="AY562" s="1"/>
    </row>
    <row r="563" spans="1:51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  <c r="AB563" s="1"/>
      <c r="AC563" s="1"/>
      <c r="AD563" s="1"/>
      <c r="AE563" s="1"/>
      <c r="AF563" s="1"/>
      <c r="AG563" s="1"/>
      <c r="AH563" s="1"/>
      <c r="AI563" s="1"/>
      <c r="AJ563" s="1"/>
      <c r="AK563" s="1"/>
      <c r="AL563" s="1"/>
      <c r="AM563" s="1"/>
      <c r="AN563" s="1"/>
      <c r="AO563" s="1"/>
      <c r="AP563" s="1"/>
      <c r="AQ563" s="1"/>
      <c r="AR563" s="1"/>
      <c r="AS563" s="1"/>
      <c r="AT563" s="1"/>
      <c r="AU563" s="1"/>
      <c r="AV563" s="1"/>
      <c r="AW563" s="1"/>
      <c r="AX563" s="1"/>
      <c r="AY563" s="1"/>
    </row>
    <row r="564" spans="1:51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  <c r="AB564" s="1"/>
      <c r="AC564" s="1"/>
      <c r="AD564" s="1"/>
      <c r="AE564" s="1"/>
      <c r="AF564" s="1"/>
      <c r="AG564" s="1"/>
      <c r="AH564" s="1"/>
      <c r="AI564" s="1"/>
      <c r="AJ564" s="1"/>
      <c r="AK564" s="1"/>
      <c r="AL564" s="1"/>
      <c r="AM564" s="1"/>
      <c r="AN564" s="1"/>
      <c r="AO564" s="1"/>
      <c r="AP564" s="1"/>
      <c r="AQ564" s="1"/>
      <c r="AR564" s="1"/>
      <c r="AS564" s="1"/>
      <c r="AT564" s="1"/>
      <c r="AU564" s="1"/>
      <c r="AV564" s="1"/>
      <c r="AW564" s="1"/>
      <c r="AX564" s="1"/>
      <c r="AY564" s="1"/>
    </row>
    <row r="565" spans="1:51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  <c r="AB565" s="1"/>
      <c r="AC565" s="1"/>
      <c r="AD565" s="1"/>
      <c r="AE565" s="1"/>
      <c r="AF565" s="1"/>
      <c r="AG565" s="1"/>
      <c r="AH565" s="1"/>
      <c r="AI565" s="1"/>
      <c r="AJ565" s="1"/>
      <c r="AK565" s="1"/>
      <c r="AL565" s="1"/>
      <c r="AM565" s="1"/>
      <c r="AN565" s="1"/>
      <c r="AO565" s="1"/>
      <c r="AP565" s="1"/>
      <c r="AQ565" s="1"/>
      <c r="AR565" s="1"/>
      <c r="AS565" s="1"/>
      <c r="AT565" s="1"/>
      <c r="AU565" s="1"/>
      <c r="AV565" s="1"/>
      <c r="AW565" s="1"/>
      <c r="AX565" s="1"/>
      <c r="AY565" s="1"/>
    </row>
    <row r="566" spans="1:51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  <c r="AB566" s="1"/>
      <c r="AC566" s="1"/>
      <c r="AD566" s="1"/>
      <c r="AE566" s="1"/>
      <c r="AF566" s="1"/>
      <c r="AG566" s="1"/>
      <c r="AH566" s="1"/>
      <c r="AI566" s="1"/>
      <c r="AJ566" s="1"/>
      <c r="AK566" s="1"/>
      <c r="AL566" s="1"/>
      <c r="AM566" s="1"/>
      <c r="AN566" s="1"/>
      <c r="AO566" s="1"/>
      <c r="AP566" s="1"/>
      <c r="AQ566" s="1"/>
      <c r="AR566" s="1"/>
      <c r="AS566" s="1"/>
      <c r="AT566" s="1"/>
      <c r="AU566" s="1"/>
      <c r="AV566" s="1"/>
      <c r="AW566" s="1"/>
      <c r="AX566" s="1"/>
      <c r="AY566" s="1"/>
    </row>
    <row r="567" spans="1:51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  <c r="AB567" s="1"/>
      <c r="AC567" s="1"/>
      <c r="AD567" s="1"/>
      <c r="AE567" s="1"/>
      <c r="AF567" s="1"/>
      <c r="AG567" s="1"/>
      <c r="AH567" s="1"/>
      <c r="AI567" s="1"/>
      <c r="AJ567" s="1"/>
      <c r="AK567" s="1"/>
      <c r="AL567" s="1"/>
      <c r="AM567" s="1"/>
      <c r="AN567" s="1"/>
      <c r="AO567" s="1"/>
      <c r="AP567" s="1"/>
      <c r="AQ567" s="1"/>
      <c r="AR567" s="1"/>
      <c r="AS567" s="1"/>
      <c r="AT567" s="1"/>
      <c r="AU567" s="1"/>
      <c r="AV567" s="1"/>
      <c r="AW567" s="1"/>
      <c r="AX567" s="1"/>
      <c r="AY567" s="1"/>
    </row>
    <row r="568" spans="1:51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  <c r="AB568" s="1"/>
      <c r="AC568" s="1"/>
      <c r="AD568" s="1"/>
      <c r="AE568" s="1"/>
      <c r="AF568" s="1"/>
      <c r="AG568" s="1"/>
      <c r="AH568" s="1"/>
      <c r="AI568" s="1"/>
      <c r="AJ568" s="1"/>
      <c r="AK568" s="1"/>
      <c r="AL568" s="1"/>
      <c r="AM568" s="1"/>
      <c r="AN568" s="1"/>
      <c r="AO568" s="1"/>
      <c r="AP568" s="1"/>
      <c r="AQ568" s="1"/>
      <c r="AR568" s="1"/>
      <c r="AS568" s="1"/>
      <c r="AT568" s="1"/>
      <c r="AU568" s="1"/>
      <c r="AV568" s="1"/>
      <c r="AW568" s="1"/>
      <c r="AX568" s="1"/>
      <c r="AY568" s="1"/>
    </row>
    <row r="569" spans="1:51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  <c r="AB569" s="1"/>
      <c r="AC569" s="1"/>
      <c r="AD569" s="1"/>
      <c r="AE569" s="1"/>
      <c r="AF569" s="1"/>
      <c r="AG569" s="1"/>
      <c r="AH569" s="1"/>
      <c r="AI569" s="1"/>
      <c r="AJ569" s="1"/>
      <c r="AK569" s="1"/>
      <c r="AL569" s="1"/>
      <c r="AM569" s="1"/>
      <c r="AN569" s="1"/>
      <c r="AO569" s="1"/>
      <c r="AP569" s="1"/>
      <c r="AQ569" s="1"/>
      <c r="AR569" s="1"/>
      <c r="AS569" s="1"/>
      <c r="AT569" s="1"/>
      <c r="AU569" s="1"/>
      <c r="AV569" s="1"/>
      <c r="AW569" s="1"/>
      <c r="AX569" s="1"/>
      <c r="AY569" s="1"/>
    </row>
    <row r="570" spans="1:51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  <c r="AB570" s="1"/>
      <c r="AC570" s="1"/>
      <c r="AD570" s="1"/>
      <c r="AE570" s="1"/>
      <c r="AF570" s="1"/>
      <c r="AG570" s="1"/>
      <c r="AH570" s="1"/>
      <c r="AI570" s="1"/>
      <c r="AJ570" s="1"/>
      <c r="AK570" s="1"/>
      <c r="AL570" s="1"/>
      <c r="AM570" s="1"/>
      <c r="AN570" s="1"/>
      <c r="AO570" s="1"/>
      <c r="AP570" s="1"/>
      <c r="AQ570" s="1"/>
      <c r="AR570" s="1"/>
      <c r="AS570" s="1"/>
      <c r="AT570" s="1"/>
      <c r="AU570" s="1"/>
      <c r="AV570" s="1"/>
      <c r="AW570" s="1"/>
      <c r="AX570" s="1"/>
      <c r="AY570" s="1"/>
    </row>
    <row r="571" spans="1:51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  <c r="AB571" s="1"/>
      <c r="AC571" s="1"/>
      <c r="AD571" s="1"/>
      <c r="AE571" s="1"/>
      <c r="AF571" s="1"/>
      <c r="AG571" s="1"/>
      <c r="AH571" s="1"/>
      <c r="AI571" s="1"/>
      <c r="AJ571" s="1"/>
      <c r="AK571" s="1"/>
      <c r="AL571" s="1"/>
      <c r="AM571" s="1"/>
      <c r="AN571" s="1"/>
      <c r="AO571" s="1"/>
      <c r="AP571" s="1"/>
      <c r="AQ571" s="1"/>
      <c r="AR571" s="1"/>
      <c r="AS571" s="1"/>
      <c r="AT571" s="1"/>
      <c r="AU571" s="1"/>
      <c r="AV571" s="1"/>
      <c r="AW571" s="1"/>
      <c r="AX571" s="1"/>
      <c r="AY571" s="1"/>
    </row>
    <row r="572" spans="1:51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  <c r="AB572" s="1"/>
      <c r="AC572" s="1"/>
      <c r="AD572" s="1"/>
      <c r="AE572" s="1"/>
      <c r="AF572" s="1"/>
      <c r="AG572" s="1"/>
      <c r="AH572" s="1"/>
      <c r="AI572" s="1"/>
      <c r="AJ572" s="1"/>
      <c r="AK572" s="1"/>
      <c r="AL572" s="1"/>
      <c r="AM572" s="1"/>
      <c r="AN572" s="1"/>
      <c r="AO572" s="1"/>
      <c r="AP572" s="1"/>
      <c r="AQ572" s="1"/>
      <c r="AR572" s="1"/>
      <c r="AS572" s="1"/>
      <c r="AT572" s="1"/>
      <c r="AU572" s="1"/>
      <c r="AV572" s="1"/>
      <c r="AW572" s="1"/>
      <c r="AX572" s="1"/>
      <c r="AY572" s="1"/>
    </row>
    <row r="573" spans="1:51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  <c r="AB573" s="1"/>
      <c r="AC573" s="1"/>
      <c r="AD573" s="1"/>
      <c r="AE573" s="1"/>
      <c r="AF573" s="1"/>
      <c r="AG573" s="1"/>
      <c r="AH573" s="1"/>
      <c r="AI573" s="1"/>
      <c r="AJ573" s="1"/>
      <c r="AK573" s="1"/>
      <c r="AL573" s="1"/>
      <c r="AM573" s="1"/>
      <c r="AN573" s="1"/>
      <c r="AO573" s="1"/>
      <c r="AP573" s="1"/>
      <c r="AQ573" s="1"/>
      <c r="AR573" s="1"/>
      <c r="AS573" s="1"/>
      <c r="AT573" s="1"/>
      <c r="AU573" s="1"/>
      <c r="AV573" s="1"/>
      <c r="AW573" s="1"/>
      <c r="AX573" s="1"/>
      <c r="AY573" s="1"/>
    </row>
    <row r="574" spans="1:51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  <c r="AB574" s="1"/>
      <c r="AC574" s="1"/>
      <c r="AD574" s="1"/>
      <c r="AE574" s="1"/>
      <c r="AF574" s="1"/>
      <c r="AG574" s="1"/>
      <c r="AH574" s="1"/>
      <c r="AI574" s="1"/>
      <c r="AJ574" s="1"/>
      <c r="AK574" s="1"/>
      <c r="AL574" s="1"/>
      <c r="AM574" s="1"/>
      <c r="AN574" s="1"/>
      <c r="AO574" s="1"/>
      <c r="AP574" s="1"/>
      <c r="AQ574" s="1"/>
      <c r="AR574" s="1"/>
      <c r="AS574" s="1"/>
      <c r="AT574" s="1"/>
      <c r="AU574" s="1"/>
      <c r="AV574" s="1"/>
      <c r="AW574" s="1"/>
      <c r="AX574" s="1"/>
      <c r="AY574" s="1"/>
    </row>
    <row r="575" spans="1:51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  <c r="AB575" s="1"/>
      <c r="AC575" s="1"/>
      <c r="AD575" s="1"/>
      <c r="AE575" s="1"/>
      <c r="AF575" s="1"/>
      <c r="AG575" s="1"/>
      <c r="AH575" s="1"/>
      <c r="AI575" s="1"/>
      <c r="AJ575" s="1"/>
      <c r="AK575" s="1"/>
      <c r="AL575" s="1"/>
      <c r="AM575" s="1"/>
      <c r="AN575" s="1"/>
      <c r="AO575" s="1"/>
      <c r="AP575" s="1"/>
      <c r="AQ575" s="1"/>
      <c r="AR575" s="1"/>
      <c r="AS575" s="1"/>
      <c r="AT575" s="1"/>
      <c r="AU575" s="1"/>
      <c r="AV575" s="1"/>
      <c r="AW575" s="1"/>
      <c r="AX575" s="1"/>
      <c r="AY575" s="1"/>
    </row>
    <row r="576" spans="1:51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  <c r="AB576" s="1"/>
      <c r="AC576" s="1"/>
      <c r="AD576" s="1"/>
      <c r="AE576" s="1"/>
      <c r="AF576" s="1"/>
      <c r="AG576" s="1"/>
      <c r="AH576" s="1"/>
      <c r="AI576" s="1"/>
      <c r="AJ576" s="1"/>
      <c r="AK576" s="1"/>
      <c r="AL576" s="1"/>
      <c r="AM576" s="1"/>
      <c r="AN576" s="1"/>
      <c r="AO576" s="1"/>
      <c r="AP576" s="1"/>
      <c r="AQ576" s="1"/>
      <c r="AR576" s="1"/>
      <c r="AS576" s="1"/>
      <c r="AT576" s="1"/>
      <c r="AU576" s="1"/>
      <c r="AV576" s="1"/>
      <c r="AW576" s="1"/>
      <c r="AX576" s="1"/>
      <c r="AY576" s="1"/>
    </row>
    <row r="577" spans="1:51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  <c r="AB577" s="1"/>
      <c r="AC577" s="1"/>
      <c r="AD577" s="1"/>
      <c r="AE577" s="1"/>
      <c r="AF577" s="1"/>
      <c r="AG577" s="1"/>
      <c r="AH577" s="1"/>
      <c r="AI577" s="1"/>
      <c r="AJ577" s="1"/>
      <c r="AK577" s="1"/>
      <c r="AL577" s="1"/>
      <c r="AM577" s="1"/>
      <c r="AN577" s="1"/>
      <c r="AO577" s="1"/>
      <c r="AP577" s="1"/>
      <c r="AQ577" s="1"/>
      <c r="AR577" s="1"/>
      <c r="AS577" s="1"/>
      <c r="AT577" s="1"/>
      <c r="AU577" s="1"/>
      <c r="AV577" s="1"/>
      <c r="AW577" s="1"/>
      <c r="AX577" s="1"/>
      <c r="AY577" s="1"/>
    </row>
    <row r="578" spans="1:51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  <c r="AB578" s="1"/>
      <c r="AC578" s="1"/>
      <c r="AD578" s="1"/>
      <c r="AE578" s="1"/>
      <c r="AF578" s="1"/>
      <c r="AG578" s="1"/>
      <c r="AH578" s="1"/>
      <c r="AI578" s="1"/>
      <c r="AJ578" s="1"/>
      <c r="AK578" s="1"/>
      <c r="AL578" s="1"/>
      <c r="AM578" s="1"/>
      <c r="AN578" s="1"/>
      <c r="AO578" s="1"/>
      <c r="AP578" s="1"/>
      <c r="AQ578" s="1"/>
      <c r="AR578" s="1"/>
      <c r="AS578" s="1"/>
      <c r="AT578" s="1"/>
      <c r="AU578" s="1"/>
      <c r="AV578" s="1"/>
      <c r="AW578" s="1"/>
      <c r="AX578" s="1"/>
      <c r="AY578" s="1"/>
    </row>
    <row r="579" spans="1:51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  <c r="AB579" s="1"/>
      <c r="AC579" s="1"/>
      <c r="AD579" s="1"/>
      <c r="AE579" s="1"/>
      <c r="AF579" s="1"/>
      <c r="AG579" s="1"/>
      <c r="AH579" s="1"/>
      <c r="AI579" s="1"/>
      <c r="AJ579" s="1"/>
      <c r="AK579" s="1"/>
      <c r="AL579" s="1"/>
      <c r="AM579" s="1"/>
      <c r="AN579" s="1"/>
      <c r="AO579" s="1"/>
      <c r="AP579" s="1"/>
      <c r="AQ579" s="1"/>
      <c r="AR579" s="1"/>
      <c r="AS579" s="1"/>
      <c r="AT579" s="1"/>
      <c r="AU579" s="1"/>
      <c r="AV579" s="1"/>
      <c r="AW579" s="1"/>
      <c r="AX579" s="1"/>
      <c r="AY579" s="1"/>
    </row>
    <row r="580" spans="1:51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  <c r="AB580" s="1"/>
      <c r="AC580" s="1"/>
      <c r="AD580" s="1"/>
      <c r="AE580" s="1"/>
      <c r="AF580" s="1"/>
      <c r="AG580" s="1"/>
      <c r="AH580" s="1"/>
      <c r="AI580" s="1"/>
      <c r="AJ580" s="1"/>
      <c r="AK580" s="1"/>
      <c r="AL580" s="1"/>
      <c r="AM580" s="1"/>
      <c r="AN580" s="1"/>
      <c r="AO580" s="1"/>
      <c r="AP580" s="1"/>
      <c r="AQ580" s="1"/>
      <c r="AR580" s="1"/>
      <c r="AS580" s="1"/>
      <c r="AT580" s="1"/>
      <c r="AU580" s="1"/>
      <c r="AV580" s="1"/>
      <c r="AW580" s="1"/>
      <c r="AX580" s="1"/>
      <c r="AY580" s="1"/>
    </row>
    <row r="581" spans="1:51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  <c r="AB581" s="1"/>
      <c r="AC581" s="1"/>
      <c r="AD581" s="1"/>
      <c r="AE581" s="1"/>
      <c r="AF581" s="1"/>
      <c r="AG581" s="1"/>
      <c r="AH581" s="1"/>
      <c r="AI581" s="1"/>
      <c r="AJ581" s="1"/>
      <c r="AK581" s="1"/>
      <c r="AL581" s="1"/>
      <c r="AM581" s="1"/>
      <c r="AN581" s="1"/>
      <c r="AO581" s="1"/>
      <c r="AP581" s="1"/>
      <c r="AQ581" s="1"/>
      <c r="AR581" s="1"/>
      <c r="AS581" s="1"/>
      <c r="AT581" s="1"/>
      <c r="AU581" s="1"/>
      <c r="AV581" s="1"/>
      <c r="AW581" s="1"/>
      <c r="AX581" s="1"/>
      <c r="AY581" s="1"/>
    </row>
    <row r="582" spans="1:51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  <c r="AB582" s="1"/>
      <c r="AC582" s="1"/>
      <c r="AD582" s="1"/>
      <c r="AE582" s="1"/>
      <c r="AF582" s="1"/>
      <c r="AG582" s="1"/>
      <c r="AH582" s="1"/>
      <c r="AI582" s="1"/>
      <c r="AJ582" s="1"/>
      <c r="AK582" s="1"/>
      <c r="AL582" s="1"/>
      <c r="AM582" s="1"/>
      <c r="AN582" s="1"/>
      <c r="AO582" s="1"/>
      <c r="AP582" s="1"/>
      <c r="AQ582" s="1"/>
      <c r="AR582" s="1"/>
      <c r="AS582" s="1"/>
      <c r="AT582" s="1"/>
      <c r="AU582" s="1"/>
      <c r="AV582" s="1"/>
      <c r="AW582" s="1"/>
      <c r="AX582" s="1"/>
      <c r="AY582" s="1"/>
    </row>
  </sheetData>
  <sheetProtection algorithmName="SHA-512" hashValue="HG79rFa123bTERvf0uUjwBTbnMhRCR0Ss5xO+Kw0aA1hzT1RoBCe7dHxx1b6Qx3sIVDA19mF916LteRZnb2oKQ==" saltValue="r5Yo5CX7T0OQGQ08+oEQWA==" spinCount="100000" sheet="1" objects="1" scenarios="1"/>
  <hyperlinks>
    <hyperlink ref="O5" r:id="rId1" xr:uid="{C70D247E-3B1A-4273-B394-25C8F79E0E79}"/>
  </hyperlinks>
  <pageMargins left="0.7" right="0.7" top="0.75" bottom="0.75" header="0.3" footer="0.3"/>
  <pageSetup orientation="portrait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2849DD-DC94-498F-8002-423C400C2E8C}">
  <sheetPr codeName="Sheet1">
    <tabColor rgb="FFFFFF00"/>
  </sheetPr>
  <dimension ref="A1:AZ213"/>
  <sheetViews>
    <sheetView workbookViewId="0">
      <selection activeCell="F32" sqref="F32"/>
    </sheetView>
  </sheetViews>
  <sheetFormatPr defaultRowHeight="14.5"/>
  <cols>
    <col min="1" max="1" width="29.81640625" bestFit="1" customWidth="1"/>
    <col min="2" max="2" width="17.81640625" customWidth="1"/>
    <col min="3" max="3" width="18" bestFit="1" customWidth="1"/>
    <col min="4" max="4" width="21.26953125" bestFit="1" customWidth="1"/>
    <col min="5" max="5" width="14.81640625" customWidth="1"/>
    <col min="6" max="6" width="24.36328125" bestFit="1" customWidth="1"/>
    <col min="7" max="7" width="27.81640625" customWidth="1"/>
    <col min="8" max="8" width="29" bestFit="1" customWidth="1"/>
    <col min="9" max="9" width="24" customWidth="1"/>
    <col min="10" max="10" width="16.26953125" bestFit="1" customWidth="1"/>
    <col min="11" max="11" width="15.54296875" customWidth="1"/>
  </cols>
  <sheetData>
    <row r="1" spans="1:52">
      <c r="A1" s="66" t="s">
        <v>338</v>
      </c>
      <c r="B1" s="78">
        <v>2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 t="s">
        <v>339</v>
      </c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</row>
    <row r="2" spans="1:52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>
        <v>1</v>
      </c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</row>
    <row r="3" spans="1:52">
      <c r="A3" t="s">
        <v>0</v>
      </c>
      <c r="B3" t="s">
        <v>1</v>
      </c>
      <c r="C3" t="s">
        <v>19</v>
      </c>
      <c r="D3" t="s">
        <v>373</v>
      </c>
      <c r="E3" t="s">
        <v>2</v>
      </c>
      <c r="F3" t="s">
        <v>91</v>
      </c>
      <c r="G3" t="s">
        <v>90</v>
      </c>
      <c r="H3" t="s">
        <v>89</v>
      </c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>
        <v>2</v>
      </c>
      <c r="AA3" s="1"/>
      <c r="AB3" s="1"/>
      <c r="AC3" s="1"/>
      <c r="AD3" s="1"/>
      <c r="AE3" s="1"/>
      <c r="AF3" s="1"/>
      <c r="AG3" s="1"/>
      <c r="AH3" s="1"/>
      <c r="AI3" s="1"/>
    </row>
    <row r="4" spans="1:52">
      <c r="A4" s="78" t="s">
        <v>396</v>
      </c>
      <c r="B4" s="78">
        <v>2</v>
      </c>
      <c r="C4" s="78">
        <v>4</v>
      </c>
      <c r="D4" s="78">
        <v>2</v>
      </c>
      <c r="E4" s="78">
        <v>200</v>
      </c>
      <c r="F4" s="65">
        <f t="shared" ref="F4:F13" si="0">B4*E4</f>
        <v>400</v>
      </c>
      <c r="G4" s="65">
        <f t="shared" ref="G4:G13" si="1">E4*C4</f>
        <v>800</v>
      </c>
      <c r="H4" s="65">
        <f t="shared" ref="H4:H13" si="2">D4*E4</f>
        <v>400</v>
      </c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>
        <v>3</v>
      </c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Z4" t="s">
        <v>149</v>
      </c>
    </row>
    <row r="5" spans="1:52">
      <c r="A5" s="62" t="s">
        <v>422</v>
      </c>
      <c r="B5" s="62">
        <v>2</v>
      </c>
      <c r="C5" s="62">
        <v>8</v>
      </c>
      <c r="D5" s="62">
        <v>0.5</v>
      </c>
      <c r="E5" s="62">
        <v>300</v>
      </c>
      <c r="F5" s="65">
        <f t="shared" si="0"/>
        <v>600</v>
      </c>
      <c r="G5" s="65">
        <f t="shared" si="1"/>
        <v>2400</v>
      </c>
      <c r="H5" s="65">
        <f t="shared" si="2"/>
        <v>150</v>
      </c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>
        <v>4</v>
      </c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Z5" t="s">
        <v>147</v>
      </c>
    </row>
    <row r="6" spans="1:52" hidden="1">
      <c r="A6" s="62"/>
      <c r="B6" s="62"/>
      <c r="C6" s="62"/>
      <c r="D6" s="62"/>
      <c r="E6" s="62"/>
      <c r="F6" s="65">
        <f t="shared" si="0"/>
        <v>0</v>
      </c>
      <c r="G6" s="65">
        <f t="shared" si="1"/>
        <v>0</v>
      </c>
      <c r="H6" s="65">
        <f t="shared" si="2"/>
        <v>0</v>
      </c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>
        <v>5</v>
      </c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Z6" t="s">
        <v>148</v>
      </c>
    </row>
    <row r="7" spans="1:52" hidden="1">
      <c r="A7" s="62"/>
      <c r="B7" s="62"/>
      <c r="C7" s="62"/>
      <c r="D7" s="62"/>
      <c r="E7" s="62"/>
      <c r="F7" s="65">
        <f t="shared" si="0"/>
        <v>0</v>
      </c>
      <c r="G7" s="65">
        <f t="shared" si="1"/>
        <v>0</v>
      </c>
      <c r="H7" s="65">
        <f t="shared" si="2"/>
        <v>0</v>
      </c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>
        <v>6</v>
      </c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</row>
    <row r="8" spans="1:52" hidden="1">
      <c r="A8" s="62"/>
      <c r="B8" s="62"/>
      <c r="C8" s="62"/>
      <c r="D8" s="62"/>
      <c r="E8" s="62"/>
      <c r="F8" s="65">
        <f t="shared" si="0"/>
        <v>0</v>
      </c>
      <c r="G8" s="65">
        <f t="shared" si="1"/>
        <v>0</v>
      </c>
      <c r="H8" s="65">
        <f t="shared" si="2"/>
        <v>0</v>
      </c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>
        <v>7</v>
      </c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</row>
    <row r="9" spans="1:52" hidden="1">
      <c r="A9" s="62"/>
      <c r="B9" s="62"/>
      <c r="C9" s="62"/>
      <c r="D9" s="62"/>
      <c r="E9" s="62"/>
      <c r="F9" s="65">
        <f t="shared" si="0"/>
        <v>0</v>
      </c>
      <c r="G9" s="65">
        <f t="shared" si="1"/>
        <v>0</v>
      </c>
      <c r="H9" s="65">
        <f t="shared" si="2"/>
        <v>0</v>
      </c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>
        <v>8</v>
      </c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</row>
    <row r="10" spans="1:52" hidden="1">
      <c r="A10" s="62"/>
      <c r="B10" s="62"/>
      <c r="C10" s="62"/>
      <c r="D10" s="62"/>
      <c r="E10" s="62"/>
      <c r="F10" s="65">
        <f t="shared" si="0"/>
        <v>0</v>
      </c>
      <c r="G10" s="65">
        <f t="shared" si="1"/>
        <v>0</v>
      </c>
      <c r="H10" s="65">
        <f t="shared" si="2"/>
        <v>0</v>
      </c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>
        <v>9</v>
      </c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</row>
    <row r="11" spans="1:52" hidden="1">
      <c r="A11" s="62"/>
      <c r="B11" s="62"/>
      <c r="C11" s="62"/>
      <c r="D11" s="62"/>
      <c r="E11" s="62"/>
      <c r="F11" s="65">
        <f t="shared" si="0"/>
        <v>0</v>
      </c>
      <c r="G11" s="65">
        <f t="shared" si="1"/>
        <v>0</v>
      </c>
      <c r="H11" s="65">
        <f t="shared" si="2"/>
        <v>0</v>
      </c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>
        <v>10</v>
      </c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</row>
    <row r="12" spans="1:52" hidden="1">
      <c r="A12" s="62"/>
      <c r="B12" s="62"/>
      <c r="C12" s="62"/>
      <c r="D12" s="62"/>
      <c r="E12" s="62"/>
      <c r="F12" s="65">
        <f t="shared" si="0"/>
        <v>0</v>
      </c>
      <c r="G12" s="65">
        <f t="shared" si="1"/>
        <v>0</v>
      </c>
      <c r="H12" s="65">
        <f t="shared" si="2"/>
        <v>0</v>
      </c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</row>
    <row r="13" spans="1:52" hidden="1">
      <c r="A13" s="68"/>
      <c r="B13" s="68"/>
      <c r="C13" s="68"/>
      <c r="D13" s="68"/>
      <c r="E13" s="68"/>
      <c r="F13" s="67">
        <f t="shared" si="0"/>
        <v>0</v>
      </c>
      <c r="G13" s="65">
        <f t="shared" si="1"/>
        <v>0</v>
      </c>
      <c r="H13" s="65">
        <f t="shared" si="2"/>
        <v>0</v>
      </c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</row>
    <row r="14" spans="1:52">
      <c r="A14" s="34">
        <f>SUBTOTAL(3,A4:A13)</f>
        <v>2</v>
      </c>
      <c r="B14" s="34">
        <f t="shared" ref="B14:H14" si="3">SUBTOTAL(109,B4:B13)</f>
        <v>4</v>
      </c>
      <c r="C14" s="34">
        <f t="shared" si="3"/>
        <v>12</v>
      </c>
      <c r="D14" s="34">
        <f t="shared" si="3"/>
        <v>2.5</v>
      </c>
      <c r="E14" s="34">
        <f t="shared" si="3"/>
        <v>500</v>
      </c>
      <c r="F14" s="34">
        <f t="shared" si="3"/>
        <v>1000</v>
      </c>
      <c r="G14" s="34">
        <f t="shared" si="3"/>
        <v>3200</v>
      </c>
      <c r="H14" s="34">
        <f t="shared" si="3"/>
        <v>550</v>
      </c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</row>
    <row r="15" spans="1:52">
      <c r="A15" s="34"/>
      <c r="B15" s="34"/>
      <c r="C15" s="34"/>
      <c r="D15" s="34"/>
      <c r="E15" s="34"/>
      <c r="F15" s="34"/>
      <c r="G15" s="34"/>
      <c r="H15" s="34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</row>
    <row r="16" spans="1:52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</row>
    <row r="17" spans="1:37" s="93" customFormat="1" hidden="1">
      <c r="A17" s="91" t="s">
        <v>146</v>
      </c>
      <c r="B17" s="78" t="s">
        <v>148</v>
      </c>
      <c r="C17" s="92"/>
      <c r="D17" s="92"/>
      <c r="E17" s="92"/>
      <c r="F17" s="92"/>
      <c r="G17" s="92"/>
      <c r="H17" s="92"/>
      <c r="I17" s="92"/>
      <c r="J17" s="92"/>
      <c r="K17" s="92"/>
      <c r="L17" s="92"/>
      <c r="M17" s="92"/>
      <c r="N17" s="92"/>
      <c r="O17" s="92"/>
      <c r="P17" s="92"/>
      <c r="Q17" s="92"/>
      <c r="R17" s="92"/>
      <c r="S17" s="92"/>
      <c r="T17" s="92"/>
      <c r="U17" s="92"/>
      <c r="V17" s="92"/>
      <c r="W17" s="92"/>
      <c r="X17" s="92"/>
      <c r="Y17" s="92"/>
      <c r="Z17" s="92"/>
      <c r="AA17" s="92"/>
      <c r="AB17" s="92"/>
      <c r="AC17" s="92"/>
      <c r="AD17" s="92"/>
      <c r="AE17" s="92"/>
      <c r="AF17" s="92"/>
      <c r="AG17" s="92"/>
      <c r="AH17" s="92"/>
      <c r="AI17" s="92"/>
      <c r="AJ17" s="92"/>
      <c r="AK17" s="92"/>
    </row>
    <row r="18" spans="1:37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</row>
    <row r="19" spans="1:37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</row>
    <row r="20" spans="1:37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</row>
    <row r="21" spans="1:37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</row>
    <row r="22" spans="1:37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</row>
    <row r="23" spans="1:37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</row>
    <row r="24" spans="1:37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</row>
    <row r="25" spans="1:37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</row>
    <row r="26" spans="1:37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</row>
    <row r="27" spans="1:37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</row>
    <row r="28" spans="1:37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</row>
    <row r="29" spans="1:37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</row>
    <row r="30" spans="1:37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</row>
    <row r="31" spans="1:37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</row>
    <row r="32" spans="1:37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</row>
    <row r="33" spans="1:37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</row>
    <row r="34" spans="1:37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</row>
    <row r="35" spans="1:37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</row>
    <row r="36" spans="1:37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</row>
    <row r="37" spans="1:37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</row>
    <row r="38" spans="1:37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</row>
    <row r="39" spans="1:37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</row>
    <row r="40" spans="1:37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</row>
    <row r="41" spans="1:37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</row>
    <row r="42" spans="1:37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</row>
    <row r="43" spans="1:37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</row>
    <row r="44" spans="1:37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</row>
    <row r="45" spans="1:37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</row>
    <row r="46" spans="1:37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</row>
    <row r="47" spans="1:37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</row>
    <row r="48" spans="1:37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</row>
    <row r="49" spans="1:37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</row>
    <row r="50" spans="1:37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</row>
    <row r="51" spans="1:37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</row>
    <row r="52" spans="1:37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</row>
    <row r="53" spans="1:37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</row>
    <row r="54" spans="1:37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</row>
    <row r="55" spans="1:37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</row>
    <row r="56" spans="1:37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</row>
    <row r="57" spans="1:37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</row>
    <row r="58" spans="1:37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</row>
    <row r="59" spans="1:37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</row>
    <row r="60" spans="1:37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</row>
    <row r="61" spans="1:37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</row>
    <row r="62" spans="1:37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</row>
    <row r="63" spans="1:37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</row>
    <row r="64" spans="1:37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</row>
    <row r="65" spans="1:37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</row>
    <row r="66" spans="1:37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</row>
    <row r="67" spans="1:37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</row>
    <row r="68" spans="1:37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</row>
    <row r="69" spans="1:37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</row>
    <row r="70" spans="1:37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</row>
    <row r="71" spans="1:37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</row>
    <row r="72" spans="1:37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</row>
    <row r="73" spans="1:37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</row>
    <row r="74" spans="1:37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</row>
    <row r="75" spans="1:37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</row>
    <row r="76" spans="1:37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</row>
    <row r="77" spans="1:37"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</row>
    <row r="78" spans="1:37"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</row>
    <row r="79" spans="1:37"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</row>
    <row r="80" spans="1:37"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</row>
    <row r="81" spans="6:37"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</row>
    <row r="82" spans="6:37"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</row>
    <row r="83" spans="6:37"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</row>
    <row r="84" spans="6:37"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</row>
    <row r="85" spans="6:37"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</row>
    <row r="86" spans="6:37"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</row>
    <row r="87" spans="6:37"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</row>
    <row r="88" spans="6:37"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</row>
    <row r="89" spans="6:37"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</row>
    <row r="90" spans="6:37"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</row>
    <row r="91" spans="6:37"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</row>
    <row r="92" spans="6:37"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</row>
    <row r="93" spans="6:37"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</row>
    <row r="94" spans="6:37"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</row>
    <row r="95" spans="6:37"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</row>
    <row r="96" spans="6:37"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</row>
    <row r="97" spans="6:37"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</row>
    <row r="98" spans="6:37"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</row>
    <row r="99" spans="6:37"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</row>
    <row r="100" spans="6:37"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</row>
    <row r="101" spans="6:37"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</row>
    <row r="102" spans="6:37"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</row>
    <row r="103" spans="6:37"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</row>
    <row r="104" spans="6:37"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</row>
    <row r="105" spans="6:37"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</row>
    <row r="106" spans="6:37"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</row>
    <row r="107" spans="6:37"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</row>
    <row r="108" spans="6:37"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</row>
    <row r="109" spans="6:37"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</row>
    <row r="110" spans="6:37"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</row>
    <row r="111" spans="6:37"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</row>
    <row r="112" spans="6:37"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</row>
    <row r="113" spans="6:37"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</row>
    <row r="114" spans="6:37"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</row>
    <row r="115" spans="6:37"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</row>
    <row r="116" spans="6:37"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</row>
    <row r="117" spans="6:37"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</row>
    <row r="118" spans="6:37"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</row>
    <row r="119" spans="6:37"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</row>
    <row r="120" spans="6:37"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</row>
    <row r="121" spans="6:37"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</row>
    <row r="122" spans="6:37"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</row>
    <row r="123" spans="6:37"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</row>
    <row r="124" spans="6:37"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</row>
    <row r="125" spans="6:37"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</row>
    <row r="126" spans="6:37"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</row>
    <row r="127" spans="6:37"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</row>
    <row r="128" spans="6:37"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</row>
    <row r="129" spans="6:37"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</row>
    <row r="130" spans="6:37"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</row>
    <row r="131" spans="6:37"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</row>
    <row r="132" spans="6:37"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</row>
    <row r="133" spans="6:37"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</row>
    <row r="134" spans="6:37"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</row>
    <row r="135" spans="6:37"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</row>
    <row r="136" spans="6:37"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</row>
    <row r="137" spans="6:37"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</row>
    <row r="138" spans="6:37"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</row>
    <row r="139" spans="6:37"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</row>
    <row r="140" spans="6:37"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</row>
    <row r="141" spans="6:37"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</row>
    <row r="142" spans="6:37"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</row>
    <row r="143" spans="6:37"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</row>
    <row r="144" spans="6:37"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</row>
    <row r="145" spans="6:37"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</row>
    <row r="146" spans="6:37"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</row>
    <row r="147" spans="6:37"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</row>
    <row r="148" spans="6:37"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</row>
    <row r="149" spans="6:37"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</row>
    <row r="150" spans="6:37"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</row>
    <row r="151" spans="6:37"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</row>
    <row r="152" spans="6:37"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</row>
    <row r="153" spans="6:37"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</row>
    <row r="154" spans="6:37"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</row>
    <row r="155" spans="6:37"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</row>
    <row r="156" spans="6:37"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</row>
    <row r="157" spans="6:37"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</row>
    <row r="158" spans="6:37"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</row>
    <row r="159" spans="6:37"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</row>
    <row r="160" spans="6:37"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</row>
    <row r="161" spans="12:37"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</row>
    <row r="162" spans="12:37"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</row>
    <row r="163" spans="12:37"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</row>
    <row r="164" spans="12:37"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</row>
    <row r="165" spans="12:37"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</row>
    <row r="166" spans="12:37"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</row>
    <row r="167" spans="12:37"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</row>
    <row r="168" spans="12:37"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</row>
    <row r="169" spans="12:37"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</row>
    <row r="170" spans="12:37"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</row>
    <row r="171" spans="12:37"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</row>
    <row r="172" spans="12:37"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</row>
    <row r="173" spans="12:37"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</row>
    <row r="174" spans="12:37"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</row>
    <row r="175" spans="12:37"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</row>
    <row r="176" spans="12:37"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</row>
    <row r="177" spans="12:37"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</row>
    <row r="178" spans="12:37"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</row>
    <row r="179" spans="12:37"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</row>
    <row r="180" spans="12:37"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</row>
    <row r="181" spans="12:37"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</row>
    <row r="182" spans="12:37"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</row>
    <row r="183" spans="12:37"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</row>
    <row r="184" spans="12:37"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</row>
    <row r="185" spans="12:37"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</row>
    <row r="186" spans="12:37"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</row>
    <row r="187" spans="12:37"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</row>
    <row r="188" spans="12:37"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</row>
    <row r="189" spans="12:37"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</row>
    <row r="190" spans="12:37"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</row>
    <row r="191" spans="12:37"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</row>
    <row r="192" spans="12:37"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</row>
    <row r="193" spans="12:37"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</row>
    <row r="194" spans="12:37"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</row>
    <row r="195" spans="12:37"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</row>
    <row r="196" spans="12:37"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</row>
    <row r="197" spans="12:37"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</row>
    <row r="198" spans="12:37"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</row>
    <row r="199" spans="12:37"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</row>
    <row r="200" spans="12:37"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</row>
    <row r="201" spans="12:37"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</row>
    <row r="202" spans="12:37"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</row>
    <row r="203" spans="12:37"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</row>
    <row r="204" spans="12:37"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</row>
    <row r="205" spans="12:37"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</row>
    <row r="206" spans="12:37"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</row>
    <row r="207" spans="12:37"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</row>
    <row r="208" spans="12:37"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</row>
    <row r="209" spans="12:37"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</row>
    <row r="210" spans="12:37"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</row>
    <row r="211" spans="12:37"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</row>
    <row r="212" spans="12:37"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</row>
    <row r="213" spans="12:37"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</row>
  </sheetData>
  <dataValidations count="2">
    <dataValidation type="list" allowBlank="1" showInputMessage="1" showErrorMessage="1" sqref="B17" xr:uid="{1EBB32A8-DDE8-4D8B-9A06-18FD98ECCC70}">
      <formula1>$AZ$4:$AZ$6</formula1>
    </dataValidation>
    <dataValidation type="list" allowBlank="1" showInputMessage="1" showErrorMessage="1" sqref="B1" xr:uid="{88E3A5BF-A346-4FEE-AC53-E31700B9854B}">
      <formula1>$Z$2:$Z$15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4A643-1848-4352-B716-A0D784E56B0C}">
  <sheetPr codeName="Sheet8">
    <tabColor rgb="FFFFFF00"/>
  </sheetPr>
  <dimension ref="A1:AC1003"/>
  <sheetViews>
    <sheetView workbookViewId="0">
      <selection activeCell="D2" sqref="D2"/>
    </sheetView>
  </sheetViews>
  <sheetFormatPr defaultRowHeight="14.5"/>
  <cols>
    <col min="1" max="1" width="34.26953125" bestFit="1" customWidth="1"/>
    <col min="2" max="2" width="17.1796875" bestFit="1" customWidth="1"/>
    <col min="3" max="3" width="8.6328125" customWidth="1"/>
    <col min="4" max="4" width="8.54296875" customWidth="1"/>
    <col min="5" max="5" width="10.7265625" style="75" customWidth="1"/>
    <col min="6" max="6" width="10.26953125" customWidth="1"/>
    <col min="7" max="7" width="15.453125" customWidth="1"/>
    <col min="8" max="8" width="25" customWidth="1"/>
    <col min="9" max="9" width="9.7265625" customWidth="1"/>
    <col min="10" max="10" width="18.08984375" customWidth="1"/>
    <col min="11" max="11" width="116.453125" bestFit="1" customWidth="1"/>
    <col min="12" max="12" width="18" hidden="1" customWidth="1"/>
    <col min="13" max="13" width="16.453125" bestFit="1" customWidth="1"/>
    <col min="14" max="14" width="13.36328125" customWidth="1"/>
    <col min="15" max="15" width="13.81640625" customWidth="1"/>
    <col min="29" max="29" width="30.36328125" bestFit="1" customWidth="1"/>
  </cols>
  <sheetData>
    <row r="1" spans="1:29">
      <c r="A1" s="63" t="s">
        <v>324</v>
      </c>
      <c r="B1" s="69" t="s">
        <v>423</v>
      </c>
      <c r="C1" s="1"/>
      <c r="D1" s="1"/>
      <c r="E1" s="73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9">
      <c r="A2" s="63" t="s">
        <v>325</v>
      </c>
      <c r="B2" s="69" t="s">
        <v>424</v>
      </c>
      <c r="C2" s="1"/>
      <c r="D2" s="1"/>
      <c r="E2" s="73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t="s">
        <v>322</v>
      </c>
    </row>
    <row r="3" spans="1:29">
      <c r="A3" s="63" t="s">
        <v>326</v>
      </c>
      <c r="B3" s="62" t="s">
        <v>417</v>
      </c>
      <c r="C3" s="1"/>
      <c r="D3" s="1"/>
      <c r="E3" s="73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57">
        <f>MAX(AA:AA)</f>
        <v>0</v>
      </c>
    </row>
    <row r="4" spans="1:29" ht="29" customHeight="1">
      <c r="A4" s="6" t="s">
        <v>177</v>
      </c>
      <c r="B4" s="6" t="s">
        <v>252</v>
      </c>
      <c r="C4" s="6" t="s">
        <v>42</v>
      </c>
      <c r="D4" s="6" t="s">
        <v>43</v>
      </c>
      <c r="E4" s="76" t="s">
        <v>251</v>
      </c>
      <c r="F4" s="52" t="s">
        <v>45</v>
      </c>
      <c r="G4" s="52" t="s">
        <v>48</v>
      </c>
      <c r="H4" s="52" t="s">
        <v>49</v>
      </c>
      <c r="I4" s="52" t="s">
        <v>50</v>
      </c>
      <c r="J4" s="53" t="s">
        <v>103</v>
      </c>
      <c r="K4" s="55" t="s">
        <v>253</v>
      </c>
      <c r="L4" s="55" t="s">
        <v>321</v>
      </c>
      <c r="M4" s="55" t="s">
        <v>320</v>
      </c>
      <c r="N4" s="55" t="s">
        <v>359</v>
      </c>
      <c r="O4" s="55" t="s">
        <v>360</v>
      </c>
      <c r="AA4" t="s">
        <v>323</v>
      </c>
    </row>
    <row r="5" spans="1:29">
      <c r="A5" t="s">
        <v>178</v>
      </c>
      <c r="B5" s="54" t="str">
        <f t="shared" ref="B5:B68" si="0">TRIM(MID(SUBSTITUTE(A5," ",REPT(" ",LEN(A5))), (4-1)*LEN(A5)+1, LEN(A5)))</f>
        <v>9282</v>
      </c>
      <c r="C5" t="str">
        <f>IFERROR(VLOOKUP(A5,Processor_DB_Intel!$A$1:'Processor_DB_Intel'!$D$422,4,FALSE),"")</f>
        <v/>
      </c>
      <c r="D5" t="str">
        <f>IFERROR(LEFT(VLOOKUP(A5,Processor_DB_Intel!$A$1:'Processor_DB_Intel'!$F$422,6,FALSE),3),"")</f>
        <v/>
      </c>
      <c r="E5" s="74" t="str">
        <f t="shared" ref="E5:E68" si="1">IF(O5 = 0,"",O5)</f>
        <v/>
      </c>
      <c r="F5" s="56" t="str">
        <f t="shared" ref="F5:F68" si="2">IFERROR(E5/C5,"")</f>
        <v/>
      </c>
      <c r="G5" t="e">
        <f t="shared" ref="G5:G68" si="3">C5*D5</f>
        <v>#VALUE!</v>
      </c>
      <c r="H5" t="e">
        <f t="shared" ref="H5:H68" si="4">G5*2</f>
        <v>#VALUE!</v>
      </c>
      <c r="I5" s="56" t="str">
        <f t="shared" ref="I5:I68" si="5">IFERROR(E5/G5,"")</f>
        <v/>
      </c>
      <c r="J5" s="58" t="str">
        <f t="shared" ref="J5:J68" si="6">IFERROR(1-(I5/$AC$3),"")</f>
        <v/>
      </c>
      <c r="K5" t="s">
        <v>254</v>
      </c>
      <c r="L5">
        <f>MIN(SEARCH({0,1,2,3,4,5,6,7,8,9},K5&amp;"0123456789"))</f>
        <v>54</v>
      </c>
      <c r="M5" t="str">
        <f t="shared" ref="M5:M68" si="7">LEFT(RIGHT(K5,LEN(K5)-L5+1),6)</f>
        <v>194146</v>
      </c>
      <c r="O5" s="71">
        <f t="shared" ref="O5:O68" si="8">IFERROR(RIGHT(SUBSTITUTE(N5,"$",CHAR(9),2),LEN(N5)-FIND(CHAR(9),SUBSTITUTE(N5,"$",CHAR(9),2),1) ),N5)</f>
        <v>0</v>
      </c>
      <c r="AA5" t="str">
        <f>_xlfn.IFNA(I5,0)</f>
        <v/>
      </c>
    </row>
    <row r="6" spans="1:29">
      <c r="A6" t="s">
        <v>179</v>
      </c>
      <c r="B6" s="54" t="str">
        <f t="shared" si="0"/>
        <v>9242</v>
      </c>
      <c r="C6" t="str">
        <f>IFERROR(VLOOKUP(A6,Processor_DB_Intel!$A$1:'Processor_DB_Intel'!$D$422,4,FALSE),"")</f>
        <v/>
      </c>
      <c r="D6" t="str">
        <f>IFERROR(LEFT(VLOOKUP(A6,Processor_DB_Intel!$A$1:'Processor_DB_Intel'!$F$422,6,FALSE),3),"")</f>
        <v/>
      </c>
      <c r="E6" s="74" t="str">
        <f t="shared" si="1"/>
        <v/>
      </c>
      <c r="F6" s="56" t="str">
        <f t="shared" si="2"/>
        <v/>
      </c>
      <c r="G6" t="e">
        <f t="shared" si="3"/>
        <v>#VALUE!</v>
      </c>
      <c r="H6" t="e">
        <f t="shared" si="4"/>
        <v>#VALUE!</v>
      </c>
      <c r="I6" s="56" t="str">
        <f t="shared" si="5"/>
        <v/>
      </c>
      <c r="J6" s="58" t="str">
        <f t="shared" si="6"/>
        <v/>
      </c>
      <c r="K6" t="s">
        <v>255</v>
      </c>
      <c r="L6">
        <f>MIN(SEARCH({0,1,2,3,4,5,6,7,8,9},K6&amp;"0123456789"))</f>
        <v>54</v>
      </c>
      <c r="M6" t="str">
        <f t="shared" si="7"/>
        <v>194145</v>
      </c>
      <c r="O6" s="71">
        <f t="shared" si="8"/>
        <v>0</v>
      </c>
      <c r="AA6" t="str">
        <f t="shared" ref="AA6:AA69" si="9">_xlfn.IFNA(I6,0)</f>
        <v/>
      </c>
    </row>
    <row r="7" spans="1:29">
      <c r="A7" t="s">
        <v>180</v>
      </c>
      <c r="B7" s="54" t="str">
        <f t="shared" si="0"/>
        <v>9222</v>
      </c>
      <c r="C7" t="str">
        <f>IFERROR(VLOOKUP(A7,Processor_DB_Intel!$A$1:'Processor_DB_Intel'!$D$422,4,FALSE),"")</f>
        <v/>
      </c>
      <c r="D7" t="str">
        <f>IFERROR(LEFT(VLOOKUP(A7,Processor_DB_Intel!$A$1:'Processor_DB_Intel'!$F$422,6,FALSE),3),"")</f>
        <v/>
      </c>
      <c r="E7" s="74" t="str">
        <f t="shared" si="1"/>
        <v/>
      </c>
      <c r="F7" s="56" t="str">
        <f t="shared" si="2"/>
        <v/>
      </c>
      <c r="G7" t="e">
        <f t="shared" si="3"/>
        <v>#VALUE!</v>
      </c>
      <c r="H7" t="e">
        <f t="shared" si="4"/>
        <v>#VALUE!</v>
      </c>
      <c r="I7" s="56" t="str">
        <f t="shared" si="5"/>
        <v/>
      </c>
      <c r="J7" s="58" t="str">
        <f t="shared" si="6"/>
        <v/>
      </c>
      <c r="K7" t="s">
        <v>256</v>
      </c>
      <c r="L7">
        <f>MIN(SEARCH({0,1,2,3,4,5,6,7,8,9},K7&amp;"0123456789"))</f>
        <v>54</v>
      </c>
      <c r="M7" t="str">
        <f t="shared" si="7"/>
        <v>195437</v>
      </c>
      <c r="O7" s="71">
        <f t="shared" si="8"/>
        <v>0</v>
      </c>
      <c r="AA7" t="str">
        <f t="shared" si="9"/>
        <v/>
      </c>
    </row>
    <row r="8" spans="1:29">
      <c r="A8" t="s">
        <v>181</v>
      </c>
      <c r="B8" s="54" t="str">
        <f t="shared" si="0"/>
        <v>9221</v>
      </c>
      <c r="C8" t="str">
        <f>IFERROR(VLOOKUP(A8,Processor_DB_Intel!$A$1:'Processor_DB_Intel'!$D$422,4,FALSE),"")</f>
        <v/>
      </c>
      <c r="D8" t="str">
        <f>IFERROR(LEFT(VLOOKUP(A8,Processor_DB_Intel!$A$1:'Processor_DB_Intel'!$F$422,6,FALSE),3),"")</f>
        <v/>
      </c>
      <c r="E8" s="74" t="str">
        <f t="shared" si="1"/>
        <v/>
      </c>
      <c r="F8" s="56" t="str">
        <f t="shared" si="2"/>
        <v/>
      </c>
      <c r="G8" t="e">
        <f t="shared" si="3"/>
        <v>#VALUE!</v>
      </c>
      <c r="H8" t="e">
        <f t="shared" si="4"/>
        <v>#VALUE!</v>
      </c>
      <c r="I8" s="56" t="str">
        <f t="shared" si="5"/>
        <v/>
      </c>
      <c r="J8" s="58" t="str">
        <f t="shared" si="6"/>
        <v/>
      </c>
      <c r="K8" t="s">
        <v>257</v>
      </c>
      <c r="L8">
        <f>MIN(SEARCH({0,1,2,3,4,5,6,7,8,9},K8&amp;"0123456789"))</f>
        <v>54</v>
      </c>
      <c r="M8" t="str">
        <f t="shared" si="7"/>
        <v>195434</v>
      </c>
      <c r="O8" s="71">
        <f t="shared" si="8"/>
        <v>0</v>
      </c>
      <c r="AA8" t="str">
        <f t="shared" si="9"/>
        <v/>
      </c>
    </row>
    <row r="9" spans="1:29">
      <c r="A9" t="s">
        <v>182</v>
      </c>
      <c r="B9" s="54" t="str">
        <f t="shared" si="0"/>
        <v>8280L</v>
      </c>
      <c r="C9" t="str">
        <f>IFERROR(VLOOKUP(A9,Processor_DB_Intel!$A$1:'Processor_DB_Intel'!$D$422,4,FALSE),"")</f>
        <v/>
      </c>
      <c r="D9" t="str">
        <f>IFERROR(LEFT(VLOOKUP(A9,Processor_DB_Intel!$A$1:'Processor_DB_Intel'!$F$422,6,FALSE),3),"")</f>
        <v/>
      </c>
      <c r="E9" s="74">
        <f t="shared" si="1"/>
        <v>13012</v>
      </c>
      <c r="F9" s="56" t="str">
        <f t="shared" si="2"/>
        <v/>
      </c>
      <c r="G9" t="e">
        <f t="shared" si="3"/>
        <v>#VALUE!</v>
      </c>
      <c r="H9" t="e">
        <f t="shared" si="4"/>
        <v>#VALUE!</v>
      </c>
      <c r="I9" s="56" t="str">
        <f t="shared" si="5"/>
        <v/>
      </c>
      <c r="J9" s="58" t="str">
        <f t="shared" si="6"/>
        <v/>
      </c>
      <c r="K9" t="s">
        <v>258</v>
      </c>
      <c r="L9">
        <f>MIN(SEARCH({0,1,2,3,4,5,6,7,8,9},K9&amp;"0123456789"))</f>
        <v>54</v>
      </c>
      <c r="M9" t="str">
        <f t="shared" si="7"/>
        <v>192472</v>
      </c>
      <c r="N9" s="70">
        <v>13012</v>
      </c>
      <c r="O9" s="71">
        <f t="shared" si="8"/>
        <v>13012</v>
      </c>
      <c r="AA9" t="str">
        <f t="shared" si="9"/>
        <v/>
      </c>
    </row>
    <row r="10" spans="1:29">
      <c r="A10" t="s">
        <v>183</v>
      </c>
      <c r="B10" s="54" t="str">
        <f t="shared" si="0"/>
        <v>8280</v>
      </c>
      <c r="C10" t="str">
        <f>IFERROR(VLOOKUP(A10,Processor_DB_Intel!$A$1:'Processor_DB_Intel'!$D$422,4,FALSE),"")</f>
        <v/>
      </c>
      <c r="D10" t="str">
        <f>IFERROR(LEFT(VLOOKUP(A10,Processor_DB_Intel!$A$1:'Processor_DB_Intel'!$F$422,6,FALSE),3),"")</f>
        <v/>
      </c>
      <c r="E10" s="74">
        <f t="shared" si="1"/>
        <v>10009</v>
      </c>
      <c r="F10" s="56" t="str">
        <f t="shared" si="2"/>
        <v/>
      </c>
      <c r="G10" t="e">
        <f t="shared" si="3"/>
        <v>#VALUE!</v>
      </c>
      <c r="H10" t="e">
        <f t="shared" si="4"/>
        <v>#VALUE!</v>
      </c>
      <c r="I10" s="56" t="str">
        <f t="shared" si="5"/>
        <v/>
      </c>
      <c r="J10" s="58" t="str">
        <f t="shared" si="6"/>
        <v/>
      </c>
      <c r="K10" t="s">
        <v>259</v>
      </c>
      <c r="L10">
        <f>MIN(SEARCH({0,1,2,3,4,5,6,7,8,9},K10&amp;"0123456789"))</f>
        <v>54</v>
      </c>
      <c r="M10" t="str">
        <f t="shared" si="7"/>
        <v>192478</v>
      </c>
      <c r="N10" s="70">
        <v>10009</v>
      </c>
      <c r="O10" s="71">
        <f t="shared" si="8"/>
        <v>10009</v>
      </c>
      <c r="AA10" t="str">
        <f t="shared" si="9"/>
        <v/>
      </c>
    </row>
    <row r="11" spans="1:29">
      <c r="A11" t="s">
        <v>184</v>
      </c>
      <c r="B11" s="54" t="str">
        <f t="shared" si="0"/>
        <v>8276L</v>
      </c>
      <c r="C11" t="str">
        <f>IFERROR(VLOOKUP(A11,Processor_DB_Intel!$A$1:'Processor_DB_Intel'!$D$422,4,FALSE),"")</f>
        <v/>
      </c>
      <c r="D11" t="str">
        <f>IFERROR(LEFT(VLOOKUP(A11,Processor_DB_Intel!$A$1:'Processor_DB_Intel'!$F$422,6,FALSE),3),"")</f>
        <v/>
      </c>
      <c r="E11" s="74">
        <f t="shared" si="1"/>
        <v>11722</v>
      </c>
      <c r="F11" s="56" t="str">
        <f t="shared" si="2"/>
        <v/>
      </c>
      <c r="G11" t="e">
        <f t="shared" si="3"/>
        <v>#VALUE!</v>
      </c>
      <c r="H11" t="e">
        <f t="shared" si="4"/>
        <v>#VALUE!</v>
      </c>
      <c r="I11" s="56" t="str">
        <f t="shared" si="5"/>
        <v/>
      </c>
      <c r="J11" s="58" t="str">
        <f t="shared" si="6"/>
        <v/>
      </c>
      <c r="K11" t="s">
        <v>260</v>
      </c>
      <c r="L11">
        <f>MIN(SEARCH({0,1,2,3,4,5,6,7,8,9},K11&amp;"0123456789"))</f>
        <v>54</v>
      </c>
      <c r="M11" t="str">
        <f t="shared" si="7"/>
        <v>192475</v>
      </c>
      <c r="N11" s="70">
        <v>11722</v>
      </c>
      <c r="O11" s="71">
        <f t="shared" si="8"/>
        <v>11722</v>
      </c>
      <c r="AA11" t="str">
        <f t="shared" si="9"/>
        <v/>
      </c>
    </row>
    <row r="12" spans="1:29">
      <c r="A12" t="s">
        <v>185</v>
      </c>
      <c r="B12" s="54" t="str">
        <f t="shared" si="0"/>
        <v>8276</v>
      </c>
      <c r="C12" t="str">
        <f>IFERROR(VLOOKUP(A12,Processor_DB_Intel!$A$1:'Processor_DB_Intel'!$D$422,4,FALSE),"")</f>
        <v/>
      </c>
      <c r="D12" t="str">
        <f>IFERROR(LEFT(VLOOKUP(A12,Processor_DB_Intel!$A$1:'Processor_DB_Intel'!$F$422,6,FALSE),3),"")</f>
        <v/>
      </c>
      <c r="E12" s="74">
        <f t="shared" si="1"/>
        <v>8719</v>
      </c>
      <c r="F12" s="56" t="str">
        <f t="shared" si="2"/>
        <v/>
      </c>
      <c r="G12" t="e">
        <f t="shared" si="3"/>
        <v>#VALUE!</v>
      </c>
      <c r="H12" t="e">
        <f t="shared" si="4"/>
        <v>#VALUE!</v>
      </c>
      <c r="I12" s="56" t="str">
        <f t="shared" si="5"/>
        <v/>
      </c>
      <c r="J12" s="58" t="str">
        <f t="shared" si="6"/>
        <v/>
      </c>
      <c r="K12" t="s">
        <v>261</v>
      </c>
      <c r="L12">
        <f>MIN(SEARCH({0,1,2,3,4,5,6,7,8,9},K12&amp;"0123456789"))</f>
        <v>54</v>
      </c>
      <c r="M12" t="str">
        <f t="shared" si="7"/>
        <v>192470</v>
      </c>
      <c r="N12" s="70">
        <v>8719</v>
      </c>
      <c r="O12" s="71">
        <f t="shared" si="8"/>
        <v>8719</v>
      </c>
      <c r="AA12" t="str">
        <f t="shared" si="9"/>
        <v/>
      </c>
    </row>
    <row r="13" spans="1:29">
      <c r="A13" t="s">
        <v>186</v>
      </c>
      <c r="B13" s="54" t="str">
        <f t="shared" si="0"/>
        <v>8270</v>
      </c>
      <c r="C13" t="str">
        <f>IFERROR(VLOOKUP(A13,Processor_DB_Intel!$A$1:'Processor_DB_Intel'!$D$422,4,FALSE),"")</f>
        <v/>
      </c>
      <c r="D13" t="str">
        <f>IFERROR(LEFT(VLOOKUP(A13,Processor_DB_Intel!$A$1:'Processor_DB_Intel'!$F$422,6,FALSE),3),"")</f>
        <v/>
      </c>
      <c r="E13" s="74">
        <f t="shared" si="1"/>
        <v>7405</v>
      </c>
      <c r="F13" s="56" t="str">
        <f t="shared" si="2"/>
        <v/>
      </c>
      <c r="G13" t="e">
        <f t="shared" si="3"/>
        <v>#VALUE!</v>
      </c>
      <c r="H13" t="e">
        <f t="shared" si="4"/>
        <v>#VALUE!</v>
      </c>
      <c r="I13" s="56" t="str">
        <f t="shared" si="5"/>
        <v/>
      </c>
      <c r="J13" s="58" t="str">
        <f t="shared" si="6"/>
        <v/>
      </c>
      <c r="K13" t="s">
        <v>262</v>
      </c>
      <c r="L13">
        <f>MIN(SEARCH({0,1,2,3,4,5,6,7,8,9},K13&amp;"0123456789"))</f>
        <v>54</v>
      </c>
      <c r="M13" t="str">
        <f t="shared" si="7"/>
        <v>192482</v>
      </c>
      <c r="N13" s="70">
        <v>7405</v>
      </c>
      <c r="O13" s="71">
        <f t="shared" si="8"/>
        <v>7405</v>
      </c>
      <c r="AA13" t="str">
        <f t="shared" si="9"/>
        <v/>
      </c>
    </row>
    <row r="14" spans="1:29">
      <c r="A14" t="s">
        <v>187</v>
      </c>
      <c r="B14" s="54" t="str">
        <f t="shared" si="0"/>
        <v>8268</v>
      </c>
      <c r="C14" t="str">
        <f>IFERROR(VLOOKUP(A14,Processor_DB_Intel!$A$1:'Processor_DB_Intel'!$D$422,4,FALSE),"")</f>
        <v/>
      </c>
      <c r="D14" t="str">
        <f>IFERROR(LEFT(VLOOKUP(A14,Processor_DB_Intel!$A$1:'Processor_DB_Intel'!$F$422,6,FALSE),3),"")</f>
        <v/>
      </c>
      <c r="E14" s="74">
        <f t="shared" si="1"/>
        <v>6302</v>
      </c>
      <c r="F14" s="56" t="str">
        <f t="shared" si="2"/>
        <v/>
      </c>
      <c r="G14" t="e">
        <f t="shared" si="3"/>
        <v>#VALUE!</v>
      </c>
      <c r="H14" t="e">
        <f t="shared" si="4"/>
        <v>#VALUE!</v>
      </c>
      <c r="I14" s="56" t="str">
        <f t="shared" si="5"/>
        <v/>
      </c>
      <c r="J14" s="58" t="str">
        <f t="shared" si="6"/>
        <v/>
      </c>
      <c r="K14" t="s">
        <v>263</v>
      </c>
      <c r="L14">
        <f>MIN(SEARCH({0,1,2,3,4,5,6,7,8,9},K14&amp;"0123456789"))</f>
        <v>54</v>
      </c>
      <c r="M14" t="str">
        <f t="shared" si="7"/>
        <v>192481</v>
      </c>
      <c r="N14" s="70">
        <v>6302</v>
      </c>
      <c r="O14" s="71">
        <f t="shared" si="8"/>
        <v>6302</v>
      </c>
      <c r="AA14" t="str">
        <f t="shared" si="9"/>
        <v/>
      </c>
    </row>
    <row r="15" spans="1:29">
      <c r="A15" t="s">
        <v>188</v>
      </c>
      <c r="B15" s="54" t="str">
        <f t="shared" si="0"/>
        <v>8260Y</v>
      </c>
      <c r="C15" t="str">
        <f>IFERROR(VLOOKUP(A15,Processor_DB_Intel!$A$1:'Processor_DB_Intel'!$D$422,4,FALSE),"")</f>
        <v/>
      </c>
      <c r="D15" t="str">
        <f>IFERROR(LEFT(VLOOKUP(A15,Processor_DB_Intel!$A$1:'Processor_DB_Intel'!$F$422,6,FALSE),3),"")</f>
        <v/>
      </c>
      <c r="E15" s="74">
        <f t="shared" si="1"/>
        <v>5320</v>
      </c>
      <c r="F15" s="56" t="str">
        <f t="shared" si="2"/>
        <v/>
      </c>
      <c r="G15" t="e">
        <f t="shared" si="3"/>
        <v>#VALUE!</v>
      </c>
      <c r="H15" t="e">
        <f t="shared" si="4"/>
        <v>#VALUE!</v>
      </c>
      <c r="I15" s="56" t="str">
        <f t="shared" si="5"/>
        <v/>
      </c>
      <c r="J15" s="58" t="str">
        <f t="shared" si="6"/>
        <v/>
      </c>
      <c r="K15" t="s">
        <v>264</v>
      </c>
      <c r="L15">
        <f>MIN(SEARCH({0,1,2,3,4,5,6,7,8,9},K15&amp;"0123456789"))</f>
        <v>54</v>
      </c>
      <c r="M15" t="str">
        <f t="shared" si="7"/>
        <v>192480</v>
      </c>
      <c r="N15" s="70">
        <v>5320</v>
      </c>
      <c r="O15" s="71">
        <f t="shared" si="8"/>
        <v>5320</v>
      </c>
      <c r="AA15" t="str">
        <f t="shared" si="9"/>
        <v/>
      </c>
    </row>
    <row r="16" spans="1:29">
      <c r="A16" t="s">
        <v>189</v>
      </c>
      <c r="B16" s="54" t="str">
        <f t="shared" si="0"/>
        <v>8260L</v>
      </c>
      <c r="C16" t="str">
        <f>IFERROR(VLOOKUP(A16,Processor_DB_Intel!$A$1:'Processor_DB_Intel'!$D$422,4,FALSE),"")</f>
        <v/>
      </c>
      <c r="D16" t="str">
        <f>IFERROR(LEFT(VLOOKUP(A16,Processor_DB_Intel!$A$1:'Processor_DB_Intel'!$F$422,6,FALSE),3),"")</f>
        <v/>
      </c>
      <c r="E16" s="74">
        <f t="shared" si="1"/>
        <v>7705</v>
      </c>
      <c r="F16" s="56" t="str">
        <f t="shared" si="2"/>
        <v/>
      </c>
      <c r="G16" t="e">
        <f t="shared" si="3"/>
        <v>#VALUE!</v>
      </c>
      <c r="H16" t="e">
        <f t="shared" si="4"/>
        <v>#VALUE!</v>
      </c>
      <c r="I16" s="56" t="str">
        <f t="shared" si="5"/>
        <v/>
      </c>
      <c r="J16" s="58" t="str">
        <f t="shared" si="6"/>
        <v/>
      </c>
      <c r="K16" t="s">
        <v>265</v>
      </c>
      <c r="L16">
        <f>MIN(SEARCH({0,1,2,3,4,5,6,7,8,9},K16&amp;"0123456789"))</f>
        <v>54</v>
      </c>
      <c r="M16" t="str">
        <f t="shared" si="7"/>
        <v>192476</v>
      </c>
      <c r="N16" s="70">
        <v>7705</v>
      </c>
      <c r="O16" s="71">
        <f t="shared" si="8"/>
        <v>7705</v>
      </c>
      <c r="AA16" t="str">
        <f t="shared" si="9"/>
        <v/>
      </c>
    </row>
    <row r="17" spans="1:27">
      <c r="A17" t="s">
        <v>190</v>
      </c>
      <c r="B17" s="54" t="str">
        <f t="shared" si="0"/>
        <v>8260</v>
      </c>
      <c r="C17" t="str">
        <f>IFERROR(VLOOKUP(A17,Processor_DB_Intel!$A$1:'Processor_DB_Intel'!$D$422,4,FALSE),"")</f>
        <v/>
      </c>
      <c r="D17" t="str">
        <f>IFERROR(LEFT(VLOOKUP(A17,Processor_DB_Intel!$A$1:'Processor_DB_Intel'!$F$422,6,FALSE),3),"")</f>
        <v/>
      </c>
      <c r="E17" s="74">
        <f t="shared" si="1"/>
        <v>4702</v>
      </c>
      <c r="F17" s="56" t="str">
        <f t="shared" si="2"/>
        <v/>
      </c>
      <c r="G17" t="e">
        <f t="shared" si="3"/>
        <v>#VALUE!</v>
      </c>
      <c r="H17" t="e">
        <f t="shared" si="4"/>
        <v>#VALUE!</v>
      </c>
      <c r="I17" s="56" t="str">
        <f t="shared" si="5"/>
        <v/>
      </c>
      <c r="J17" s="58" t="str">
        <f t="shared" si="6"/>
        <v/>
      </c>
      <c r="K17" t="s">
        <v>266</v>
      </c>
      <c r="L17">
        <f>MIN(SEARCH({0,1,2,3,4,5,6,7,8,9},K17&amp;"0123456789"))</f>
        <v>54</v>
      </c>
      <c r="M17" t="str">
        <f t="shared" si="7"/>
        <v>192474</v>
      </c>
      <c r="N17" s="70">
        <v>4702</v>
      </c>
      <c r="O17" s="71">
        <f t="shared" si="8"/>
        <v>4702</v>
      </c>
      <c r="AA17" t="str">
        <f t="shared" si="9"/>
        <v/>
      </c>
    </row>
    <row r="18" spans="1:27">
      <c r="A18" t="s">
        <v>191</v>
      </c>
      <c r="B18" s="54" t="str">
        <f t="shared" si="0"/>
        <v>8256</v>
      </c>
      <c r="C18" t="str">
        <f>IFERROR(VLOOKUP(A18,Processor_DB_Intel!$A$1:'Processor_DB_Intel'!$D$422,4,FALSE),"")</f>
        <v/>
      </c>
      <c r="D18" t="str">
        <f>IFERROR(LEFT(VLOOKUP(A18,Processor_DB_Intel!$A$1:'Processor_DB_Intel'!$F$422,6,FALSE),3),"")</f>
        <v/>
      </c>
      <c r="E18" s="74" t="str">
        <f t="shared" si="1"/>
        <v>7014.00</v>
      </c>
      <c r="F18" s="56" t="str">
        <f t="shared" si="2"/>
        <v/>
      </c>
      <c r="G18" t="e">
        <f t="shared" si="3"/>
        <v>#VALUE!</v>
      </c>
      <c r="H18" t="e">
        <f t="shared" si="4"/>
        <v>#VALUE!</v>
      </c>
      <c r="I18" s="56" t="str">
        <f t="shared" si="5"/>
        <v/>
      </c>
      <c r="J18" s="58" t="str">
        <f t="shared" si="6"/>
        <v/>
      </c>
      <c r="K18" t="s">
        <v>267</v>
      </c>
      <c r="L18">
        <f>MIN(SEARCH({0,1,2,3,4,5,6,7,8,9},K18&amp;"0123456789"))</f>
        <v>54</v>
      </c>
      <c r="M18" t="str">
        <f t="shared" si="7"/>
        <v>192467</v>
      </c>
      <c r="N18" t="s">
        <v>342</v>
      </c>
      <c r="O18" s="71" t="str">
        <f t="shared" si="8"/>
        <v>7014.00</v>
      </c>
      <c r="AA18" t="str">
        <f t="shared" si="9"/>
        <v/>
      </c>
    </row>
    <row r="19" spans="1:27">
      <c r="A19" t="s">
        <v>192</v>
      </c>
      <c r="B19" s="54" t="str">
        <f t="shared" si="0"/>
        <v>8253</v>
      </c>
      <c r="C19" t="str">
        <f>IFERROR(VLOOKUP(A19,Processor_DB_Intel!$A$1:'Processor_DB_Intel'!$D$422,4,FALSE),"")</f>
        <v/>
      </c>
      <c r="D19" t="str">
        <f>IFERROR(LEFT(VLOOKUP(A19,Processor_DB_Intel!$A$1:'Processor_DB_Intel'!$F$422,6,FALSE),3),"")</f>
        <v/>
      </c>
      <c r="E19" s="74">
        <f t="shared" si="1"/>
        <v>3115</v>
      </c>
      <c r="F19" s="56" t="str">
        <f t="shared" si="2"/>
        <v/>
      </c>
      <c r="G19" t="e">
        <f t="shared" si="3"/>
        <v>#VALUE!</v>
      </c>
      <c r="H19" t="e">
        <f t="shared" si="4"/>
        <v>#VALUE!</v>
      </c>
      <c r="I19" s="56" t="str">
        <f t="shared" si="5"/>
        <v/>
      </c>
      <c r="J19" s="58" t="str">
        <f t="shared" si="6"/>
        <v/>
      </c>
      <c r="K19" t="s">
        <v>268</v>
      </c>
      <c r="L19">
        <f>MIN(SEARCH({0,1,2,3,4,5,6,7,8,9},K19&amp;"0123456789"))</f>
        <v>54</v>
      </c>
      <c r="M19" t="str">
        <f t="shared" si="7"/>
        <v>192465</v>
      </c>
      <c r="N19" s="70">
        <v>3115</v>
      </c>
      <c r="O19" s="71">
        <f t="shared" si="8"/>
        <v>3115</v>
      </c>
      <c r="AA19" t="str">
        <f t="shared" si="9"/>
        <v/>
      </c>
    </row>
    <row r="20" spans="1:27">
      <c r="A20" t="s">
        <v>193</v>
      </c>
      <c r="B20" s="54" t="str">
        <f t="shared" si="0"/>
        <v>6262V</v>
      </c>
      <c r="C20" s="79" t="str">
        <f>IFERROR(VLOOKUP(A20,Processor_DB_Intel!$A$1:'Processor_DB_Intel'!$D$422,4,FALSE),"")</f>
        <v/>
      </c>
      <c r="D20" t="str">
        <f>IFERROR(LEFT(VLOOKUP(A20,Processor_DB_Intel!$A$1:'Processor_DB_Intel'!$F$422,6,FALSE),3),"")</f>
        <v/>
      </c>
      <c r="E20" s="74">
        <f t="shared" si="1"/>
        <v>2900</v>
      </c>
      <c r="F20" s="56" t="str">
        <f t="shared" si="2"/>
        <v/>
      </c>
      <c r="G20" t="e">
        <f t="shared" si="3"/>
        <v>#VALUE!</v>
      </c>
      <c r="H20" t="e">
        <f t="shared" si="4"/>
        <v>#VALUE!</v>
      </c>
      <c r="I20" s="56" t="str">
        <f t="shared" si="5"/>
        <v/>
      </c>
      <c r="J20" s="58" t="str">
        <f t="shared" si="6"/>
        <v/>
      </c>
      <c r="K20" t="s">
        <v>316</v>
      </c>
      <c r="L20">
        <f>MIN(SEARCH({0,1,2,3,4,5,6,7,8,9},K20&amp;"0123456789"))</f>
        <v>54</v>
      </c>
      <c r="M20" t="str">
        <f t="shared" si="7"/>
        <v>193972</v>
      </c>
      <c r="N20" s="70">
        <v>2900</v>
      </c>
      <c r="O20" s="71">
        <f t="shared" si="8"/>
        <v>2900</v>
      </c>
      <c r="AA20" t="str">
        <f t="shared" si="9"/>
        <v/>
      </c>
    </row>
    <row r="21" spans="1:27">
      <c r="A21" t="s">
        <v>194</v>
      </c>
      <c r="B21" s="54" t="str">
        <f t="shared" si="0"/>
        <v>6258R</v>
      </c>
      <c r="C21" t="str">
        <f>IFERROR(VLOOKUP(A21,Processor_DB_Intel!$A$1:'Processor_DB_Intel'!$D$422,4,FALSE),"")</f>
        <v/>
      </c>
      <c r="D21" t="str">
        <f>IFERROR(LEFT(VLOOKUP(A21,Processor_DB_Intel!$A$1:'Processor_DB_Intel'!$F$422,6,FALSE),3),"")</f>
        <v/>
      </c>
      <c r="E21" s="74">
        <f t="shared" si="1"/>
        <v>3950</v>
      </c>
      <c r="F21" s="56" t="str">
        <f t="shared" si="2"/>
        <v/>
      </c>
      <c r="G21" t="e">
        <f t="shared" si="3"/>
        <v>#VALUE!</v>
      </c>
      <c r="H21" t="e">
        <f t="shared" si="4"/>
        <v>#VALUE!</v>
      </c>
      <c r="I21" s="56" t="str">
        <f t="shared" si="5"/>
        <v/>
      </c>
      <c r="J21" s="58" t="str">
        <f t="shared" si="6"/>
        <v/>
      </c>
      <c r="K21" t="s">
        <v>269</v>
      </c>
      <c r="L21">
        <f>MIN(SEARCH({0,1,2,3,4,5,6,7,8,9},K21&amp;"0123456789"))</f>
        <v>54</v>
      </c>
      <c r="M21" t="str">
        <f t="shared" si="7"/>
        <v>199350</v>
      </c>
      <c r="N21" s="70">
        <v>3950</v>
      </c>
      <c r="O21" s="71">
        <f t="shared" si="8"/>
        <v>3950</v>
      </c>
      <c r="AA21" t="str">
        <f t="shared" si="9"/>
        <v/>
      </c>
    </row>
    <row r="22" spans="1:27">
      <c r="A22" t="s">
        <v>195</v>
      </c>
      <c r="B22" s="54" t="str">
        <f t="shared" si="0"/>
        <v>6256</v>
      </c>
      <c r="C22" t="str">
        <f>IFERROR(VLOOKUP(A22,Processor_DB_Intel!$A$1:'Processor_DB_Intel'!$D$422,4,FALSE),"")</f>
        <v/>
      </c>
      <c r="D22" t="str">
        <f>IFERROR(LEFT(VLOOKUP(A22,Processor_DB_Intel!$A$1:'Processor_DB_Intel'!$F$422,6,FALSE),3),"")</f>
        <v/>
      </c>
      <c r="E22" s="74">
        <f t="shared" si="1"/>
        <v>3900</v>
      </c>
      <c r="F22" s="56" t="str">
        <f t="shared" si="2"/>
        <v/>
      </c>
      <c r="G22" t="e">
        <f t="shared" si="3"/>
        <v>#VALUE!</v>
      </c>
      <c r="H22" t="e">
        <f t="shared" si="4"/>
        <v>#VALUE!</v>
      </c>
      <c r="I22" s="56" t="str">
        <f t="shared" si="5"/>
        <v/>
      </c>
      <c r="J22" s="58" t="str">
        <f t="shared" si="6"/>
        <v/>
      </c>
      <c r="K22" t="s">
        <v>270</v>
      </c>
      <c r="L22">
        <f>MIN(SEARCH({0,1,2,3,4,5,6,7,8,9},K22&amp;"0123456789"))</f>
        <v>54</v>
      </c>
      <c r="M22" t="str">
        <f t="shared" si="7"/>
        <v>198655</v>
      </c>
      <c r="N22" s="70">
        <v>3900</v>
      </c>
      <c r="O22" s="71">
        <f t="shared" si="8"/>
        <v>3900</v>
      </c>
      <c r="AA22" t="str">
        <f t="shared" si="9"/>
        <v/>
      </c>
    </row>
    <row r="23" spans="1:27">
      <c r="A23" t="s">
        <v>196</v>
      </c>
      <c r="B23" s="54" t="str">
        <f t="shared" si="0"/>
        <v>6254</v>
      </c>
      <c r="C23" t="str">
        <f>IFERROR(VLOOKUP(A23,Processor_DB_Intel!$A$1:'Processor_DB_Intel'!$D$422,4,FALSE),"")</f>
        <v/>
      </c>
      <c r="D23" t="str">
        <f>IFERROR(LEFT(VLOOKUP(A23,Processor_DB_Intel!$A$1:'Processor_DB_Intel'!$F$422,6,FALSE),3),"")</f>
        <v/>
      </c>
      <c r="E23" s="74">
        <f t="shared" si="1"/>
        <v>3803</v>
      </c>
      <c r="F23" s="56" t="str">
        <f t="shared" si="2"/>
        <v/>
      </c>
      <c r="G23" t="e">
        <f t="shared" si="3"/>
        <v>#VALUE!</v>
      </c>
      <c r="H23" t="e">
        <f t="shared" si="4"/>
        <v>#VALUE!</v>
      </c>
      <c r="I23" s="56" t="str">
        <f t="shared" si="5"/>
        <v/>
      </c>
      <c r="J23" s="58" t="str">
        <f t="shared" si="6"/>
        <v/>
      </c>
      <c r="K23" t="s">
        <v>271</v>
      </c>
      <c r="L23">
        <f>MIN(SEARCH({0,1,2,3,4,5,6,7,8,9},K23&amp;"0123456789"))</f>
        <v>54</v>
      </c>
      <c r="M23" t="str">
        <f t="shared" si="7"/>
        <v>192451</v>
      </c>
      <c r="N23" s="70">
        <v>3803</v>
      </c>
      <c r="O23" s="71">
        <f t="shared" si="8"/>
        <v>3803</v>
      </c>
      <c r="AA23" t="str">
        <f t="shared" si="9"/>
        <v/>
      </c>
    </row>
    <row r="24" spans="1:27">
      <c r="A24" t="s">
        <v>197</v>
      </c>
      <c r="B24" s="54" t="str">
        <f t="shared" si="0"/>
        <v>6252N</v>
      </c>
      <c r="C24" t="str">
        <f>IFERROR(VLOOKUP(A24,Processor_DB_Intel!$A$1:'Processor_DB_Intel'!$D$422,4,FALSE),"")</f>
        <v/>
      </c>
      <c r="D24" t="str">
        <f>IFERROR(LEFT(VLOOKUP(A24,Processor_DB_Intel!$A$1:'Processor_DB_Intel'!$F$422,6,FALSE),3),"")</f>
        <v/>
      </c>
      <c r="E24" s="74">
        <f t="shared" si="1"/>
        <v>1788</v>
      </c>
      <c r="F24" s="56" t="str">
        <f t="shared" si="2"/>
        <v/>
      </c>
      <c r="G24" t="e">
        <f t="shared" si="3"/>
        <v>#VALUE!</v>
      </c>
      <c r="H24" t="e">
        <f t="shared" si="4"/>
        <v>#VALUE!</v>
      </c>
      <c r="I24" s="56" t="str">
        <f t="shared" si="5"/>
        <v/>
      </c>
      <c r="J24" s="58" t="str">
        <f t="shared" si="6"/>
        <v/>
      </c>
      <c r="K24" t="s">
        <v>272</v>
      </c>
      <c r="L24">
        <f>MIN(SEARCH({0,1,2,3,4,5,6,7,8,9},K24&amp;"0123456789"))</f>
        <v>54</v>
      </c>
      <c r="M24" t="str">
        <f t="shared" si="7"/>
        <v>193951</v>
      </c>
      <c r="N24" s="70">
        <v>1788</v>
      </c>
      <c r="O24" s="71">
        <f t="shared" si="8"/>
        <v>1788</v>
      </c>
      <c r="AA24" t="str">
        <f t="shared" si="9"/>
        <v/>
      </c>
    </row>
    <row r="25" spans="1:27">
      <c r="A25" t="s">
        <v>198</v>
      </c>
      <c r="B25" s="54" t="str">
        <f t="shared" si="0"/>
        <v>6252</v>
      </c>
      <c r="C25" t="str">
        <f>IFERROR(VLOOKUP(A25,Processor_DB_Intel!$A$1:'Processor_DB_Intel'!$D$422,4,FALSE),"")</f>
        <v/>
      </c>
      <c r="D25" t="str">
        <f>IFERROR(LEFT(VLOOKUP(A25,Processor_DB_Intel!$A$1:'Processor_DB_Intel'!$F$422,6,FALSE),3),"")</f>
        <v/>
      </c>
      <c r="E25" s="74" t="str">
        <f t="shared" si="1"/>
        <v>3662.00</v>
      </c>
      <c r="F25" s="56" t="str">
        <f t="shared" si="2"/>
        <v/>
      </c>
      <c r="G25" t="e">
        <f t="shared" si="3"/>
        <v>#VALUE!</v>
      </c>
      <c r="H25" t="e">
        <f t="shared" si="4"/>
        <v>#VALUE!</v>
      </c>
      <c r="I25" s="56" t="str">
        <f t="shared" si="5"/>
        <v/>
      </c>
      <c r="J25" s="58" t="str">
        <f t="shared" si="6"/>
        <v/>
      </c>
      <c r="K25" t="s">
        <v>273</v>
      </c>
      <c r="L25">
        <f>MIN(SEARCH({0,1,2,3,4,5,6,7,8,9},K25&amp;"0123456789"))</f>
        <v>54</v>
      </c>
      <c r="M25" t="str">
        <f t="shared" si="7"/>
        <v>192447</v>
      </c>
      <c r="N25" s="70" t="s">
        <v>343</v>
      </c>
      <c r="O25" s="71" t="str">
        <f t="shared" si="8"/>
        <v>3662.00</v>
      </c>
      <c r="AA25" t="str">
        <f t="shared" si="9"/>
        <v/>
      </c>
    </row>
    <row r="26" spans="1:27">
      <c r="A26" t="s">
        <v>199</v>
      </c>
      <c r="B26" s="54" t="str">
        <f t="shared" si="0"/>
        <v>6250L</v>
      </c>
      <c r="C26" t="str">
        <f>IFERROR(VLOOKUP(A26,Processor_DB_Intel!$A$1:'Processor_DB_Intel'!$D$422,4,FALSE),"")</f>
        <v/>
      </c>
      <c r="D26" t="str">
        <f>IFERROR(LEFT(VLOOKUP(A26,Processor_DB_Intel!$A$1:'Processor_DB_Intel'!$F$422,6,FALSE),3),"")</f>
        <v/>
      </c>
      <c r="E26" s="74">
        <f t="shared" si="1"/>
        <v>6404</v>
      </c>
      <c r="F26" s="56" t="str">
        <f t="shared" si="2"/>
        <v/>
      </c>
      <c r="G26" t="e">
        <f t="shared" si="3"/>
        <v>#VALUE!</v>
      </c>
      <c r="H26" t="e">
        <f t="shared" si="4"/>
        <v>#VALUE!</v>
      </c>
      <c r="I26" s="56" t="str">
        <f t="shared" si="5"/>
        <v/>
      </c>
      <c r="J26" s="58" t="str">
        <f t="shared" si="6"/>
        <v/>
      </c>
      <c r="K26" t="s">
        <v>274</v>
      </c>
      <c r="L26">
        <f>MIN(SEARCH({0,1,2,3,4,5,6,7,8,9},K26&amp;"0123456789"))</f>
        <v>54</v>
      </c>
      <c r="M26" t="str">
        <f t="shared" si="7"/>
        <v>202780</v>
      </c>
      <c r="N26" s="70">
        <v>6404</v>
      </c>
      <c r="O26" s="71">
        <f t="shared" si="8"/>
        <v>6404</v>
      </c>
      <c r="AA26" t="str">
        <f t="shared" si="9"/>
        <v/>
      </c>
    </row>
    <row r="27" spans="1:27">
      <c r="A27" t="s">
        <v>200</v>
      </c>
      <c r="B27" s="54" t="str">
        <f t="shared" si="0"/>
        <v>6250</v>
      </c>
      <c r="C27" t="str">
        <f>IFERROR(VLOOKUP(A27,Processor_DB_Intel!$A$1:'Processor_DB_Intel'!$D$422,4,FALSE),"")</f>
        <v/>
      </c>
      <c r="D27" t="str">
        <f>IFERROR(LEFT(VLOOKUP(A27,Processor_DB_Intel!$A$1:'Processor_DB_Intel'!$F$422,6,FALSE),3),"")</f>
        <v/>
      </c>
      <c r="E27" s="74">
        <f t="shared" si="1"/>
        <v>3400</v>
      </c>
      <c r="F27" s="56" t="str">
        <f t="shared" si="2"/>
        <v/>
      </c>
      <c r="G27" t="e">
        <f t="shared" si="3"/>
        <v>#VALUE!</v>
      </c>
      <c r="H27" t="e">
        <f t="shared" si="4"/>
        <v>#VALUE!</v>
      </c>
      <c r="I27" s="56" t="str">
        <f t="shared" si="5"/>
        <v/>
      </c>
      <c r="J27" s="58" t="str">
        <f t="shared" si="6"/>
        <v/>
      </c>
      <c r="K27" t="s">
        <v>317</v>
      </c>
      <c r="L27">
        <f>MIN(SEARCH({0,1,2,3,4,5,6,7,8,9},K27&amp;"0123456789"))</f>
        <v>54</v>
      </c>
      <c r="M27" t="str">
        <f t="shared" si="7"/>
        <v>198652</v>
      </c>
      <c r="N27" s="70">
        <v>3400</v>
      </c>
      <c r="O27" s="71">
        <f t="shared" si="8"/>
        <v>3400</v>
      </c>
      <c r="AA27" t="str">
        <f t="shared" si="9"/>
        <v/>
      </c>
    </row>
    <row r="28" spans="1:27">
      <c r="A28" t="s">
        <v>201</v>
      </c>
      <c r="B28" s="54" t="str">
        <f t="shared" si="0"/>
        <v>6248R</v>
      </c>
      <c r="C28" t="str">
        <f>IFERROR(VLOOKUP(A28,Processor_DB_Intel!$A$1:'Processor_DB_Intel'!$D$422,4,FALSE),"")</f>
        <v/>
      </c>
      <c r="D28" t="str">
        <f>IFERROR(LEFT(VLOOKUP(A28,Processor_DB_Intel!$A$1:'Processor_DB_Intel'!$F$422,6,FALSE),3),"")</f>
        <v/>
      </c>
      <c r="E28" s="74">
        <f t="shared" si="1"/>
        <v>2700</v>
      </c>
      <c r="F28" s="56" t="str">
        <f t="shared" si="2"/>
        <v/>
      </c>
      <c r="G28" t="e">
        <f t="shared" si="3"/>
        <v>#VALUE!</v>
      </c>
      <c r="H28" t="e">
        <f t="shared" si="4"/>
        <v>#VALUE!</v>
      </c>
      <c r="I28" s="56" t="str">
        <f t="shared" si="5"/>
        <v/>
      </c>
      <c r="J28" s="58" t="str">
        <f t="shared" si="6"/>
        <v/>
      </c>
      <c r="K28" t="s">
        <v>275</v>
      </c>
      <c r="L28">
        <f>MIN(SEARCH({0,1,2,3,4,5,6,7,8,9},K28&amp;"0123456789"))</f>
        <v>54</v>
      </c>
      <c r="M28" t="str">
        <f t="shared" si="7"/>
        <v>199351</v>
      </c>
      <c r="N28" s="70">
        <v>2700</v>
      </c>
      <c r="O28" s="71">
        <f t="shared" si="8"/>
        <v>2700</v>
      </c>
      <c r="AA28" t="str">
        <f t="shared" si="9"/>
        <v/>
      </c>
    </row>
    <row r="29" spans="1:27">
      <c r="A29" t="s">
        <v>202</v>
      </c>
      <c r="B29" s="54" t="str">
        <f t="shared" si="0"/>
        <v>6248</v>
      </c>
      <c r="C29" t="str">
        <f>IFERROR(VLOOKUP(A29,Processor_DB_Intel!$A$1:'Processor_DB_Intel'!$D$422,4,FALSE),"")</f>
        <v/>
      </c>
      <c r="D29" t="str">
        <f>IFERROR(LEFT(VLOOKUP(A29,Processor_DB_Intel!$A$1:'Processor_DB_Intel'!$F$422,6,FALSE),3),"")</f>
        <v/>
      </c>
      <c r="E29" s="74" t="str">
        <f t="shared" si="1"/>
        <v>3078.00</v>
      </c>
      <c r="F29" s="56" t="str">
        <f t="shared" si="2"/>
        <v/>
      </c>
      <c r="G29" t="e">
        <f t="shared" si="3"/>
        <v>#VALUE!</v>
      </c>
      <c r="H29" t="e">
        <f t="shared" si="4"/>
        <v>#VALUE!</v>
      </c>
      <c r="I29" s="56" t="str">
        <f t="shared" si="5"/>
        <v/>
      </c>
      <c r="J29" s="58" t="str">
        <f t="shared" si="6"/>
        <v/>
      </c>
      <c r="K29" t="s">
        <v>276</v>
      </c>
      <c r="L29">
        <f>MIN(SEARCH({0,1,2,3,4,5,6,7,8,9},K29&amp;"0123456789"))</f>
        <v>54</v>
      </c>
      <c r="M29" t="str">
        <f t="shared" si="7"/>
        <v>192446</v>
      </c>
      <c r="N29" s="70" t="s">
        <v>344</v>
      </c>
      <c r="O29" s="71" t="str">
        <f t="shared" si="8"/>
        <v>3078.00</v>
      </c>
      <c r="AA29" t="str">
        <f t="shared" si="9"/>
        <v/>
      </c>
    </row>
    <row r="30" spans="1:27">
      <c r="A30" t="s">
        <v>203</v>
      </c>
      <c r="B30" s="54" t="str">
        <f t="shared" si="0"/>
        <v>6246R</v>
      </c>
      <c r="C30" t="str">
        <f>IFERROR(VLOOKUP(A30,Processor_DB_Intel!$A$1:'Processor_DB_Intel'!$D$422,4,FALSE),"")</f>
        <v/>
      </c>
      <c r="D30" t="str">
        <f>IFERROR(LEFT(VLOOKUP(A30,Processor_DB_Intel!$A$1:'Processor_DB_Intel'!$F$422,6,FALSE),3),"")</f>
        <v/>
      </c>
      <c r="E30" s="74">
        <f t="shared" si="1"/>
        <v>3286</v>
      </c>
      <c r="F30" s="56" t="str">
        <f t="shared" si="2"/>
        <v/>
      </c>
      <c r="G30" t="e">
        <f t="shared" si="3"/>
        <v>#VALUE!</v>
      </c>
      <c r="H30" t="e">
        <f t="shared" si="4"/>
        <v>#VALUE!</v>
      </c>
      <c r="I30" s="56" t="str">
        <f t="shared" si="5"/>
        <v/>
      </c>
      <c r="J30" s="58" t="str">
        <f t="shared" si="6"/>
        <v/>
      </c>
      <c r="K30" t="s">
        <v>277</v>
      </c>
      <c r="L30">
        <f>MIN(SEARCH({0,1,2,3,4,5,6,7,8,9},K30&amp;"0123456789"))</f>
        <v>54</v>
      </c>
      <c r="M30" t="str">
        <f t="shared" si="7"/>
        <v>199353</v>
      </c>
      <c r="N30" s="70">
        <v>3286</v>
      </c>
      <c r="O30" s="71">
        <f t="shared" si="8"/>
        <v>3286</v>
      </c>
      <c r="AA30" t="str">
        <f t="shared" si="9"/>
        <v/>
      </c>
    </row>
    <row r="31" spans="1:27">
      <c r="A31" t="s">
        <v>204</v>
      </c>
      <c r="B31" s="54" t="str">
        <f t="shared" si="0"/>
        <v>6246</v>
      </c>
      <c r="C31" t="str">
        <f>IFERROR(VLOOKUP(A31,Processor_DB_Intel!$A$1:'Processor_DB_Intel'!$D$422,4,FALSE),"")</f>
        <v/>
      </c>
      <c r="D31" t="str">
        <f>IFERROR(LEFT(VLOOKUP(A31,Processor_DB_Intel!$A$1:'Processor_DB_Intel'!$F$422,6,FALSE),3),"")</f>
        <v/>
      </c>
      <c r="E31" s="74">
        <f t="shared" si="1"/>
        <v>3286</v>
      </c>
      <c r="F31" s="56" t="str">
        <f t="shared" si="2"/>
        <v/>
      </c>
      <c r="G31" t="e">
        <f t="shared" si="3"/>
        <v>#VALUE!</v>
      </c>
      <c r="H31" t="e">
        <f t="shared" si="4"/>
        <v>#VALUE!</v>
      </c>
      <c r="I31" s="56" t="str">
        <f t="shared" si="5"/>
        <v/>
      </c>
      <c r="J31" s="58" t="str">
        <f t="shared" si="6"/>
        <v/>
      </c>
      <c r="K31" t="s">
        <v>278</v>
      </c>
      <c r="L31">
        <f>MIN(SEARCH({0,1,2,3,4,5,6,7,8,9},K31&amp;"0123456789"))</f>
        <v>54</v>
      </c>
      <c r="M31" t="str">
        <f t="shared" si="7"/>
        <v>193969</v>
      </c>
      <c r="N31" s="70">
        <v>3286</v>
      </c>
      <c r="O31" s="71">
        <f t="shared" si="8"/>
        <v>3286</v>
      </c>
      <c r="AA31" t="str">
        <f t="shared" si="9"/>
        <v/>
      </c>
    </row>
    <row r="32" spans="1:27">
      <c r="A32" t="s">
        <v>205</v>
      </c>
      <c r="B32" s="54" t="str">
        <f t="shared" si="0"/>
        <v>6244</v>
      </c>
      <c r="C32" t="str">
        <f>IFERROR(VLOOKUP(A32,Processor_DB_Intel!$A$1:'Processor_DB_Intel'!$D$422,4,FALSE),"")</f>
        <v/>
      </c>
      <c r="D32" t="str">
        <f>IFERROR(LEFT(VLOOKUP(A32,Processor_DB_Intel!$A$1:'Processor_DB_Intel'!$F$422,6,FALSE),3),"")</f>
        <v/>
      </c>
      <c r="E32" s="74">
        <f t="shared" si="1"/>
        <v>2925</v>
      </c>
      <c r="F32" s="56" t="str">
        <f t="shared" si="2"/>
        <v/>
      </c>
      <c r="G32" t="e">
        <f t="shared" si="3"/>
        <v>#VALUE!</v>
      </c>
      <c r="H32" t="e">
        <f t="shared" si="4"/>
        <v>#VALUE!</v>
      </c>
      <c r="I32" s="56" t="str">
        <f t="shared" si="5"/>
        <v/>
      </c>
      <c r="J32" s="58" t="str">
        <f t="shared" si="6"/>
        <v/>
      </c>
      <c r="K32" t="s">
        <v>279</v>
      </c>
      <c r="L32">
        <f>MIN(SEARCH({0,1,2,3,4,5,6,7,8,9},K32&amp;"0123456789"))</f>
        <v>54</v>
      </c>
      <c r="M32" t="str">
        <f t="shared" si="7"/>
        <v>192442</v>
      </c>
      <c r="N32" s="70">
        <v>2925</v>
      </c>
      <c r="O32" s="71">
        <f t="shared" si="8"/>
        <v>2925</v>
      </c>
      <c r="AA32" t="str">
        <f t="shared" si="9"/>
        <v/>
      </c>
    </row>
    <row r="33" spans="1:27">
      <c r="A33" t="s">
        <v>206</v>
      </c>
      <c r="B33" s="54" t="str">
        <f t="shared" si="0"/>
        <v>6242R</v>
      </c>
      <c r="C33" t="str">
        <f>IFERROR(VLOOKUP(A33,Processor_DB_Intel!$A$1:'Processor_DB_Intel'!$D$422,4,FALSE),"")</f>
        <v/>
      </c>
      <c r="D33" t="str">
        <f>IFERROR(LEFT(VLOOKUP(A33,Processor_DB_Intel!$A$1:'Processor_DB_Intel'!$F$422,6,FALSE),3),"")</f>
        <v/>
      </c>
      <c r="E33" s="74">
        <f t="shared" si="1"/>
        <v>2529</v>
      </c>
      <c r="F33" s="56" t="str">
        <f t="shared" si="2"/>
        <v/>
      </c>
      <c r="G33" t="e">
        <f t="shared" si="3"/>
        <v>#VALUE!</v>
      </c>
      <c r="H33" t="e">
        <f t="shared" si="4"/>
        <v>#VALUE!</v>
      </c>
      <c r="I33" s="56" t="str">
        <f t="shared" si="5"/>
        <v/>
      </c>
      <c r="J33" s="58" t="str">
        <f t="shared" si="6"/>
        <v/>
      </c>
      <c r="K33" t="s">
        <v>318</v>
      </c>
      <c r="L33">
        <f>MIN(SEARCH({0,1,2,3,4,5,6,7,8,9},K33&amp;"0123456789"))</f>
        <v>54</v>
      </c>
      <c r="M33" t="str">
        <f t="shared" si="7"/>
        <v>199352</v>
      </c>
      <c r="N33" s="70">
        <v>2529</v>
      </c>
      <c r="O33" s="71">
        <f t="shared" si="8"/>
        <v>2529</v>
      </c>
      <c r="AA33" t="str">
        <f t="shared" si="9"/>
        <v/>
      </c>
    </row>
    <row r="34" spans="1:27">
      <c r="A34" t="s">
        <v>207</v>
      </c>
      <c r="B34" s="54" t="str">
        <f t="shared" si="0"/>
        <v>6242</v>
      </c>
      <c r="C34" t="str">
        <f>IFERROR(VLOOKUP(A34,Processor_DB_Intel!$A$1:'Processor_DB_Intel'!$D$422,4,FALSE),"")</f>
        <v/>
      </c>
      <c r="D34" t="str">
        <f>IFERROR(LEFT(VLOOKUP(A34,Processor_DB_Intel!$A$1:'Processor_DB_Intel'!$F$422,6,FALSE),3),"")</f>
        <v/>
      </c>
      <c r="E34" s="74" t="str">
        <f t="shared" si="1"/>
        <v>2537.00</v>
      </c>
      <c r="F34" s="56" t="str">
        <f t="shared" si="2"/>
        <v/>
      </c>
      <c r="G34" t="e">
        <f t="shared" si="3"/>
        <v>#VALUE!</v>
      </c>
      <c r="H34" t="e">
        <f t="shared" si="4"/>
        <v>#VALUE!</v>
      </c>
      <c r="I34" s="56" t="str">
        <f t="shared" si="5"/>
        <v/>
      </c>
      <c r="J34" s="58" t="str">
        <f t="shared" si="6"/>
        <v/>
      </c>
      <c r="K34" t="s">
        <v>280</v>
      </c>
      <c r="L34">
        <f>MIN(SEARCH({0,1,2,3,4,5,6,7,8,9},K34&amp;"0123456789"))</f>
        <v>54</v>
      </c>
      <c r="M34" t="str">
        <f t="shared" si="7"/>
        <v>192440</v>
      </c>
      <c r="N34" s="70" t="s">
        <v>345</v>
      </c>
      <c r="O34" s="71" t="str">
        <f t="shared" si="8"/>
        <v>2537.00</v>
      </c>
      <c r="AA34" t="str">
        <f t="shared" si="9"/>
        <v/>
      </c>
    </row>
    <row r="35" spans="1:27">
      <c r="A35" t="s">
        <v>208</v>
      </c>
      <c r="B35" s="54" t="str">
        <f t="shared" si="0"/>
        <v>6240Y</v>
      </c>
      <c r="C35" t="str">
        <f>IFERROR(VLOOKUP(A35,Processor_DB_Intel!$A$1:'Processor_DB_Intel'!$D$422,4,FALSE),"")</f>
        <v/>
      </c>
      <c r="D35" t="str">
        <f>IFERROR(LEFT(VLOOKUP(A35,Processor_DB_Intel!$A$1:'Processor_DB_Intel'!$F$422,6,FALSE),3),"")</f>
        <v/>
      </c>
      <c r="E35" s="74">
        <f t="shared" si="1"/>
        <v>2726</v>
      </c>
      <c r="F35" s="56" t="str">
        <f t="shared" si="2"/>
        <v/>
      </c>
      <c r="G35" t="e">
        <f t="shared" si="3"/>
        <v>#VALUE!</v>
      </c>
      <c r="H35" t="e">
        <f t="shared" si="4"/>
        <v>#VALUE!</v>
      </c>
      <c r="I35" s="56" t="str">
        <f t="shared" si="5"/>
        <v/>
      </c>
      <c r="J35" s="58" t="str">
        <f t="shared" si="6"/>
        <v/>
      </c>
      <c r="K35" t="s">
        <v>319</v>
      </c>
      <c r="L35">
        <f>MIN(SEARCH({0,1,2,3,4,5,6,7,8,9},K35&amp;"0123456789"))</f>
        <v>54</v>
      </c>
      <c r="M35" t="str">
        <f t="shared" si="7"/>
        <v>192448</v>
      </c>
      <c r="N35" s="70">
        <v>2726</v>
      </c>
      <c r="O35" s="71">
        <f t="shared" si="8"/>
        <v>2726</v>
      </c>
      <c r="AA35" t="str">
        <f t="shared" si="9"/>
        <v/>
      </c>
    </row>
    <row r="36" spans="1:27">
      <c r="A36" t="s">
        <v>209</v>
      </c>
      <c r="B36" s="54" t="str">
        <f t="shared" si="0"/>
        <v>6240R</v>
      </c>
      <c r="C36" t="str">
        <f>IFERROR(VLOOKUP(A36,Processor_DB_Intel!$A$1:'Processor_DB_Intel'!$D$422,4,FALSE),"")</f>
        <v/>
      </c>
      <c r="D36" t="str">
        <f>IFERROR(LEFT(VLOOKUP(A36,Processor_DB_Intel!$A$1:'Processor_DB_Intel'!$F$422,6,FALSE),3),"")</f>
        <v/>
      </c>
      <c r="E36" s="74" t="str">
        <f t="shared" si="1"/>
        <v>2205.00</v>
      </c>
      <c r="F36" s="56" t="str">
        <f t="shared" si="2"/>
        <v/>
      </c>
      <c r="G36" t="e">
        <f t="shared" si="3"/>
        <v>#VALUE!</v>
      </c>
      <c r="H36" t="e">
        <f t="shared" si="4"/>
        <v>#VALUE!</v>
      </c>
      <c r="I36" s="56" t="str">
        <f t="shared" si="5"/>
        <v/>
      </c>
      <c r="J36" s="58" t="str">
        <f t="shared" si="6"/>
        <v/>
      </c>
      <c r="K36" t="s">
        <v>281</v>
      </c>
      <c r="L36">
        <f>MIN(SEARCH({0,1,2,3,4,5,6,7,8,9},K36&amp;"0123456789"))</f>
        <v>54</v>
      </c>
      <c r="M36" t="str">
        <f t="shared" si="7"/>
        <v>199343</v>
      </c>
      <c r="N36" s="70" t="s">
        <v>346</v>
      </c>
      <c r="O36" s="71" t="str">
        <f t="shared" si="8"/>
        <v>2205.00</v>
      </c>
      <c r="AA36" t="str">
        <f t="shared" si="9"/>
        <v/>
      </c>
    </row>
    <row r="37" spans="1:27">
      <c r="A37" t="s">
        <v>210</v>
      </c>
      <c r="B37" s="54" t="str">
        <f t="shared" si="0"/>
        <v>6240L</v>
      </c>
      <c r="C37" t="str">
        <f>IFERROR(VLOOKUP(A37,Processor_DB_Intel!$A$1:'Processor_DB_Intel'!$D$422,4,FALSE),"")</f>
        <v/>
      </c>
      <c r="D37" t="str">
        <f>IFERROR(LEFT(VLOOKUP(A37,Processor_DB_Intel!$A$1:'Processor_DB_Intel'!$F$422,6,FALSE),3),"")</f>
        <v/>
      </c>
      <c r="E37" s="74" t="str">
        <f t="shared" si="1"/>
        <v>2451.00</v>
      </c>
      <c r="F37" s="56" t="str">
        <f t="shared" si="2"/>
        <v/>
      </c>
      <c r="G37" t="e">
        <f t="shared" si="3"/>
        <v>#VALUE!</v>
      </c>
      <c r="H37" t="e">
        <f t="shared" si="4"/>
        <v>#VALUE!</v>
      </c>
      <c r="I37" s="56" t="str">
        <f t="shared" si="5"/>
        <v/>
      </c>
      <c r="J37" s="58" t="str">
        <f t="shared" si="6"/>
        <v/>
      </c>
      <c r="K37" t="s">
        <v>282</v>
      </c>
      <c r="L37">
        <f>MIN(SEARCH({0,1,2,3,4,5,6,7,8,9},K37&amp;"0123456789"))</f>
        <v>54</v>
      </c>
      <c r="M37" t="str">
        <f t="shared" si="7"/>
        <v>192443</v>
      </c>
      <c r="N37" t="s">
        <v>347</v>
      </c>
      <c r="O37" s="71" t="str">
        <f t="shared" si="8"/>
        <v>2451.00</v>
      </c>
      <c r="AA37" t="str">
        <f t="shared" si="9"/>
        <v/>
      </c>
    </row>
    <row r="38" spans="1:27">
      <c r="A38" t="s">
        <v>211</v>
      </c>
      <c r="B38" s="54" t="str">
        <f t="shared" si="0"/>
        <v>6240</v>
      </c>
      <c r="C38" t="str">
        <f>IFERROR(VLOOKUP(A38,Processor_DB_Intel!$A$1:'Processor_DB_Intel'!$D$422,4,FALSE),"")</f>
        <v/>
      </c>
      <c r="D38" t="str">
        <f>IFERROR(LEFT(VLOOKUP(A38,Processor_DB_Intel!$A$1:'Processor_DB_Intel'!$F$422,6,FALSE),3),"")</f>
        <v/>
      </c>
      <c r="E38" s="74" t="str">
        <f t="shared" si="1"/>
        <v>2451.00</v>
      </c>
      <c r="F38" s="56" t="str">
        <f t="shared" si="2"/>
        <v/>
      </c>
      <c r="G38" t="e">
        <f t="shared" si="3"/>
        <v>#VALUE!</v>
      </c>
      <c r="H38" t="e">
        <f t="shared" si="4"/>
        <v>#VALUE!</v>
      </c>
      <c r="I38" s="56" t="str">
        <f t="shared" si="5"/>
        <v/>
      </c>
      <c r="J38" s="58" t="str">
        <f t="shared" si="6"/>
        <v/>
      </c>
      <c r="K38" t="s">
        <v>282</v>
      </c>
      <c r="L38">
        <f>MIN(SEARCH({0,1,2,3,4,5,6,7,8,9},K38&amp;"0123456789"))</f>
        <v>54</v>
      </c>
      <c r="M38" t="str">
        <f t="shared" si="7"/>
        <v>192443</v>
      </c>
      <c r="N38" s="70" t="s">
        <v>347</v>
      </c>
      <c r="O38" s="71" t="str">
        <f t="shared" si="8"/>
        <v>2451.00</v>
      </c>
      <c r="AA38" t="str">
        <f t="shared" si="9"/>
        <v/>
      </c>
    </row>
    <row r="39" spans="1:27">
      <c r="A39" t="s">
        <v>212</v>
      </c>
      <c r="B39" s="54" t="str">
        <f t="shared" si="0"/>
        <v>6238T</v>
      </c>
      <c r="C39" t="str">
        <f>IFERROR(VLOOKUP(A39,Processor_DB_Intel!$A$1:'Processor_DB_Intel'!$D$422,4,FALSE),"")</f>
        <v/>
      </c>
      <c r="D39" t="str">
        <f>IFERROR(LEFT(VLOOKUP(A39,Processor_DB_Intel!$A$1:'Processor_DB_Intel'!$F$422,6,FALSE),3),"")</f>
        <v/>
      </c>
      <c r="E39" s="74">
        <f t="shared" si="1"/>
        <v>2742</v>
      </c>
      <c r="F39" s="56" t="str">
        <f t="shared" si="2"/>
        <v/>
      </c>
      <c r="G39" t="e">
        <f t="shared" si="3"/>
        <v>#VALUE!</v>
      </c>
      <c r="H39" t="e">
        <f t="shared" si="4"/>
        <v>#VALUE!</v>
      </c>
      <c r="I39" s="56" t="str">
        <f t="shared" si="5"/>
        <v/>
      </c>
      <c r="J39" s="58" t="str">
        <f t="shared" si="6"/>
        <v/>
      </c>
      <c r="K39" t="s">
        <v>283</v>
      </c>
      <c r="L39">
        <f>MIN(SEARCH({0,1,2,3,4,5,6,7,8,9},K39&amp;"0123456789"))</f>
        <v>54</v>
      </c>
      <c r="M39" t="str">
        <f t="shared" si="7"/>
        <v>192439</v>
      </c>
      <c r="N39" s="70">
        <v>2742</v>
      </c>
      <c r="O39" s="71">
        <f t="shared" si="8"/>
        <v>2742</v>
      </c>
      <c r="AA39" t="str">
        <f t="shared" si="9"/>
        <v/>
      </c>
    </row>
    <row r="40" spans="1:27">
      <c r="A40" t="s">
        <v>213</v>
      </c>
      <c r="B40" s="54" t="str">
        <f t="shared" si="0"/>
        <v>6238R</v>
      </c>
      <c r="C40" t="str">
        <f>IFERROR(VLOOKUP(A40,Processor_DB_Intel!$A$1:'Processor_DB_Intel'!$D$422,4,FALSE),"")</f>
        <v/>
      </c>
      <c r="D40" t="str">
        <f>IFERROR(LEFT(VLOOKUP(A40,Processor_DB_Intel!$A$1:'Processor_DB_Intel'!$F$422,6,FALSE),3),"")</f>
        <v/>
      </c>
      <c r="E40" s="74" t="str">
        <f t="shared" si="1"/>
        <v>2618.00</v>
      </c>
      <c r="F40" s="56" t="str">
        <f t="shared" si="2"/>
        <v/>
      </c>
      <c r="G40" t="e">
        <f t="shared" si="3"/>
        <v>#VALUE!</v>
      </c>
      <c r="H40" t="e">
        <f t="shared" si="4"/>
        <v>#VALUE!</v>
      </c>
      <c r="I40" s="56" t="str">
        <f t="shared" si="5"/>
        <v/>
      </c>
      <c r="J40" s="58" t="str">
        <f t="shared" si="6"/>
        <v/>
      </c>
      <c r="K40" t="s">
        <v>284</v>
      </c>
      <c r="L40">
        <f>MIN(SEARCH({0,1,2,3,4,5,6,7,8,9},K40&amp;"0123456789"))</f>
        <v>54</v>
      </c>
      <c r="M40" t="str">
        <f t="shared" si="7"/>
        <v>199345</v>
      </c>
      <c r="N40" t="s">
        <v>348</v>
      </c>
      <c r="O40" s="71" t="str">
        <f t="shared" si="8"/>
        <v>2618.00</v>
      </c>
      <c r="AA40" t="str">
        <f t="shared" si="9"/>
        <v/>
      </c>
    </row>
    <row r="41" spans="1:27">
      <c r="A41" t="s">
        <v>214</v>
      </c>
      <c r="B41" s="54" t="str">
        <f t="shared" si="0"/>
        <v>6238L</v>
      </c>
      <c r="C41" t="str">
        <f>IFERROR(VLOOKUP(A41,Processor_DB_Intel!$A$1:'Processor_DB_Intel'!$D$422,4,FALSE),"")</f>
        <v/>
      </c>
      <c r="D41" t="str">
        <f>IFERROR(LEFT(VLOOKUP(A41,Processor_DB_Intel!$A$1:'Processor_DB_Intel'!$F$422,6,FALSE),3),"")</f>
        <v/>
      </c>
      <c r="E41" s="74">
        <f t="shared" si="1"/>
        <v>5615</v>
      </c>
      <c r="F41" s="56" t="str">
        <f t="shared" si="2"/>
        <v/>
      </c>
      <c r="G41" t="e">
        <f t="shared" si="3"/>
        <v>#VALUE!</v>
      </c>
      <c r="H41" t="e">
        <f t="shared" si="4"/>
        <v>#VALUE!</v>
      </c>
      <c r="I41" s="56" t="str">
        <f t="shared" si="5"/>
        <v/>
      </c>
      <c r="J41" s="58" t="str">
        <f t="shared" si="6"/>
        <v/>
      </c>
      <c r="K41" t="s">
        <v>285</v>
      </c>
      <c r="L41">
        <f>MIN(SEARCH({0,1,2,3,4,5,6,7,8,9},K41&amp;"0123456789"))</f>
        <v>54</v>
      </c>
      <c r="M41" t="str">
        <f t="shared" si="7"/>
        <v>193958</v>
      </c>
      <c r="N41" s="70">
        <v>5615</v>
      </c>
      <c r="O41" s="71">
        <f t="shared" si="8"/>
        <v>5615</v>
      </c>
      <c r="AA41" t="str">
        <f t="shared" si="9"/>
        <v/>
      </c>
    </row>
    <row r="42" spans="1:27">
      <c r="A42" t="s">
        <v>215</v>
      </c>
      <c r="B42" s="54" t="str">
        <f t="shared" si="0"/>
        <v>6238</v>
      </c>
      <c r="C42" t="str">
        <f>IFERROR(VLOOKUP(A42,Processor_DB_Intel!$A$1:'Processor_DB_Intel'!$D$422,4,FALSE),"")</f>
        <v/>
      </c>
      <c r="D42" t="str">
        <f>IFERROR(LEFT(VLOOKUP(A42,Processor_DB_Intel!$A$1:'Processor_DB_Intel'!$F$422,6,FALSE),3),"")</f>
        <v/>
      </c>
      <c r="E42" s="74" t="str">
        <f t="shared" si="1"/>
        <v>2618.00</v>
      </c>
      <c r="F42" s="56" t="str">
        <f t="shared" si="2"/>
        <v/>
      </c>
      <c r="G42" t="e">
        <f t="shared" si="3"/>
        <v>#VALUE!</v>
      </c>
      <c r="H42" t="e">
        <f t="shared" si="4"/>
        <v>#VALUE!</v>
      </c>
      <c r="I42" s="56" t="str">
        <f t="shared" si="5"/>
        <v/>
      </c>
      <c r="J42" s="58" t="str">
        <f t="shared" si="6"/>
        <v/>
      </c>
      <c r="K42" t="s">
        <v>286</v>
      </c>
      <c r="L42">
        <f>MIN(SEARCH({0,1,2,3,4,5,6,7,8,9},K42&amp;"0123456789"))</f>
        <v>54</v>
      </c>
      <c r="M42" t="str">
        <f t="shared" si="7"/>
        <v>193949</v>
      </c>
      <c r="N42" t="s">
        <v>348</v>
      </c>
      <c r="O42" s="71" t="str">
        <f t="shared" si="8"/>
        <v>2618.00</v>
      </c>
      <c r="AA42" t="str">
        <f t="shared" si="9"/>
        <v/>
      </c>
    </row>
    <row r="43" spans="1:27">
      <c r="A43" t="s">
        <v>216</v>
      </c>
      <c r="B43" s="54" t="str">
        <f t="shared" si="0"/>
        <v>6234</v>
      </c>
      <c r="C43" t="str">
        <f>IFERROR(VLOOKUP(A43,Processor_DB_Intel!$A$1:'Processor_DB_Intel'!$D$422,4,FALSE),"")</f>
        <v/>
      </c>
      <c r="D43" t="str">
        <f>IFERROR(LEFT(VLOOKUP(A43,Processor_DB_Intel!$A$1:'Processor_DB_Intel'!$F$422,6,FALSE),3),"")</f>
        <v/>
      </c>
      <c r="E43" s="74" t="str">
        <f t="shared" si="1"/>
        <v>2220.00</v>
      </c>
      <c r="F43" s="56" t="str">
        <f t="shared" si="2"/>
        <v/>
      </c>
      <c r="G43" t="e">
        <f t="shared" si="3"/>
        <v>#VALUE!</v>
      </c>
      <c r="H43" t="e">
        <f t="shared" si="4"/>
        <v>#VALUE!</v>
      </c>
      <c r="I43" s="56" t="str">
        <f t="shared" si="5"/>
        <v/>
      </c>
      <c r="J43" s="58" t="str">
        <f t="shared" si="6"/>
        <v/>
      </c>
      <c r="K43" t="s">
        <v>287</v>
      </c>
      <c r="L43">
        <f>MIN(SEARCH({0,1,2,3,4,5,6,7,8,9},K43&amp;"0123456789"))</f>
        <v>54</v>
      </c>
      <c r="M43" t="str">
        <f t="shared" si="7"/>
        <v>193954</v>
      </c>
      <c r="N43" s="70" t="s">
        <v>349</v>
      </c>
      <c r="O43" s="71" t="str">
        <f t="shared" si="8"/>
        <v>2220.00</v>
      </c>
      <c r="AA43" t="str">
        <f t="shared" si="9"/>
        <v/>
      </c>
    </row>
    <row r="44" spans="1:27">
      <c r="A44" t="s">
        <v>217</v>
      </c>
      <c r="B44" s="54" t="str">
        <f t="shared" si="0"/>
        <v>6230T</v>
      </c>
      <c r="C44" t="str">
        <f>IFERROR(VLOOKUP(A44,Processor_DB_Intel!$A$1:'Processor_DB_Intel'!$D$422,4,FALSE),"")</f>
        <v/>
      </c>
      <c r="D44" t="str">
        <f>IFERROR(LEFT(VLOOKUP(A44,Processor_DB_Intel!$A$1:'Processor_DB_Intel'!$F$422,6,FALSE),3),"")</f>
        <v/>
      </c>
      <c r="E44" s="74" t="str">
        <f t="shared" si="1"/>
        <v>1900.00</v>
      </c>
      <c r="F44" s="56" t="str">
        <f t="shared" si="2"/>
        <v/>
      </c>
      <c r="G44" t="e">
        <f t="shared" si="3"/>
        <v>#VALUE!</v>
      </c>
      <c r="H44" t="e">
        <f t="shared" si="4"/>
        <v>#VALUE!</v>
      </c>
      <c r="I44" s="56" t="str">
        <f t="shared" si="5"/>
        <v/>
      </c>
      <c r="J44" s="58" t="str">
        <f t="shared" si="6"/>
        <v/>
      </c>
      <c r="K44" t="s">
        <v>288</v>
      </c>
      <c r="L44">
        <f>MIN(SEARCH({0,1,2,3,4,5,6,7,8,9},K44&amp;"0123456789"))</f>
        <v>54</v>
      </c>
      <c r="M44" t="str">
        <f t="shared" si="7"/>
        <v>192437</v>
      </c>
      <c r="N44" t="s">
        <v>350</v>
      </c>
      <c r="O44" s="71" t="str">
        <f t="shared" si="8"/>
        <v>1900.00</v>
      </c>
      <c r="AA44" t="str">
        <f t="shared" si="9"/>
        <v/>
      </c>
    </row>
    <row r="45" spans="1:27">
      <c r="A45" t="s">
        <v>219</v>
      </c>
      <c r="B45" s="54" t="str">
        <f t="shared" si="0"/>
        <v>6230R</v>
      </c>
      <c r="C45" t="str">
        <f>IFERROR(VLOOKUP(A45,Processor_DB_Intel!$A$1:'Processor_DB_Intel'!$D$422,4,FALSE),"")</f>
        <v/>
      </c>
      <c r="D45" t="str">
        <f>IFERROR(LEFT(VLOOKUP(A45,Processor_DB_Intel!$A$1:'Processor_DB_Intel'!$F$422,6,FALSE),3),"")</f>
        <v/>
      </c>
      <c r="E45" s="74" t="str">
        <f t="shared" si="1"/>
        <v>1900.00</v>
      </c>
      <c r="F45" s="56" t="str">
        <f t="shared" si="2"/>
        <v/>
      </c>
      <c r="G45" t="e">
        <f t="shared" si="3"/>
        <v>#VALUE!</v>
      </c>
      <c r="H45" t="e">
        <f t="shared" si="4"/>
        <v>#VALUE!</v>
      </c>
      <c r="I45" s="56" t="str">
        <f t="shared" si="5"/>
        <v/>
      </c>
      <c r="J45" s="58" t="str">
        <f t="shared" si="6"/>
        <v/>
      </c>
      <c r="K45" t="s">
        <v>290</v>
      </c>
      <c r="L45">
        <f>MIN(SEARCH({0,1,2,3,4,5,6,7,8,9},K45&amp;"0123456789"))</f>
        <v>54</v>
      </c>
      <c r="M45" t="str">
        <f t="shared" si="7"/>
        <v>199346</v>
      </c>
      <c r="N45" s="70" t="s">
        <v>350</v>
      </c>
      <c r="O45" s="71" t="str">
        <f t="shared" si="8"/>
        <v>1900.00</v>
      </c>
      <c r="AA45" t="str">
        <f t="shared" si="9"/>
        <v/>
      </c>
    </row>
    <row r="46" spans="1:27">
      <c r="A46" t="s">
        <v>218</v>
      </c>
      <c r="B46" s="54" t="str">
        <f t="shared" si="0"/>
        <v>6230N</v>
      </c>
      <c r="C46" t="str">
        <f>IFERROR(VLOOKUP(A46,Processor_DB_Intel!$A$1:'Processor_DB_Intel'!$D$422,4,FALSE),"")</f>
        <v/>
      </c>
      <c r="D46" t="str">
        <f>IFERROR(LEFT(VLOOKUP(A46,Processor_DB_Intel!$A$1:'Processor_DB_Intel'!$F$422,6,FALSE),3),"")</f>
        <v/>
      </c>
      <c r="E46" s="74">
        <f t="shared" si="1"/>
        <v>1452</v>
      </c>
      <c r="F46" s="56" t="str">
        <f t="shared" si="2"/>
        <v/>
      </c>
      <c r="G46" t="e">
        <f t="shared" si="3"/>
        <v>#VALUE!</v>
      </c>
      <c r="H46" t="e">
        <f t="shared" si="4"/>
        <v>#VALUE!</v>
      </c>
      <c r="I46" s="56" t="str">
        <f t="shared" si="5"/>
        <v/>
      </c>
      <c r="J46" s="58" t="str">
        <f t="shared" si="6"/>
        <v/>
      </c>
      <c r="K46" t="s">
        <v>289</v>
      </c>
      <c r="L46">
        <f>MIN(SEARCH({0,1,2,3,4,5,6,7,8,9},K46&amp;"0123456789"))</f>
        <v>54</v>
      </c>
      <c r="M46" t="str">
        <f t="shared" si="7"/>
        <v>192450</v>
      </c>
      <c r="N46" s="70">
        <v>1452</v>
      </c>
      <c r="O46" s="71">
        <f t="shared" si="8"/>
        <v>1452</v>
      </c>
      <c r="AA46" t="str">
        <f t="shared" si="9"/>
        <v/>
      </c>
    </row>
    <row r="47" spans="1:27">
      <c r="A47" t="s">
        <v>220</v>
      </c>
      <c r="B47" s="54" t="str">
        <f t="shared" si="0"/>
        <v>6230</v>
      </c>
      <c r="C47" t="str">
        <f>IFERROR(VLOOKUP(A47,Processor_DB_Intel!$A$1:'Processor_DB_Intel'!$D$422,4,FALSE),"")</f>
        <v/>
      </c>
      <c r="D47" t="str">
        <f>IFERROR(LEFT(VLOOKUP(A47,Processor_DB_Intel!$A$1:'Processor_DB_Intel'!$F$422,6,FALSE),3),"")</f>
        <v/>
      </c>
      <c r="E47" s="74" t="str">
        <f t="shared" si="1"/>
        <v>1900.00</v>
      </c>
      <c r="F47" s="56" t="str">
        <f t="shared" si="2"/>
        <v/>
      </c>
      <c r="G47" t="e">
        <f t="shared" si="3"/>
        <v>#VALUE!</v>
      </c>
      <c r="H47" t="e">
        <f t="shared" si="4"/>
        <v>#VALUE!</v>
      </c>
      <c r="I47" s="56" t="str">
        <f t="shared" si="5"/>
        <v/>
      </c>
      <c r="J47" s="58" t="str">
        <f t="shared" si="6"/>
        <v/>
      </c>
      <c r="K47" t="s">
        <v>288</v>
      </c>
      <c r="L47">
        <f>MIN(SEARCH({0,1,2,3,4,5,6,7,8,9},K47&amp;"0123456789"))</f>
        <v>54</v>
      </c>
      <c r="M47" t="str">
        <f t="shared" si="7"/>
        <v>192437</v>
      </c>
      <c r="N47" t="s">
        <v>350</v>
      </c>
      <c r="O47" s="71" t="str">
        <f t="shared" si="8"/>
        <v>1900.00</v>
      </c>
      <c r="AA47" t="str">
        <f t="shared" si="9"/>
        <v/>
      </c>
    </row>
    <row r="48" spans="1:27">
      <c r="A48" t="s">
        <v>221</v>
      </c>
      <c r="B48" s="54" t="str">
        <f t="shared" si="0"/>
        <v>6226R</v>
      </c>
      <c r="C48" t="str">
        <f>IFERROR(VLOOKUP(A48,Processor_DB_Intel!$A$1:'Processor_DB_Intel'!$D$422,4,FALSE),"")</f>
        <v/>
      </c>
      <c r="D48" t="str">
        <f>IFERROR(LEFT(VLOOKUP(A48,Processor_DB_Intel!$A$1:'Processor_DB_Intel'!$F$422,6,FALSE),3),"")</f>
        <v/>
      </c>
      <c r="E48" s="74" t="str">
        <f t="shared" si="1"/>
        <v>1306.00</v>
      </c>
      <c r="F48" s="56" t="str">
        <f t="shared" si="2"/>
        <v/>
      </c>
      <c r="G48" t="e">
        <f t="shared" si="3"/>
        <v>#VALUE!</v>
      </c>
      <c r="H48" t="e">
        <f t="shared" si="4"/>
        <v>#VALUE!</v>
      </c>
      <c r="I48" s="56" t="str">
        <f t="shared" si="5"/>
        <v/>
      </c>
      <c r="J48" s="58" t="str">
        <f t="shared" si="6"/>
        <v/>
      </c>
      <c r="K48" t="s">
        <v>291</v>
      </c>
      <c r="L48">
        <f>MIN(SEARCH({0,1,2,3,4,5,6,7,8,9},K48&amp;"0123456789"))</f>
        <v>54</v>
      </c>
      <c r="M48" t="str">
        <f t="shared" si="7"/>
        <v>199347</v>
      </c>
      <c r="N48" t="s">
        <v>351</v>
      </c>
      <c r="O48" s="71" t="str">
        <f t="shared" si="8"/>
        <v>1306.00</v>
      </c>
      <c r="AA48" t="str">
        <f t="shared" si="9"/>
        <v/>
      </c>
    </row>
    <row r="49" spans="1:27">
      <c r="A49" t="s">
        <v>222</v>
      </c>
      <c r="B49" s="54" t="str">
        <f t="shared" si="0"/>
        <v>6226</v>
      </c>
      <c r="C49" t="str">
        <f>IFERROR(VLOOKUP(A49,Processor_DB_Intel!$A$1:'Processor_DB_Intel'!$D$422,4,FALSE),"")</f>
        <v/>
      </c>
      <c r="D49" t="str">
        <f>IFERROR(LEFT(VLOOKUP(A49,Processor_DB_Intel!$A$1:'Processor_DB_Intel'!$F$422,6,FALSE),3),"")</f>
        <v/>
      </c>
      <c r="E49" s="74">
        <f t="shared" si="1"/>
        <v>1776</v>
      </c>
      <c r="F49" s="56" t="str">
        <f t="shared" si="2"/>
        <v/>
      </c>
      <c r="G49" t="e">
        <f t="shared" si="3"/>
        <v>#VALUE!</v>
      </c>
      <c r="H49" t="e">
        <f t="shared" si="4"/>
        <v>#VALUE!</v>
      </c>
      <c r="I49" s="56" t="str">
        <f t="shared" si="5"/>
        <v/>
      </c>
      <c r="J49" s="58" t="str">
        <f t="shared" si="6"/>
        <v/>
      </c>
      <c r="K49" t="s">
        <v>292</v>
      </c>
      <c r="L49">
        <f>MIN(SEARCH({0,1,2,3,4,5,6,7,8,9},K49&amp;"0123456789"))</f>
        <v>54</v>
      </c>
      <c r="M49" t="str">
        <f t="shared" si="7"/>
        <v>193957</v>
      </c>
      <c r="N49" s="70">
        <v>1776</v>
      </c>
      <c r="O49" s="71">
        <f t="shared" si="8"/>
        <v>1776</v>
      </c>
      <c r="AA49" t="str">
        <f t="shared" si="9"/>
        <v/>
      </c>
    </row>
    <row r="50" spans="1:27">
      <c r="A50" t="s">
        <v>223</v>
      </c>
      <c r="B50" s="54" t="str">
        <f t="shared" si="0"/>
        <v>6222V</v>
      </c>
      <c r="C50" t="str">
        <f>IFERROR(VLOOKUP(A50,Processor_DB_Intel!$A$1:'Processor_DB_Intel'!$D$422,4,FALSE),"")</f>
        <v/>
      </c>
      <c r="D50" t="str">
        <f>IFERROR(LEFT(VLOOKUP(A50,Processor_DB_Intel!$A$1:'Processor_DB_Intel'!$F$422,6,FALSE),3),"")</f>
        <v/>
      </c>
      <c r="E50" s="74">
        <f t="shared" si="1"/>
        <v>1600</v>
      </c>
      <c r="F50" s="56" t="str">
        <f t="shared" si="2"/>
        <v/>
      </c>
      <c r="G50" t="e">
        <f t="shared" si="3"/>
        <v>#VALUE!</v>
      </c>
      <c r="H50" t="e">
        <f t="shared" si="4"/>
        <v>#VALUE!</v>
      </c>
      <c r="I50" s="56" t="str">
        <f t="shared" si="5"/>
        <v/>
      </c>
      <c r="J50" s="58" t="str">
        <f t="shared" si="6"/>
        <v/>
      </c>
      <c r="K50" t="s">
        <v>293</v>
      </c>
      <c r="L50">
        <f>MIN(SEARCH({0,1,2,3,4,5,6,7,8,9},K50&amp;"0123456789"))</f>
        <v>54</v>
      </c>
      <c r="M50" t="str">
        <f t="shared" si="7"/>
        <v>193962</v>
      </c>
      <c r="N50" s="70">
        <v>1600</v>
      </c>
      <c r="O50" s="71">
        <f t="shared" si="8"/>
        <v>1600</v>
      </c>
      <c r="AA50" t="str">
        <f t="shared" si="9"/>
        <v/>
      </c>
    </row>
    <row r="51" spans="1:27">
      <c r="A51" t="s">
        <v>224</v>
      </c>
      <c r="B51" s="54" t="str">
        <f t="shared" si="0"/>
        <v>6208U</v>
      </c>
      <c r="C51" t="str">
        <f>IFERROR(VLOOKUP(A51,Processor_DB_Intel!$A$1:'Processor_DB_Intel'!$D$422,4,FALSE),"")</f>
        <v/>
      </c>
      <c r="D51" t="str">
        <f>IFERROR(LEFT(VLOOKUP(A51,Processor_DB_Intel!$A$1:'Processor_DB_Intel'!$F$422,6,FALSE),3),"")</f>
        <v/>
      </c>
      <c r="E51" s="74">
        <f t="shared" si="1"/>
        <v>989</v>
      </c>
      <c r="F51" s="56" t="str">
        <f t="shared" si="2"/>
        <v/>
      </c>
      <c r="G51" t="e">
        <f t="shared" si="3"/>
        <v>#VALUE!</v>
      </c>
      <c r="H51" t="e">
        <f t="shared" si="4"/>
        <v>#VALUE!</v>
      </c>
      <c r="I51" s="56" t="str">
        <f t="shared" si="5"/>
        <v/>
      </c>
      <c r="J51" s="58" t="str">
        <f t="shared" si="6"/>
        <v/>
      </c>
      <c r="K51" t="s">
        <v>294</v>
      </c>
      <c r="L51">
        <f>MIN(SEARCH({0,1,2,3,4,5,6,7,8,9},K51&amp;"0123456789"))</f>
        <v>54</v>
      </c>
      <c r="M51" t="str">
        <f t="shared" si="7"/>
        <v>199348</v>
      </c>
      <c r="N51" s="70">
        <v>989</v>
      </c>
      <c r="O51" s="71">
        <f t="shared" si="8"/>
        <v>989</v>
      </c>
      <c r="AA51" t="str">
        <f t="shared" si="9"/>
        <v/>
      </c>
    </row>
    <row r="52" spans="1:27">
      <c r="A52" t="s">
        <v>225</v>
      </c>
      <c r="B52" s="54" t="str">
        <f t="shared" si="0"/>
        <v>5222</v>
      </c>
      <c r="C52" t="str">
        <f>IFERROR(VLOOKUP(A52,Processor_DB_Intel!$A$1:'Processor_DB_Intel'!$D$422,4,FALSE),"")</f>
        <v/>
      </c>
      <c r="D52" t="str">
        <f>IFERROR(LEFT(VLOOKUP(A52,Processor_DB_Intel!$A$1:'Processor_DB_Intel'!$F$422,6,FALSE),3),"")</f>
        <v/>
      </c>
      <c r="E52" s="74">
        <f t="shared" si="1"/>
        <v>1221</v>
      </c>
      <c r="F52" s="56" t="str">
        <f t="shared" si="2"/>
        <v/>
      </c>
      <c r="G52" t="e">
        <f t="shared" si="3"/>
        <v>#VALUE!</v>
      </c>
      <c r="H52" t="e">
        <f t="shared" si="4"/>
        <v>#VALUE!</v>
      </c>
      <c r="I52" s="56" t="str">
        <f t="shared" si="5"/>
        <v/>
      </c>
      <c r="J52" s="58" t="str">
        <f t="shared" si="6"/>
        <v/>
      </c>
      <c r="K52" t="s">
        <v>295</v>
      </c>
      <c r="L52">
        <f>MIN(SEARCH({0,1,2,3,4,5,6,7,8,9},K52&amp;"0123456789"))</f>
        <v>54</v>
      </c>
      <c r="M52" t="str">
        <f t="shared" si="7"/>
        <v>192445</v>
      </c>
      <c r="N52" s="70">
        <v>1221</v>
      </c>
      <c r="O52" s="71">
        <f t="shared" si="8"/>
        <v>1221</v>
      </c>
      <c r="AA52" t="str">
        <f t="shared" si="9"/>
        <v/>
      </c>
    </row>
    <row r="53" spans="1:27">
      <c r="A53" t="s">
        <v>226</v>
      </c>
      <c r="B53" s="54" t="str">
        <f t="shared" si="0"/>
        <v>5220T</v>
      </c>
      <c r="C53" t="str">
        <f>IFERROR(VLOOKUP(A53,Processor_DB_Intel!$A$1:'Processor_DB_Intel'!$D$422,4,FALSE),"")</f>
        <v/>
      </c>
      <c r="D53" t="str">
        <f>IFERROR(LEFT(VLOOKUP(A53,Processor_DB_Intel!$A$1:'Processor_DB_Intel'!$F$422,6,FALSE),3),"")</f>
        <v/>
      </c>
      <c r="E53" s="74" t="str">
        <f t="shared" si="1"/>
        <v>1561.00</v>
      </c>
      <c r="F53" s="56" t="str">
        <f t="shared" si="2"/>
        <v/>
      </c>
      <c r="G53" t="e">
        <f t="shared" si="3"/>
        <v>#VALUE!</v>
      </c>
      <c r="H53" t="e">
        <f t="shared" si="4"/>
        <v>#VALUE!</v>
      </c>
      <c r="I53" s="56" t="str">
        <f t="shared" si="5"/>
        <v/>
      </c>
      <c r="J53" s="58" t="str">
        <f t="shared" si="6"/>
        <v/>
      </c>
      <c r="K53" t="s">
        <v>296</v>
      </c>
      <c r="L53">
        <f>MIN(SEARCH({0,1,2,3,4,5,6,7,8,9},K53&amp;"0123456789"))</f>
        <v>54</v>
      </c>
      <c r="M53" t="str">
        <f t="shared" si="7"/>
        <v>193388</v>
      </c>
      <c r="N53" t="s">
        <v>352</v>
      </c>
      <c r="O53" s="71" t="str">
        <f t="shared" si="8"/>
        <v>1561.00</v>
      </c>
      <c r="AA53" t="str">
        <f t="shared" si="9"/>
        <v/>
      </c>
    </row>
    <row r="54" spans="1:27">
      <c r="A54" t="s">
        <v>227</v>
      </c>
      <c r="B54" s="54" t="str">
        <f t="shared" si="0"/>
        <v>5220S</v>
      </c>
      <c r="C54" t="str">
        <f>IFERROR(VLOOKUP(A54,Processor_DB_Intel!$A$1:'Processor_DB_Intel'!$D$422,4,FALSE),"")</f>
        <v/>
      </c>
      <c r="D54" t="str">
        <f>IFERROR(LEFT(VLOOKUP(A54,Processor_DB_Intel!$A$1:'Processor_DB_Intel'!$F$422,6,FALSE),3),"")</f>
        <v/>
      </c>
      <c r="E54" s="74">
        <f t="shared" si="1"/>
        <v>2000</v>
      </c>
      <c r="F54" s="56" t="str">
        <f t="shared" si="2"/>
        <v/>
      </c>
      <c r="G54" t="e">
        <f t="shared" si="3"/>
        <v>#VALUE!</v>
      </c>
      <c r="H54" t="e">
        <f t="shared" si="4"/>
        <v>#VALUE!</v>
      </c>
      <c r="I54" s="56" t="str">
        <f t="shared" si="5"/>
        <v/>
      </c>
      <c r="J54" s="58" t="str">
        <f t="shared" si="6"/>
        <v/>
      </c>
      <c r="K54" t="s">
        <v>297</v>
      </c>
      <c r="L54">
        <f>MIN(SEARCH({0,1,2,3,4,5,6,7,8,9},K54&amp;"0123456789"))</f>
        <v>54</v>
      </c>
      <c r="M54" t="str">
        <f t="shared" si="7"/>
        <v>193950</v>
      </c>
      <c r="N54" s="70">
        <v>2000</v>
      </c>
      <c r="O54" s="71">
        <f t="shared" si="8"/>
        <v>2000</v>
      </c>
      <c r="AA54" t="str">
        <f t="shared" si="9"/>
        <v/>
      </c>
    </row>
    <row r="55" spans="1:27">
      <c r="A55" t="s">
        <v>228</v>
      </c>
      <c r="B55" s="54" t="str">
        <f t="shared" si="0"/>
        <v>5220R</v>
      </c>
      <c r="C55" t="str">
        <f>IFERROR(VLOOKUP(A55,Processor_DB_Intel!$A$1:'Processor_DB_Intel'!$D$422,4,FALSE),"")</f>
        <v/>
      </c>
      <c r="D55" t="str">
        <f>IFERROR(LEFT(VLOOKUP(A55,Processor_DB_Intel!$A$1:'Processor_DB_Intel'!$F$422,6,FALSE),3),"")</f>
        <v/>
      </c>
      <c r="E55" s="74" t="str">
        <f t="shared" si="1"/>
        <v>1561.00</v>
      </c>
      <c r="F55" s="56" t="str">
        <f t="shared" si="2"/>
        <v/>
      </c>
      <c r="G55" t="e">
        <f t="shared" si="3"/>
        <v>#VALUE!</v>
      </c>
      <c r="H55" t="e">
        <f t="shared" si="4"/>
        <v>#VALUE!</v>
      </c>
      <c r="I55" s="56" t="str">
        <f t="shared" si="5"/>
        <v/>
      </c>
      <c r="J55" s="58" t="str">
        <f t="shared" si="6"/>
        <v/>
      </c>
      <c r="K55" t="s">
        <v>298</v>
      </c>
      <c r="L55">
        <f>MIN(SEARCH({0,1,2,3,4,5,6,7,8,9},K55&amp;"0123456789"))</f>
        <v>54</v>
      </c>
      <c r="M55" t="str">
        <f t="shared" si="7"/>
        <v>199354</v>
      </c>
      <c r="N55" s="70" t="s">
        <v>352</v>
      </c>
      <c r="O55" s="71" t="str">
        <f t="shared" si="8"/>
        <v>1561.00</v>
      </c>
      <c r="AA55" t="str">
        <f t="shared" si="9"/>
        <v/>
      </c>
    </row>
    <row r="56" spans="1:27">
      <c r="A56" t="s">
        <v>229</v>
      </c>
      <c r="B56" s="54" t="str">
        <f t="shared" si="0"/>
        <v>5220</v>
      </c>
      <c r="C56" t="str">
        <f>IFERROR(VLOOKUP(A56,Processor_DB_Intel!$A$1:'Processor_DB_Intel'!$D$422,4,FALSE),"")</f>
        <v/>
      </c>
      <c r="D56" t="str">
        <f>IFERROR(LEFT(VLOOKUP(A56,Processor_DB_Intel!$A$1:'Processor_DB_Intel'!$F$422,6,FALSE),3),"")</f>
        <v/>
      </c>
      <c r="E56" s="74" t="str">
        <f t="shared" si="1"/>
        <v>1561.00</v>
      </c>
      <c r="F56" s="56" t="str">
        <f t="shared" si="2"/>
        <v/>
      </c>
      <c r="G56" t="e">
        <f t="shared" si="3"/>
        <v>#VALUE!</v>
      </c>
      <c r="H56" t="e">
        <f t="shared" si="4"/>
        <v>#VALUE!</v>
      </c>
      <c r="I56" s="56" t="str">
        <f t="shared" si="5"/>
        <v/>
      </c>
      <c r="J56" s="58" t="str">
        <f t="shared" si="6"/>
        <v/>
      </c>
      <c r="K56" t="s">
        <v>296</v>
      </c>
      <c r="L56">
        <f>MIN(SEARCH({0,1,2,3,4,5,6,7,8,9},K56&amp;"0123456789"))</f>
        <v>54</v>
      </c>
      <c r="M56" t="str">
        <f t="shared" si="7"/>
        <v>193388</v>
      </c>
      <c r="N56" s="70" t="s">
        <v>352</v>
      </c>
      <c r="O56" s="71" t="str">
        <f t="shared" si="8"/>
        <v>1561.00</v>
      </c>
      <c r="AA56" t="str">
        <f t="shared" si="9"/>
        <v/>
      </c>
    </row>
    <row r="57" spans="1:27">
      <c r="A57" t="s">
        <v>230</v>
      </c>
      <c r="B57" s="54" t="str">
        <f t="shared" si="0"/>
        <v>5218T</v>
      </c>
      <c r="C57" t="str">
        <f>IFERROR(VLOOKUP(A57,Processor_DB_Intel!$A$1:'Processor_DB_Intel'!$D$422,4,FALSE),"")</f>
        <v/>
      </c>
      <c r="D57" t="str">
        <f>IFERROR(LEFT(VLOOKUP(A57,Processor_DB_Intel!$A$1:'Processor_DB_Intel'!$F$422,6,FALSE),3),"")</f>
        <v/>
      </c>
      <c r="E57" s="74" t="str">
        <f t="shared" si="1"/>
        <v>1280.00</v>
      </c>
      <c r="F57" s="56" t="str">
        <f t="shared" si="2"/>
        <v/>
      </c>
      <c r="G57" t="e">
        <f t="shared" si="3"/>
        <v>#VALUE!</v>
      </c>
      <c r="H57" t="e">
        <f t="shared" si="4"/>
        <v>#VALUE!</v>
      </c>
      <c r="I57" s="56" t="str">
        <f t="shared" si="5"/>
        <v/>
      </c>
      <c r="J57" s="58" t="str">
        <f t="shared" si="6"/>
        <v/>
      </c>
      <c r="K57" t="s">
        <v>299</v>
      </c>
      <c r="L57">
        <f>MIN(SEARCH({0,1,2,3,4,5,6,7,8,9},K57&amp;"0123456789"))</f>
        <v>54</v>
      </c>
      <c r="M57" t="str">
        <f t="shared" si="7"/>
        <v>192444</v>
      </c>
      <c r="N57" s="70" t="s">
        <v>353</v>
      </c>
      <c r="O57" s="71" t="str">
        <f t="shared" si="8"/>
        <v>1280.00</v>
      </c>
      <c r="AA57" t="str">
        <f t="shared" si="9"/>
        <v/>
      </c>
    </row>
    <row r="58" spans="1:27">
      <c r="A58" t="s">
        <v>231</v>
      </c>
      <c r="B58" s="54" t="str">
        <f t="shared" si="0"/>
        <v>5218R</v>
      </c>
      <c r="C58" t="str">
        <f>IFERROR(VLOOKUP(A58,Processor_DB_Intel!$A$1:'Processor_DB_Intel'!$D$422,4,FALSE),"")</f>
        <v/>
      </c>
      <c r="D58" t="str">
        <f>IFERROR(LEFT(VLOOKUP(A58,Processor_DB_Intel!$A$1:'Processor_DB_Intel'!$F$422,6,FALSE),3),"")</f>
        <v/>
      </c>
      <c r="E58" s="74" t="str">
        <f t="shared" si="1"/>
        <v>1280.00</v>
      </c>
      <c r="F58" s="56" t="str">
        <f t="shared" si="2"/>
        <v/>
      </c>
      <c r="G58" t="e">
        <f t="shared" si="3"/>
        <v>#VALUE!</v>
      </c>
      <c r="H58" t="e">
        <f t="shared" si="4"/>
        <v>#VALUE!</v>
      </c>
      <c r="I58" s="56" t="str">
        <f t="shared" si="5"/>
        <v/>
      </c>
      <c r="J58" s="58" t="str">
        <f t="shared" si="6"/>
        <v/>
      </c>
      <c r="K58" t="s">
        <v>300</v>
      </c>
      <c r="L58">
        <f>MIN(SEARCH({0,1,2,3,4,5,6,7,8,9},K58&amp;"0123456789"))</f>
        <v>54</v>
      </c>
      <c r="M58" t="str">
        <f t="shared" si="7"/>
        <v>199342</v>
      </c>
      <c r="N58" t="s">
        <v>353</v>
      </c>
      <c r="O58" s="71" t="str">
        <f t="shared" si="8"/>
        <v>1280.00</v>
      </c>
      <c r="AA58" t="str">
        <f t="shared" si="9"/>
        <v/>
      </c>
    </row>
    <row r="59" spans="1:27">
      <c r="A59" t="s">
        <v>232</v>
      </c>
      <c r="B59" s="54" t="str">
        <f t="shared" si="0"/>
        <v>5218N</v>
      </c>
      <c r="C59" t="str">
        <f>IFERROR(VLOOKUP(A59,Processor_DB_Intel!$A$1:'Processor_DB_Intel'!$D$422,4,FALSE),"")</f>
        <v/>
      </c>
      <c r="D59" t="str">
        <f>IFERROR(LEFT(VLOOKUP(A59,Processor_DB_Intel!$A$1:'Processor_DB_Intel'!$F$422,6,FALSE),3),"")</f>
        <v/>
      </c>
      <c r="E59" s="74">
        <f t="shared" si="1"/>
        <v>1218</v>
      </c>
      <c r="F59" s="56" t="str">
        <f t="shared" si="2"/>
        <v/>
      </c>
      <c r="G59" t="e">
        <f t="shared" si="3"/>
        <v>#VALUE!</v>
      </c>
      <c r="H59" t="e">
        <f t="shared" si="4"/>
        <v>#VALUE!</v>
      </c>
      <c r="I59" s="56" t="str">
        <f t="shared" si="5"/>
        <v/>
      </c>
      <c r="J59" s="58" t="str">
        <f t="shared" si="6"/>
        <v/>
      </c>
      <c r="K59" t="s">
        <v>301</v>
      </c>
      <c r="L59">
        <f>MIN(SEARCH({0,1,2,3,4,5,6,7,8,9},K59&amp;"0123456789"))</f>
        <v>54</v>
      </c>
      <c r="M59" t="str">
        <f t="shared" si="7"/>
        <v>193397</v>
      </c>
      <c r="N59" s="70">
        <v>1218</v>
      </c>
      <c r="O59" s="71">
        <f t="shared" si="8"/>
        <v>1218</v>
      </c>
      <c r="AA59" t="str">
        <f t="shared" si="9"/>
        <v/>
      </c>
    </row>
    <row r="60" spans="1:27">
      <c r="A60" t="s">
        <v>233</v>
      </c>
      <c r="B60" s="54" t="str">
        <f t="shared" si="0"/>
        <v>5218B</v>
      </c>
      <c r="C60" t="str">
        <f>IFERROR(VLOOKUP(A60,Processor_DB_Intel!$A$1:'Processor_DB_Intel'!$D$422,4,FALSE),"")</f>
        <v/>
      </c>
      <c r="D60" t="str">
        <f>IFERROR(LEFT(VLOOKUP(A60,Processor_DB_Intel!$A$1:'Processor_DB_Intel'!$F$422,6,FALSE),3),"")</f>
        <v/>
      </c>
      <c r="E60" s="74">
        <f t="shared" si="1"/>
        <v>1273</v>
      </c>
      <c r="F60" s="56" t="str">
        <f t="shared" si="2"/>
        <v/>
      </c>
      <c r="G60" t="e">
        <f t="shared" si="3"/>
        <v>#VALUE!</v>
      </c>
      <c r="H60" t="e">
        <f t="shared" si="4"/>
        <v>#VALUE!</v>
      </c>
      <c r="I60" s="56" t="str">
        <f t="shared" si="5"/>
        <v/>
      </c>
      <c r="J60" s="58" t="str">
        <f t="shared" si="6"/>
        <v/>
      </c>
      <c r="K60" t="s">
        <v>302</v>
      </c>
      <c r="L60">
        <f>MIN(SEARCH({0,1,2,3,4,5,6,7,8,9},K60&amp;"0123456789"))</f>
        <v>54</v>
      </c>
      <c r="M60" t="str">
        <f t="shared" si="7"/>
        <v>193564</v>
      </c>
      <c r="N60" s="70">
        <v>1273</v>
      </c>
      <c r="O60" s="71">
        <f t="shared" si="8"/>
        <v>1273</v>
      </c>
      <c r="AA60" t="str">
        <f t="shared" si="9"/>
        <v/>
      </c>
    </row>
    <row r="61" spans="1:27">
      <c r="A61" t="s">
        <v>234</v>
      </c>
      <c r="B61" s="54" t="str">
        <f t="shared" si="0"/>
        <v>5218</v>
      </c>
      <c r="C61" t="str">
        <f>IFERROR(VLOOKUP(A61,Processor_DB_Intel!$A$1:'Processor_DB_Intel'!$D$422,4,FALSE),"")</f>
        <v/>
      </c>
      <c r="D61" t="str">
        <f>IFERROR(LEFT(VLOOKUP(A61,Processor_DB_Intel!$A$1:'Processor_DB_Intel'!$F$422,6,FALSE),3),"")</f>
        <v/>
      </c>
      <c r="E61" s="74" t="str">
        <f t="shared" si="1"/>
        <v>1280.00</v>
      </c>
      <c r="F61" s="56" t="str">
        <f t="shared" si="2"/>
        <v/>
      </c>
      <c r="G61" t="e">
        <f t="shared" si="3"/>
        <v>#VALUE!</v>
      </c>
      <c r="H61" t="e">
        <f t="shared" si="4"/>
        <v>#VALUE!</v>
      </c>
      <c r="I61" s="56" t="str">
        <f t="shared" si="5"/>
        <v/>
      </c>
      <c r="J61" s="58" t="str">
        <f t="shared" si="6"/>
        <v/>
      </c>
      <c r="K61" t="s">
        <v>299</v>
      </c>
      <c r="L61">
        <f>MIN(SEARCH({0,1,2,3,4,5,6,7,8,9},K61&amp;"0123456789"))</f>
        <v>54</v>
      </c>
      <c r="M61" t="str">
        <f t="shared" si="7"/>
        <v>192444</v>
      </c>
      <c r="N61" t="s">
        <v>353</v>
      </c>
      <c r="O61" s="71" t="str">
        <f t="shared" si="8"/>
        <v>1280.00</v>
      </c>
      <c r="AA61" t="str">
        <f t="shared" si="9"/>
        <v/>
      </c>
    </row>
    <row r="62" spans="1:27">
      <c r="A62" t="s">
        <v>235</v>
      </c>
      <c r="B62" s="54" t="str">
        <f t="shared" si="0"/>
        <v>5217</v>
      </c>
      <c r="C62" t="str">
        <f>IFERROR(VLOOKUP(A62,Processor_DB_Intel!$A$1:'Processor_DB_Intel'!$D$422,4,FALSE),"")</f>
        <v/>
      </c>
      <c r="D62" t="str">
        <f>IFERROR(LEFT(VLOOKUP(A62,Processor_DB_Intel!$A$1:'Processor_DB_Intel'!$F$422,6,FALSE),3),"")</f>
        <v/>
      </c>
      <c r="E62" s="74">
        <f t="shared" si="1"/>
        <v>1522</v>
      </c>
      <c r="F62" s="56" t="str">
        <f t="shared" si="2"/>
        <v/>
      </c>
      <c r="G62" t="e">
        <f t="shared" si="3"/>
        <v>#VALUE!</v>
      </c>
      <c r="H62" t="e">
        <f t="shared" si="4"/>
        <v>#VALUE!</v>
      </c>
      <c r="I62" s="56" t="str">
        <f t="shared" si="5"/>
        <v/>
      </c>
      <c r="J62" s="58" t="str">
        <f t="shared" si="6"/>
        <v/>
      </c>
      <c r="K62" t="s">
        <v>303</v>
      </c>
      <c r="L62">
        <f>MIN(SEARCH({0,1,2,3,4,5,6,7,8,9},K62&amp;"0123456789"))</f>
        <v>54</v>
      </c>
      <c r="M62" t="str">
        <f t="shared" si="7"/>
        <v>193396</v>
      </c>
      <c r="N62" s="70">
        <v>1522</v>
      </c>
      <c r="O62" s="71">
        <f t="shared" si="8"/>
        <v>1522</v>
      </c>
      <c r="AA62" t="str">
        <f t="shared" si="9"/>
        <v/>
      </c>
    </row>
    <row r="63" spans="1:27">
      <c r="A63" t="s">
        <v>236</v>
      </c>
      <c r="B63" s="54" t="str">
        <f t="shared" si="0"/>
        <v>5215L</v>
      </c>
      <c r="C63" t="str">
        <f>IFERROR(VLOOKUP(A63,Processor_DB_Intel!$A$1:'Processor_DB_Intel'!$D$422,4,FALSE),"")</f>
        <v/>
      </c>
      <c r="D63" t="str">
        <f>IFERROR(LEFT(VLOOKUP(A63,Processor_DB_Intel!$A$1:'Processor_DB_Intel'!$F$422,6,FALSE),3),"")</f>
        <v/>
      </c>
      <c r="E63" s="74">
        <f t="shared" si="1"/>
        <v>4224</v>
      </c>
      <c r="F63" s="56" t="str">
        <f t="shared" si="2"/>
        <v/>
      </c>
      <c r="G63" t="e">
        <f t="shared" si="3"/>
        <v>#VALUE!</v>
      </c>
      <c r="H63" t="e">
        <f t="shared" si="4"/>
        <v>#VALUE!</v>
      </c>
      <c r="I63" s="56" t="str">
        <f t="shared" si="5"/>
        <v/>
      </c>
      <c r="J63" s="58" t="str">
        <f t="shared" si="6"/>
        <v/>
      </c>
      <c r="K63" t="s">
        <v>304</v>
      </c>
      <c r="L63">
        <f>MIN(SEARCH({0,1,2,3,4,5,6,7,8,9},K63&amp;"0123456789"))</f>
        <v>54</v>
      </c>
      <c r="M63" t="str">
        <f t="shared" si="7"/>
        <v>193393</v>
      </c>
      <c r="N63" s="70">
        <v>4224</v>
      </c>
      <c r="O63" s="71">
        <f t="shared" si="8"/>
        <v>4224</v>
      </c>
      <c r="AA63" t="str">
        <f t="shared" si="9"/>
        <v/>
      </c>
    </row>
    <row r="64" spans="1:27">
      <c r="A64" t="s">
        <v>237</v>
      </c>
      <c r="B64" s="54" t="str">
        <f t="shared" si="0"/>
        <v>5215</v>
      </c>
      <c r="C64" t="str">
        <f>IFERROR(VLOOKUP(A64,Processor_DB_Intel!$A$1:'Processor_DB_Intel'!$D$422,4,FALSE),"")</f>
        <v/>
      </c>
      <c r="D64" t="str">
        <f>IFERROR(LEFT(VLOOKUP(A64,Processor_DB_Intel!$A$1:'Processor_DB_Intel'!$F$422,6,FALSE),3),"")</f>
        <v/>
      </c>
      <c r="E64" s="74">
        <f t="shared" si="1"/>
        <v>1221</v>
      </c>
      <c r="F64" s="56" t="str">
        <f t="shared" si="2"/>
        <v/>
      </c>
      <c r="G64" t="e">
        <f t="shared" si="3"/>
        <v>#VALUE!</v>
      </c>
      <c r="H64" t="e">
        <f t="shared" si="4"/>
        <v>#VALUE!</v>
      </c>
      <c r="I64" s="56" t="str">
        <f t="shared" si="5"/>
        <v/>
      </c>
      <c r="J64" s="58" t="str">
        <f t="shared" si="6"/>
        <v/>
      </c>
      <c r="K64" t="s">
        <v>305</v>
      </c>
      <c r="L64">
        <f>MIN(SEARCH({0,1,2,3,4,5,6,7,8,9},K64&amp;"0123456789"))</f>
        <v>54</v>
      </c>
      <c r="M64" t="str">
        <f t="shared" si="7"/>
        <v>193391</v>
      </c>
      <c r="N64" s="70">
        <v>1221</v>
      </c>
      <c r="O64" s="71">
        <f t="shared" si="8"/>
        <v>1221</v>
      </c>
      <c r="AA64" t="str">
        <f t="shared" si="9"/>
        <v/>
      </c>
    </row>
    <row r="65" spans="1:27">
      <c r="A65" t="s">
        <v>238</v>
      </c>
      <c r="B65" s="54" t="str">
        <f t="shared" si="0"/>
        <v>4216</v>
      </c>
      <c r="C65" t="str">
        <f>IFERROR(VLOOKUP(A65,Processor_DB_Intel!$A$1:'Processor_DB_Intel'!$D$422,4,FALSE),"")</f>
        <v/>
      </c>
      <c r="D65" t="str">
        <f>IFERROR(LEFT(VLOOKUP(A65,Processor_DB_Intel!$A$1:'Processor_DB_Intel'!$F$422,6,FALSE),3),"")</f>
        <v/>
      </c>
      <c r="E65" s="74">
        <f t="shared" si="1"/>
        <v>900</v>
      </c>
      <c r="F65" s="56" t="str">
        <f t="shared" si="2"/>
        <v/>
      </c>
      <c r="G65" t="e">
        <f t="shared" si="3"/>
        <v>#VALUE!</v>
      </c>
      <c r="H65" t="e">
        <f t="shared" si="4"/>
        <v>#VALUE!</v>
      </c>
      <c r="I65" s="56" t="str">
        <f t="shared" si="5"/>
        <v/>
      </c>
      <c r="J65" s="58" t="str">
        <f t="shared" si="6"/>
        <v/>
      </c>
      <c r="K65" t="s">
        <v>306</v>
      </c>
      <c r="L65">
        <f>MIN(SEARCH({0,1,2,3,4,5,6,7,8,9},K65&amp;"0123456789"))</f>
        <v>54</v>
      </c>
      <c r="M65" t="str">
        <f t="shared" si="7"/>
        <v>193394</v>
      </c>
      <c r="N65" s="70">
        <v>900</v>
      </c>
      <c r="O65" s="71">
        <f t="shared" si="8"/>
        <v>900</v>
      </c>
      <c r="AA65" t="str">
        <f t="shared" si="9"/>
        <v/>
      </c>
    </row>
    <row r="66" spans="1:27">
      <c r="A66" t="s">
        <v>239</v>
      </c>
      <c r="B66" s="54" t="str">
        <f t="shared" si="0"/>
        <v>4215R</v>
      </c>
      <c r="C66" t="str">
        <f>IFERROR(VLOOKUP(A66,Processor_DB_Intel!$A$1:'Processor_DB_Intel'!$D$422,4,FALSE),"")</f>
        <v/>
      </c>
      <c r="D66" t="str">
        <f>IFERROR(LEFT(VLOOKUP(A66,Processor_DB_Intel!$A$1:'Processor_DB_Intel'!$F$422,6,FALSE),3),"")</f>
        <v/>
      </c>
      <c r="E66" s="74">
        <f t="shared" si="1"/>
        <v>794</v>
      </c>
      <c r="F66" s="56" t="str">
        <f t="shared" si="2"/>
        <v/>
      </c>
      <c r="G66" t="e">
        <f t="shared" si="3"/>
        <v>#VALUE!</v>
      </c>
      <c r="H66" t="e">
        <f t="shared" si="4"/>
        <v>#VALUE!</v>
      </c>
      <c r="I66" s="56" t="str">
        <f t="shared" si="5"/>
        <v/>
      </c>
      <c r="J66" s="58" t="str">
        <f t="shared" si="6"/>
        <v/>
      </c>
      <c r="K66" t="s">
        <v>307</v>
      </c>
      <c r="L66">
        <f>MIN(SEARCH({0,1,2,3,4,5,6,7,8,9},K66&amp;"0123456789"))</f>
        <v>54</v>
      </c>
      <c r="M66" t="str">
        <f t="shared" si="7"/>
        <v>199349</v>
      </c>
      <c r="N66" s="70">
        <v>794</v>
      </c>
      <c r="O66" s="71">
        <f t="shared" si="8"/>
        <v>794</v>
      </c>
      <c r="AA66" t="str">
        <f t="shared" si="9"/>
        <v/>
      </c>
    </row>
    <row r="67" spans="1:27">
      <c r="A67" t="s">
        <v>240</v>
      </c>
      <c r="B67" s="54" t="str">
        <f t="shared" si="0"/>
        <v>4215</v>
      </c>
      <c r="C67" t="str">
        <f>IFERROR(VLOOKUP(A67,Processor_DB_Intel!$A$1:'Processor_DB_Intel'!$D$422,4,FALSE),"")</f>
        <v/>
      </c>
      <c r="D67" t="str">
        <f>IFERROR(LEFT(VLOOKUP(A67,Processor_DB_Intel!$A$1:'Processor_DB_Intel'!$F$422,6,FALSE),3),"")</f>
        <v/>
      </c>
      <c r="E67" s="74">
        <f t="shared" si="1"/>
        <v>562</v>
      </c>
      <c r="F67" s="56" t="str">
        <f t="shared" si="2"/>
        <v/>
      </c>
      <c r="G67" t="e">
        <f t="shared" si="3"/>
        <v>#VALUE!</v>
      </c>
      <c r="H67" t="e">
        <f t="shared" si="4"/>
        <v>#VALUE!</v>
      </c>
      <c r="I67" s="56" t="str">
        <f t="shared" si="5"/>
        <v/>
      </c>
      <c r="J67" s="58" t="str">
        <f t="shared" si="6"/>
        <v/>
      </c>
      <c r="K67" t="s">
        <v>308</v>
      </c>
      <c r="L67">
        <f>MIN(SEARCH({0,1,2,3,4,5,6,7,8,9},K67&amp;"0123456789"))</f>
        <v>54</v>
      </c>
      <c r="M67" t="str">
        <f t="shared" si="7"/>
        <v>193389</v>
      </c>
      <c r="N67" s="70">
        <v>562</v>
      </c>
      <c r="O67" s="71">
        <f t="shared" si="8"/>
        <v>562</v>
      </c>
      <c r="AA67" t="str">
        <f t="shared" si="9"/>
        <v/>
      </c>
    </row>
    <row r="68" spans="1:27">
      <c r="A68" t="s">
        <v>241</v>
      </c>
      <c r="B68" s="54" t="str">
        <f t="shared" si="0"/>
        <v>4214Y</v>
      </c>
      <c r="C68" t="str">
        <f>IFERROR(VLOOKUP(A68,Processor_DB_Intel!$A$1:'Processor_DB_Intel'!$D$422,4,FALSE),"")</f>
        <v/>
      </c>
      <c r="D68" t="str">
        <f>IFERROR(LEFT(VLOOKUP(A68,Processor_DB_Intel!$A$1:'Processor_DB_Intel'!$F$422,6,FALSE),3),"")</f>
        <v/>
      </c>
      <c r="E68" s="74">
        <f t="shared" si="1"/>
        <v>768</v>
      </c>
      <c r="F68" s="56" t="str">
        <f t="shared" si="2"/>
        <v/>
      </c>
      <c r="G68" t="e">
        <f t="shared" si="3"/>
        <v>#VALUE!</v>
      </c>
      <c r="H68" t="e">
        <f t="shared" si="4"/>
        <v>#VALUE!</v>
      </c>
      <c r="I68" s="56" t="str">
        <f t="shared" si="5"/>
        <v/>
      </c>
      <c r="J68" s="58" t="str">
        <f t="shared" si="6"/>
        <v/>
      </c>
      <c r="K68" t="s">
        <v>309</v>
      </c>
      <c r="L68">
        <f>MIN(SEARCH({0,1,2,3,4,5,6,7,8,9},K68&amp;"0123456789"))</f>
        <v>54</v>
      </c>
      <c r="M68" t="str">
        <f t="shared" si="7"/>
        <v>193553</v>
      </c>
      <c r="N68" s="70">
        <v>768</v>
      </c>
      <c r="O68" s="71">
        <f t="shared" si="8"/>
        <v>768</v>
      </c>
      <c r="AA68" t="str">
        <f t="shared" si="9"/>
        <v/>
      </c>
    </row>
    <row r="69" spans="1:27">
      <c r="A69" t="s">
        <v>242</v>
      </c>
      <c r="B69" s="54" t="str">
        <f t="shared" ref="B69:B132" si="10">TRIM(MID(SUBSTITUTE(A69," ",REPT(" ",LEN(A69))), (4-1)*LEN(A69)+1, LEN(A69)))</f>
        <v>4214R</v>
      </c>
      <c r="C69" t="str">
        <f>IFERROR(VLOOKUP(A69,Processor_DB_Intel!$A$1:'Processor_DB_Intel'!$D$422,4,FALSE),"")</f>
        <v/>
      </c>
      <c r="D69" t="str">
        <f>IFERROR(LEFT(VLOOKUP(A69,Processor_DB_Intel!$A$1:'Processor_DB_Intel'!$F$422,6,FALSE),3),"")</f>
        <v/>
      </c>
      <c r="E69" s="74" t="str">
        <f t="shared" ref="E69:E132" si="11">IF(O69 = 0,"",O69)</f>
        <v>705.00</v>
      </c>
      <c r="F69" s="56" t="str">
        <f t="shared" ref="F69:F132" si="12">IFERROR(E69/C69,"")</f>
        <v/>
      </c>
      <c r="G69" t="e">
        <f t="shared" ref="G69:G132" si="13">C69*D69</f>
        <v>#VALUE!</v>
      </c>
      <c r="H69" t="e">
        <f t="shared" ref="H69:H132" si="14">G69*2</f>
        <v>#VALUE!</v>
      </c>
      <c r="I69" s="56" t="str">
        <f t="shared" ref="I69:I132" si="15">IFERROR(E69/G69,"")</f>
        <v/>
      </c>
      <c r="J69" s="58" t="str">
        <f t="shared" ref="J69:J132" si="16">IFERROR(1-(I69/$AC$3),"")</f>
        <v/>
      </c>
      <c r="K69" t="s">
        <v>361</v>
      </c>
      <c r="L69">
        <f>MIN(SEARCH({0,1,2,3,4,5,6,7,8,9},K69&amp;"0123456789"))</f>
        <v>54</v>
      </c>
      <c r="M69" t="str">
        <f t="shared" ref="M69:M132" si="17">LEFT(RIGHT(K69,LEN(K69)-L69+1),6)</f>
        <v>197100</v>
      </c>
      <c r="N69" s="70" t="s">
        <v>362</v>
      </c>
      <c r="O69" s="71" t="str">
        <f t="shared" ref="O69:O132" si="18">IFERROR(RIGHT(SUBSTITUTE(N69,"$",CHAR(9),2),LEN(N69)-FIND(CHAR(9),SUBSTITUTE(N69,"$",CHAR(9),2),1) ),N69)</f>
        <v>705.00</v>
      </c>
      <c r="AA69" t="str">
        <f t="shared" si="9"/>
        <v/>
      </c>
    </row>
    <row r="70" spans="1:27">
      <c r="A70" t="s">
        <v>243</v>
      </c>
      <c r="B70" s="54" t="str">
        <f t="shared" si="10"/>
        <v>4214</v>
      </c>
      <c r="C70" t="str">
        <f>IFERROR(VLOOKUP(A70,Processor_DB_Intel!$A$1:'Processor_DB_Intel'!$D$422,4,FALSE),"")</f>
        <v/>
      </c>
      <c r="D70" t="str">
        <f>IFERROR(LEFT(VLOOKUP(A70,Processor_DB_Intel!$A$1:'Processor_DB_Intel'!$F$422,6,FALSE),3),"")</f>
        <v/>
      </c>
      <c r="E70" s="74" t="str">
        <f t="shared" si="11"/>
        <v>704.00</v>
      </c>
      <c r="F70" s="56" t="str">
        <f t="shared" si="12"/>
        <v/>
      </c>
      <c r="G70" t="e">
        <f t="shared" si="13"/>
        <v>#VALUE!</v>
      </c>
      <c r="H70" t="e">
        <f t="shared" si="14"/>
        <v>#VALUE!</v>
      </c>
      <c r="I70" s="56" t="str">
        <f t="shared" si="15"/>
        <v/>
      </c>
      <c r="J70" s="58" t="str">
        <f t="shared" si="16"/>
        <v/>
      </c>
      <c r="K70" t="s">
        <v>310</v>
      </c>
      <c r="L70">
        <f>MIN(SEARCH({0,1,2,3,4,5,6,7,8,9},K70&amp;"0123456789"))</f>
        <v>54</v>
      </c>
      <c r="M70" t="str">
        <f t="shared" si="17"/>
        <v>193385</v>
      </c>
      <c r="N70" s="70" t="s">
        <v>354</v>
      </c>
      <c r="O70" s="71" t="str">
        <f t="shared" si="18"/>
        <v>704.00</v>
      </c>
      <c r="AA70" t="str">
        <f t="shared" ref="AA70:AA133" si="19">_xlfn.IFNA(I70,0)</f>
        <v/>
      </c>
    </row>
    <row r="71" spans="1:27">
      <c r="A71" t="s">
        <v>244</v>
      </c>
      <c r="B71" s="54" t="str">
        <f t="shared" si="10"/>
        <v>4210T</v>
      </c>
      <c r="C71" t="str">
        <f>IFERROR(VLOOKUP(A71,Processor_DB_Intel!$A$1:'Processor_DB_Intel'!$D$422,4,FALSE),"")</f>
        <v/>
      </c>
      <c r="D71" t="str">
        <f>IFERROR(LEFT(VLOOKUP(A71,Processor_DB_Intel!$A$1:'Processor_DB_Intel'!$F$422,6,FALSE),3),"")</f>
        <v/>
      </c>
      <c r="E71" s="74" t="str">
        <f t="shared" si="11"/>
        <v>511.00</v>
      </c>
      <c r="F71" s="56" t="str">
        <f t="shared" si="12"/>
        <v/>
      </c>
      <c r="G71" t="e">
        <f t="shared" si="13"/>
        <v>#VALUE!</v>
      </c>
      <c r="H71" t="e">
        <f t="shared" si="14"/>
        <v>#VALUE!</v>
      </c>
      <c r="I71" s="56" t="str">
        <f t="shared" si="15"/>
        <v/>
      </c>
      <c r="J71" s="58" t="str">
        <f t="shared" si="16"/>
        <v/>
      </c>
      <c r="K71" t="s">
        <v>311</v>
      </c>
      <c r="L71">
        <f>MIN(SEARCH({0,1,2,3,4,5,6,7,8,9},K71&amp;"0123456789"))</f>
        <v>54</v>
      </c>
      <c r="M71" t="str">
        <f t="shared" si="17"/>
        <v>193384</v>
      </c>
      <c r="N71" s="70" t="s">
        <v>355</v>
      </c>
      <c r="O71" s="71" t="str">
        <f t="shared" si="18"/>
        <v>511.00</v>
      </c>
      <c r="AA71" t="str">
        <f t="shared" si="19"/>
        <v/>
      </c>
    </row>
    <row r="72" spans="1:27">
      <c r="A72" t="s">
        <v>245</v>
      </c>
      <c r="B72" s="54" t="str">
        <f t="shared" si="10"/>
        <v>4210R</v>
      </c>
      <c r="C72" t="str">
        <f>IFERROR(VLOOKUP(A72,Processor_DB_Intel!$A$1:'Processor_DB_Intel'!$D$422,4,FALSE),"")</f>
        <v/>
      </c>
      <c r="D72" t="str">
        <f>IFERROR(LEFT(VLOOKUP(A72,Processor_DB_Intel!$A$1:'Processor_DB_Intel'!$F$422,6,FALSE),3),"")</f>
        <v/>
      </c>
      <c r="E72" s="74" t="str">
        <f t="shared" si="11"/>
        <v>511.00</v>
      </c>
      <c r="F72" s="56" t="str">
        <f t="shared" si="12"/>
        <v/>
      </c>
      <c r="G72" t="e">
        <f t="shared" si="13"/>
        <v>#VALUE!</v>
      </c>
      <c r="H72" t="e">
        <f t="shared" si="14"/>
        <v>#VALUE!</v>
      </c>
      <c r="I72" s="56" t="str">
        <f t="shared" si="15"/>
        <v/>
      </c>
      <c r="J72" s="58" t="str">
        <f t="shared" si="16"/>
        <v/>
      </c>
      <c r="K72" t="s">
        <v>311</v>
      </c>
      <c r="L72">
        <f>MIN(SEARCH({0,1,2,3,4,5,6,7,8,9},K72&amp;"0123456789"))</f>
        <v>54</v>
      </c>
      <c r="M72" t="str">
        <f t="shared" si="17"/>
        <v>193384</v>
      </c>
      <c r="N72" s="70" t="s">
        <v>355</v>
      </c>
      <c r="O72" s="71" t="str">
        <f t="shared" si="18"/>
        <v>511.00</v>
      </c>
      <c r="AA72" t="str">
        <f t="shared" si="19"/>
        <v/>
      </c>
    </row>
    <row r="73" spans="1:27">
      <c r="A73" t="s">
        <v>246</v>
      </c>
      <c r="B73" s="54" t="str">
        <f t="shared" si="10"/>
        <v>4210</v>
      </c>
      <c r="C73" t="str">
        <f>IFERROR(VLOOKUP(A73,Processor_DB_Intel!$A$1:'Processor_DB_Intel'!$D$422,4,FALSE),"")</f>
        <v/>
      </c>
      <c r="D73" t="str">
        <f>IFERROR(LEFT(VLOOKUP(A73,Processor_DB_Intel!$A$1:'Processor_DB_Intel'!$F$422,6,FALSE),3),"")</f>
        <v/>
      </c>
      <c r="E73" s="74" t="str">
        <f t="shared" si="11"/>
        <v>511.00</v>
      </c>
      <c r="F73" s="56" t="str">
        <f t="shared" si="12"/>
        <v/>
      </c>
      <c r="G73" t="e">
        <f t="shared" si="13"/>
        <v>#VALUE!</v>
      </c>
      <c r="H73" t="e">
        <f t="shared" si="14"/>
        <v>#VALUE!</v>
      </c>
      <c r="I73" s="56" t="str">
        <f t="shared" si="15"/>
        <v/>
      </c>
      <c r="J73" s="58" t="str">
        <f t="shared" si="16"/>
        <v/>
      </c>
      <c r="K73" t="s">
        <v>311</v>
      </c>
      <c r="L73">
        <f>MIN(SEARCH({0,1,2,3,4,5,6,7,8,9},K73&amp;"0123456789"))</f>
        <v>54</v>
      </c>
      <c r="M73" t="str">
        <f t="shared" si="17"/>
        <v>193384</v>
      </c>
      <c r="N73" s="70" t="s">
        <v>355</v>
      </c>
      <c r="O73" s="71" t="str">
        <f t="shared" si="18"/>
        <v>511.00</v>
      </c>
      <c r="AA73" t="str">
        <f t="shared" si="19"/>
        <v/>
      </c>
    </row>
    <row r="74" spans="1:27">
      <c r="A74" t="s">
        <v>247</v>
      </c>
      <c r="B74" s="54" t="str">
        <f t="shared" si="10"/>
        <v>4209T</v>
      </c>
      <c r="C74" t="str">
        <f>IFERROR(VLOOKUP(A74,Processor_DB_Intel!$A$1:'Processor_DB_Intel'!$D$422,4,FALSE),"")</f>
        <v/>
      </c>
      <c r="D74" t="str">
        <f>IFERROR(LEFT(VLOOKUP(A74,Processor_DB_Intel!$A$1:'Processor_DB_Intel'!$F$422,6,FALSE),3),"")</f>
        <v/>
      </c>
      <c r="E74" s="74">
        <f t="shared" si="11"/>
        <v>501</v>
      </c>
      <c r="F74" s="56" t="str">
        <f t="shared" si="12"/>
        <v/>
      </c>
      <c r="G74" t="e">
        <f t="shared" si="13"/>
        <v>#VALUE!</v>
      </c>
      <c r="H74" t="e">
        <f t="shared" si="14"/>
        <v>#VALUE!</v>
      </c>
      <c r="I74" s="56" t="str">
        <f t="shared" si="15"/>
        <v/>
      </c>
      <c r="J74" s="58" t="str">
        <f t="shared" si="16"/>
        <v/>
      </c>
      <c r="K74" t="s">
        <v>312</v>
      </c>
      <c r="L74">
        <f>MIN(SEARCH({0,1,2,3,4,5,6,7,8,9},K74&amp;"0123456789"))</f>
        <v>54</v>
      </c>
      <c r="M74" t="str">
        <f t="shared" si="17"/>
        <v>193382</v>
      </c>
      <c r="N74" s="70">
        <v>501</v>
      </c>
      <c r="O74" s="71">
        <f t="shared" si="18"/>
        <v>501</v>
      </c>
      <c r="AA74" t="str">
        <f t="shared" si="19"/>
        <v/>
      </c>
    </row>
    <row r="75" spans="1:27">
      <c r="A75" t="s">
        <v>248</v>
      </c>
      <c r="B75" s="54" t="str">
        <f t="shared" si="10"/>
        <v>4208</v>
      </c>
      <c r="C75" t="str">
        <f>IFERROR(VLOOKUP(A75,Processor_DB_Intel!$A$1:'Processor_DB_Intel'!$D$422,4,FALSE),"")</f>
        <v/>
      </c>
      <c r="D75" t="str">
        <f>IFERROR(LEFT(VLOOKUP(A75,Processor_DB_Intel!$A$1:'Processor_DB_Intel'!$F$422,6,FALSE),3),"")</f>
        <v/>
      </c>
      <c r="E75" s="74" t="str">
        <f t="shared" si="11"/>
        <v>428.00</v>
      </c>
      <c r="F75" s="56" t="str">
        <f t="shared" si="12"/>
        <v/>
      </c>
      <c r="G75" t="e">
        <f t="shared" si="13"/>
        <v>#VALUE!</v>
      </c>
      <c r="H75" t="e">
        <f t="shared" si="14"/>
        <v>#VALUE!</v>
      </c>
      <c r="I75" s="56" t="str">
        <f t="shared" si="15"/>
        <v/>
      </c>
      <c r="J75" s="58" t="str">
        <f t="shared" si="16"/>
        <v/>
      </c>
      <c r="K75" t="s">
        <v>313</v>
      </c>
      <c r="L75">
        <f>MIN(SEARCH({0,1,2,3,4,5,6,7,8,9},K75&amp;"0123456789"))</f>
        <v>54</v>
      </c>
      <c r="M75" t="str">
        <f t="shared" si="17"/>
        <v>193390</v>
      </c>
      <c r="N75" t="s">
        <v>356</v>
      </c>
      <c r="O75" s="71" t="str">
        <f t="shared" si="18"/>
        <v>428.00</v>
      </c>
      <c r="AA75" t="str">
        <f t="shared" si="19"/>
        <v/>
      </c>
    </row>
    <row r="76" spans="1:27">
      <c r="A76" t="s">
        <v>249</v>
      </c>
      <c r="B76" s="54" t="str">
        <f t="shared" si="10"/>
        <v>3206R</v>
      </c>
      <c r="C76" t="str">
        <f>IFERROR(VLOOKUP(A76,Processor_DB_Intel!$A$1:'Processor_DB_Intel'!$D$422,4,FALSE),"")</f>
        <v/>
      </c>
      <c r="D76" t="str">
        <f>IFERROR(LEFT(VLOOKUP(A76,Processor_DB_Intel!$A$1:'Processor_DB_Intel'!$F$422,6,FALSE),3),"")</f>
        <v/>
      </c>
      <c r="E76" s="74" t="str">
        <f t="shared" si="11"/>
        <v>317.00</v>
      </c>
      <c r="F76" s="56" t="str">
        <f t="shared" si="12"/>
        <v/>
      </c>
      <c r="G76" t="e">
        <f t="shared" si="13"/>
        <v>#VALUE!</v>
      </c>
      <c r="H76" t="e">
        <f t="shared" si="14"/>
        <v>#VALUE!</v>
      </c>
      <c r="I76" s="56" t="str">
        <f t="shared" si="15"/>
        <v/>
      </c>
      <c r="J76" s="58" t="str">
        <f t="shared" si="16"/>
        <v/>
      </c>
      <c r="K76" t="s">
        <v>314</v>
      </c>
      <c r="L76">
        <f>MIN(SEARCH({0,1,2,3,4,5,6,7,8,9},K76&amp;"0123456789"))</f>
        <v>54</v>
      </c>
      <c r="M76" t="str">
        <f t="shared" si="17"/>
        <v>197101</v>
      </c>
      <c r="N76" t="s">
        <v>357</v>
      </c>
      <c r="O76" s="71" t="str">
        <f t="shared" si="18"/>
        <v>317.00</v>
      </c>
      <c r="AA76" t="str">
        <f t="shared" si="19"/>
        <v/>
      </c>
    </row>
    <row r="77" spans="1:27">
      <c r="A77" t="s">
        <v>250</v>
      </c>
      <c r="B77" s="54" t="str">
        <f t="shared" si="10"/>
        <v>3204</v>
      </c>
      <c r="C77" t="str">
        <f>IFERROR(VLOOKUP(A77,Processor_DB_Intel!$A$1:'Processor_DB_Intel'!$D$422,4,FALSE),"")</f>
        <v/>
      </c>
      <c r="D77" t="str">
        <f>IFERROR(LEFT(VLOOKUP(A77,Processor_DB_Intel!$A$1:'Processor_DB_Intel'!$F$422,6,FALSE),3),"")</f>
        <v/>
      </c>
      <c r="E77" s="74" t="str">
        <f t="shared" si="11"/>
        <v>224.00</v>
      </c>
      <c r="F77" s="56" t="str">
        <f t="shared" si="12"/>
        <v/>
      </c>
      <c r="G77" t="e">
        <f t="shared" si="13"/>
        <v>#VALUE!</v>
      </c>
      <c r="H77" t="e">
        <f t="shared" si="14"/>
        <v>#VALUE!</v>
      </c>
      <c r="I77" s="56" t="str">
        <f t="shared" si="15"/>
        <v/>
      </c>
      <c r="J77" s="58" t="str">
        <f t="shared" si="16"/>
        <v/>
      </c>
      <c r="K77" t="s">
        <v>315</v>
      </c>
      <c r="L77">
        <f>MIN(SEARCH({0,1,2,3,4,5,6,7,8,9},K77&amp;"0123456789"))</f>
        <v>54</v>
      </c>
      <c r="M77" t="str">
        <f t="shared" si="17"/>
        <v>193381</v>
      </c>
      <c r="N77" t="s">
        <v>358</v>
      </c>
      <c r="O77" s="71" t="str">
        <f t="shared" si="18"/>
        <v>224.00</v>
      </c>
      <c r="AA77" t="str">
        <f t="shared" si="19"/>
        <v/>
      </c>
    </row>
    <row r="78" spans="1:27">
      <c r="B78" s="54" t="str">
        <f t="shared" si="10"/>
        <v/>
      </c>
      <c r="C78" t="str">
        <f>IFERROR(VLOOKUP(A78,Processor_DB_Intel!$A$1:'Processor_DB_Intel'!$D$422,4,FALSE),"")</f>
        <v/>
      </c>
      <c r="D78" t="str">
        <f>IFERROR(LEFT(VLOOKUP(A78,Processor_DB_Intel!$A$1:'Processor_DB_Intel'!$F$422,6,FALSE),3),"")</f>
        <v/>
      </c>
      <c r="E78" s="74" t="str">
        <f t="shared" si="11"/>
        <v>511.00</v>
      </c>
      <c r="F78" s="56" t="str">
        <f t="shared" si="12"/>
        <v/>
      </c>
      <c r="G78" t="e">
        <f t="shared" si="13"/>
        <v>#VALUE!</v>
      </c>
      <c r="H78" t="e">
        <f t="shared" si="14"/>
        <v>#VALUE!</v>
      </c>
      <c r="I78" s="56" t="str">
        <f t="shared" si="15"/>
        <v/>
      </c>
      <c r="J78" s="58" t="str">
        <f t="shared" si="16"/>
        <v/>
      </c>
      <c r="L78">
        <f>MIN(SEARCH({0,1,2,3,4,5,6,7,8,9},K78&amp;"0123456789"))</f>
        <v>1</v>
      </c>
      <c r="M78" t="str">
        <f t="shared" si="17"/>
        <v/>
      </c>
      <c r="N78" t="s">
        <v>355</v>
      </c>
      <c r="O78" s="71" t="str">
        <f t="shared" si="18"/>
        <v>511.00</v>
      </c>
      <c r="AA78" t="str">
        <f t="shared" si="19"/>
        <v/>
      </c>
    </row>
    <row r="79" spans="1:27">
      <c r="B79" s="54" t="str">
        <f t="shared" si="10"/>
        <v/>
      </c>
      <c r="C79" t="str">
        <f>IFERROR(VLOOKUP(A79,Processor_DB_Intel!$A$1:'Processor_DB_Intel'!$D$422,4,FALSE),"")</f>
        <v/>
      </c>
      <c r="D79" t="str">
        <f>IFERROR(LEFT(VLOOKUP(A79,Processor_DB_Intel!$A$1:'Processor_DB_Intel'!$F$422,6,FALSE),3),"")</f>
        <v/>
      </c>
      <c r="E79" s="74" t="str">
        <f t="shared" si="11"/>
        <v>511.00</v>
      </c>
      <c r="F79" s="56" t="str">
        <f t="shared" si="12"/>
        <v/>
      </c>
      <c r="G79" t="e">
        <f t="shared" si="13"/>
        <v>#VALUE!</v>
      </c>
      <c r="H79" t="e">
        <f t="shared" si="14"/>
        <v>#VALUE!</v>
      </c>
      <c r="I79" s="56" t="str">
        <f t="shared" si="15"/>
        <v/>
      </c>
      <c r="J79" s="58" t="str">
        <f t="shared" si="16"/>
        <v/>
      </c>
      <c r="L79">
        <f>MIN(SEARCH({0,1,2,3,4,5,6,7,8,9},K79&amp;"0123456789"))</f>
        <v>1</v>
      </c>
      <c r="M79" t="str">
        <f t="shared" si="17"/>
        <v/>
      </c>
      <c r="N79" t="s">
        <v>355</v>
      </c>
      <c r="O79" s="71" t="str">
        <f t="shared" si="18"/>
        <v>511.00</v>
      </c>
      <c r="AA79" t="str">
        <f t="shared" si="19"/>
        <v/>
      </c>
    </row>
    <row r="80" spans="1:27">
      <c r="B80" s="54" t="str">
        <f t="shared" si="10"/>
        <v/>
      </c>
      <c r="C80" t="str">
        <f>IFERROR(VLOOKUP(A80,Processor_DB_Intel!$A$1:'Processor_DB_Intel'!$D$422,4,FALSE),"")</f>
        <v/>
      </c>
      <c r="D80" t="str">
        <f>IFERROR(LEFT(VLOOKUP(A80,Processor_DB_Intel!$A$1:'Processor_DB_Intel'!$F$422,6,FALSE),3),"")</f>
        <v/>
      </c>
      <c r="E80" s="74">
        <f t="shared" si="11"/>
        <v>501</v>
      </c>
      <c r="F80" s="56" t="str">
        <f t="shared" si="12"/>
        <v/>
      </c>
      <c r="G80" t="e">
        <f t="shared" si="13"/>
        <v>#VALUE!</v>
      </c>
      <c r="H80" t="e">
        <f t="shared" si="14"/>
        <v>#VALUE!</v>
      </c>
      <c r="I80" s="56" t="str">
        <f t="shared" si="15"/>
        <v/>
      </c>
      <c r="J80" s="58" t="str">
        <f t="shared" si="16"/>
        <v/>
      </c>
      <c r="L80">
        <f>MIN(SEARCH({0,1,2,3,4,5,6,7,8,9},K80&amp;"0123456789"))</f>
        <v>1</v>
      </c>
      <c r="M80" t="str">
        <f t="shared" si="17"/>
        <v/>
      </c>
      <c r="N80" s="70">
        <v>501</v>
      </c>
      <c r="O80" s="71">
        <f t="shared" si="18"/>
        <v>501</v>
      </c>
      <c r="AA80" t="str">
        <f t="shared" si="19"/>
        <v/>
      </c>
    </row>
    <row r="81" spans="2:27">
      <c r="B81" s="54" t="str">
        <f t="shared" si="10"/>
        <v/>
      </c>
      <c r="C81" t="str">
        <f>IFERROR(VLOOKUP(A81,Processor_DB_Intel!$A$1:'Processor_DB_Intel'!$D$422,4,FALSE),"")</f>
        <v/>
      </c>
      <c r="D81" t="str">
        <f>IFERROR(LEFT(VLOOKUP(A81,Processor_DB_Intel!$A$1:'Processor_DB_Intel'!$F$422,6,FALSE),3),"")</f>
        <v/>
      </c>
      <c r="E81" s="74" t="str">
        <f t="shared" si="11"/>
        <v>428.00</v>
      </c>
      <c r="F81" s="56" t="str">
        <f t="shared" si="12"/>
        <v/>
      </c>
      <c r="G81" t="e">
        <f t="shared" si="13"/>
        <v>#VALUE!</v>
      </c>
      <c r="H81" t="e">
        <f t="shared" si="14"/>
        <v>#VALUE!</v>
      </c>
      <c r="I81" s="56" t="str">
        <f t="shared" si="15"/>
        <v/>
      </c>
      <c r="J81" s="58" t="str">
        <f t="shared" si="16"/>
        <v/>
      </c>
      <c r="L81">
        <f>MIN(SEARCH({0,1,2,3,4,5,6,7,8,9},K81&amp;"0123456789"))</f>
        <v>1</v>
      </c>
      <c r="M81" t="str">
        <f t="shared" si="17"/>
        <v/>
      </c>
      <c r="N81" t="s">
        <v>356</v>
      </c>
      <c r="O81" s="71" t="str">
        <f t="shared" si="18"/>
        <v>428.00</v>
      </c>
      <c r="AA81" t="str">
        <f t="shared" si="19"/>
        <v/>
      </c>
    </row>
    <row r="82" spans="2:27">
      <c r="B82" s="54" t="str">
        <f t="shared" si="10"/>
        <v/>
      </c>
      <c r="C82" t="str">
        <f>IFERROR(VLOOKUP(A82,Processor_DB_Intel!$A$1:'Processor_DB_Intel'!$D$422,4,FALSE),"")</f>
        <v/>
      </c>
      <c r="D82" t="str">
        <f>IFERROR(LEFT(VLOOKUP(A82,Processor_DB_Intel!$A$1:'Processor_DB_Intel'!$F$422,6,FALSE),3),"")</f>
        <v/>
      </c>
      <c r="E82" s="74" t="str">
        <f t="shared" si="11"/>
        <v>317.00</v>
      </c>
      <c r="F82" s="56" t="str">
        <f t="shared" si="12"/>
        <v/>
      </c>
      <c r="G82" t="e">
        <f t="shared" si="13"/>
        <v>#VALUE!</v>
      </c>
      <c r="H82" t="e">
        <f t="shared" si="14"/>
        <v>#VALUE!</v>
      </c>
      <c r="I82" s="56" t="str">
        <f t="shared" si="15"/>
        <v/>
      </c>
      <c r="J82" s="58" t="str">
        <f t="shared" si="16"/>
        <v/>
      </c>
      <c r="L82">
        <f>MIN(SEARCH({0,1,2,3,4,5,6,7,8,9},K82&amp;"0123456789"))</f>
        <v>1</v>
      </c>
      <c r="M82" t="str">
        <f t="shared" si="17"/>
        <v/>
      </c>
      <c r="N82" t="s">
        <v>357</v>
      </c>
      <c r="O82" s="71" t="str">
        <f t="shared" si="18"/>
        <v>317.00</v>
      </c>
      <c r="AA82" t="str">
        <f t="shared" si="19"/>
        <v/>
      </c>
    </row>
    <row r="83" spans="2:27">
      <c r="B83" s="54" t="str">
        <f t="shared" si="10"/>
        <v/>
      </c>
      <c r="C83" t="str">
        <f>IFERROR(VLOOKUP(A83,Processor_DB_Intel!$A$1:'Processor_DB_Intel'!$D$422,4,FALSE),"")</f>
        <v/>
      </c>
      <c r="D83" t="str">
        <f>IFERROR(LEFT(VLOOKUP(A83,Processor_DB_Intel!$A$1:'Processor_DB_Intel'!$F$422,6,FALSE),3),"")</f>
        <v/>
      </c>
      <c r="E83" s="74" t="str">
        <f t="shared" si="11"/>
        <v>224.00</v>
      </c>
      <c r="F83" s="56" t="str">
        <f t="shared" si="12"/>
        <v/>
      </c>
      <c r="G83" t="e">
        <f t="shared" si="13"/>
        <v>#VALUE!</v>
      </c>
      <c r="H83" t="e">
        <f t="shared" si="14"/>
        <v>#VALUE!</v>
      </c>
      <c r="I83" s="56" t="str">
        <f t="shared" si="15"/>
        <v/>
      </c>
      <c r="J83" s="58" t="str">
        <f t="shared" si="16"/>
        <v/>
      </c>
      <c r="L83">
        <f>MIN(SEARCH({0,1,2,3,4,5,6,7,8,9},K83&amp;"0123456789"))</f>
        <v>1</v>
      </c>
      <c r="M83" t="str">
        <f t="shared" si="17"/>
        <v/>
      </c>
      <c r="N83" t="s">
        <v>358</v>
      </c>
      <c r="O83" s="71" t="str">
        <f t="shared" si="18"/>
        <v>224.00</v>
      </c>
      <c r="AA83" t="str">
        <f t="shared" si="19"/>
        <v/>
      </c>
    </row>
    <row r="84" spans="2:27">
      <c r="B84" s="54" t="str">
        <f t="shared" si="10"/>
        <v/>
      </c>
      <c r="C84" t="str">
        <f>IFERROR(VLOOKUP(A84,Processor_DB_Intel!$A$1:'Processor_DB_Intel'!$D$422,4,FALSE),"")</f>
        <v/>
      </c>
      <c r="D84" t="str">
        <f>IFERROR(LEFT(VLOOKUP(A84,Processor_DB_Intel!$A$1:'Processor_DB_Intel'!$F$422,6,FALSE),3),"")</f>
        <v/>
      </c>
      <c r="E84" s="74" t="str">
        <f t="shared" si="11"/>
        <v/>
      </c>
      <c r="F84" s="56" t="str">
        <f t="shared" si="12"/>
        <v/>
      </c>
      <c r="G84" t="e">
        <f t="shared" si="13"/>
        <v>#VALUE!</v>
      </c>
      <c r="H84" t="e">
        <f t="shared" si="14"/>
        <v>#VALUE!</v>
      </c>
      <c r="I84" s="56" t="str">
        <f t="shared" si="15"/>
        <v/>
      </c>
      <c r="J84" s="58" t="str">
        <f t="shared" si="16"/>
        <v/>
      </c>
      <c r="L84">
        <f>MIN(SEARCH({0,1,2,3,4,5,6,7,8,9},K84&amp;"0123456789"))</f>
        <v>1</v>
      </c>
      <c r="M84" t="str">
        <f t="shared" si="17"/>
        <v/>
      </c>
      <c r="O84" s="71">
        <f t="shared" si="18"/>
        <v>0</v>
      </c>
      <c r="AA84" t="str">
        <f t="shared" si="19"/>
        <v/>
      </c>
    </row>
    <row r="85" spans="2:27">
      <c r="B85" s="54" t="str">
        <f t="shared" si="10"/>
        <v/>
      </c>
      <c r="C85" t="str">
        <f>IFERROR(VLOOKUP(A85,Processor_DB_Intel!$A$1:'Processor_DB_Intel'!$D$422,4,FALSE),"")</f>
        <v/>
      </c>
      <c r="D85" t="str">
        <f>IFERROR(LEFT(VLOOKUP(A85,Processor_DB_Intel!$A$1:'Processor_DB_Intel'!$F$422,6,FALSE),3),"")</f>
        <v/>
      </c>
      <c r="E85" s="74" t="str">
        <f t="shared" si="11"/>
        <v/>
      </c>
      <c r="F85" s="56" t="str">
        <f t="shared" si="12"/>
        <v/>
      </c>
      <c r="G85" t="e">
        <f t="shared" si="13"/>
        <v>#VALUE!</v>
      </c>
      <c r="H85" t="e">
        <f t="shared" si="14"/>
        <v>#VALUE!</v>
      </c>
      <c r="I85" s="56" t="str">
        <f t="shared" si="15"/>
        <v/>
      </c>
      <c r="J85" s="58" t="str">
        <f t="shared" si="16"/>
        <v/>
      </c>
      <c r="L85">
        <f>MIN(SEARCH({0,1,2,3,4,5,6,7,8,9},K85&amp;"0123456789"))</f>
        <v>1</v>
      </c>
      <c r="M85" t="str">
        <f t="shared" si="17"/>
        <v/>
      </c>
      <c r="O85" s="71">
        <f t="shared" si="18"/>
        <v>0</v>
      </c>
      <c r="AA85" t="str">
        <f t="shared" si="19"/>
        <v/>
      </c>
    </row>
    <row r="86" spans="2:27">
      <c r="B86" s="54" t="str">
        <f t="shared" si="10"/>
        <v/>
      </c>
      <c r="C86" t="str">
        <f>IFERROR(VLOOKUP(A86,Processor_DB_Intel!$A$1:'Processor_DB_Intel'!$D$422,4,FALSE),"")</f>
        <v/>
      </c>
      <c r="D86" t="str">
        <f>IFERROR(LEFT(VLOOKUP(A86,Processor_DB_Intel!$A$1:'Processor_DB_Intel'!$F$422,6,FALSE),3),"")</f>
        <v/>
      </c>
      <c r="E86" s="74" t="str">
        <f t="shared" si="11"/>
        <v/>
      </c>
      <c r="F86" s="56" t="str">
        <f t="shared" si="12"/>
        <v/>
      </c>
      <c r="G86" t="e">
        <f t="shared" si="13"/>
        <v>#VALUE!</v>
      </c>
      <c r="H86" t="e">
        <f t="shared" si="14"/>
        <v>#VALUE!</v>
      </c>
      <c r="I86" s="56" t="str">
        <f t="shared" si="15"/>
        <v/>
      </c>
      <c r="J86" s="58" t="str">
        <f t="shared" si="16"/>
        <v/>
      </c>
      <c r="L86">
        <f>MIN(SEARCH({0,1,2,3,4,5,6,7,8,9},K86&amp;"0123456789"))</f>
        <v>1</v>
      </c>
      <c r="M86" t="str">
        <f t="shared" si="17"/>
        <v/>
      </c>
      <c r="O86" s="71">
        <f t="shared" si="18"/>
        <v>0</v>
      </c>
      <c r="AA86" t="str">
        <f t="shared" si="19"/>
        <v/>
      </c>
    </row>
    <row r="87" spans="2:27">
      <c r="B87" s="54" t="str">
        <f t="shared" si="10"/>
        <v/>
      </c>
      <c r="C87" t="str">
        <f>IFERROR(VLOOKUP(A87,Processor_DB_Intel!$A$1:'Processor_DB_Intel'!$D$422,4,FALSE),"")</f>
        <v/>
      </c>
      <c r="D87" t="str">
        <f>IFERROR(LEFT(VLOOKUP(A87,Processor_DB_Intel!$A$1:'Processor_DB_Intel'!$F$422,6,FALSE),3),"")</f>
        <v/>
      </c>
      <c r="E87" s="74" t="str">
        <f t="shared" si="11"/>
        <v/>
      </c>
      <c r="F87" s="56" t="str">
        <f t="shared" si="12"/>
        <v/>
      </c>
      <c r="G87" t="e">
        <f t="shared" si="13"/>
        <v>#VALUE!</v>
      </c>
      <c r="H87" t="e">
        <f t="shared" si="14"/>
        <v>#VALUE!</v>
      </c>
      <c r="I87" s="56" t="str">
        <f t="shared" si="15"/>
        <v/>
      </c>
      <c r="J87" s="58" t="str">
        <f t="shared" si="16"/>
        <v/>
      </c>
      <c r="L87">
        <f>MIN(SEARCH({0,1,2,3,4,5,6,7,8,9},K87&amp;"0123456789"))</f>
        <v>1</v>
      </c>
      <c r="M87" t="str">
        <f t="shared" si="17"/>
        <v/>
      </c>
      <c r="O87" s="71">
        <f t="shared" si="18"/>
        <v>0</v>
      </c>
      <c r="AA87" t="str">
        <f t="shared" si="19"/>
        <v/>
      </c>
    </row>
    <row r="88" spans="2:27">
      <c r="B88" s="54" t="str">
        <f t="shared" si="10"/>
        <v/>
      </c>
      <c r="C88" t="str">
        <f>IFERROR(VLOOKUP(A88,Processor_DB_Intel!$A$1:'Processor_DB_Intel'!$D$422,4,FALSE),"")</f>
        <v/>
      </c>
      <c r="D88" t="str">
        <f>IFERROR(LEFT(VLOOKUP(A88,Processor_DB_Intel!$A$1:'Processor_DB_Intel'!$F$422,6,FALSE),3),"")</f>
        <v/>
      </c>
      <c r="E88" s="74" t="str">
        <f t="shared" si="11"/>
        <v/>
      </c>
      <c r="F88" s="56" t="str">
        <f t="shared" si="12"/>
        <v/>
      </c>
      <c r="G88" t="e">
        <f t="shared" si="13"/>
        <v>#VALUE!</v>
      </c>
      <c r="H88" t="e">
        <f t="shared" si="14"/>
        <v>#VALUE!</v>
      </c>
      <c r="I88" s="56" t="str">
        <f t="shared" si="15"/>
        <v/>
      </c>
      <c r="J88" s="58" t="str">
        <f t="shared" si="16"/>
        <v/>
      </c>
      <c r="L88">
        <f>MIN(SEARCH({0,1,2,3,4,5,6,7,8,9},K88&amp;"0123456789"))</f>
        <v>1</v>
      </c>
      <c r="M88" t="str">
        <f t="shared" si="17"/>
        <v/>
      </c>
      <c r="O88" s="71">
        <f t="shared" si="18"/>
        <v>0</v>
      </c>
      <c r="AA88" t="str">
        <f t="shared" si="19"/>
        <v/>
      </c>
    </row>
    <row r="89" spans="2:27">
      <c r="B89" s="54" t="str">
        <f t="shared" si="10"/>
        <v/>
      </c>
      <c r="C89" t="str">
        <f>IFERROR(VLOOKUP(A89,Processor_DB_Intel!$A$1:'Processor_DB_Intel'!$D$422,4,FALSE),"")</f>
        <v/>
      </c>
      <c r="D89" t="str">
        <f>IFERROR(LEFT(VLOOKUP(A89,Processor_DB_Intel!$A$1:'Processor_DB_Intel'!$F$422,6,FALSE),3),"")</f>
        <v/>
      </c>
      <c r="E89" s="74" t="str">
        <f t="shared" si="11"/>
        <v/>
      </c>
      <c r="F89" s="56" t="str">
        <f t="shared" si="12"/>
        <v/>
      </c>
      <c r="G89" t="e">
        <f t="shared" si="13"/>
        <v>#VALUE!</v>
      </c>
      <c r="H89" t="e">
        <f t="shared" si="14"/>
        <v>#VALUE!</v>
      </c>
      <c r="I89" s="56" t="str">
        <f t="shared" si="15"/>
        <v/>
      </c>
      <c r="J89" s="58" t="str">
        <f t="shared" si="16"/>
        <v/>
      </c>
      <c r="L89">
        <f>MIN(SEARCH({0,1,2,3,4,5,6,7,8,9},K89&amp;"0123456789"))</f>
        <v>1</v>
      </c>
      <c r="M89" t="str">
        <f t="shared" si="17"/>
        <v/>
      </c>
      <c r="O89" s="71">
        <f t="shared" si="18"/>
        <v>0</v>
      </c>
      <c r="AA89" t="str">
        <f t="shared" si="19"/>
        <v/>
      </c>
    </row>
    <row r="90" spans="2:27">
      <c r="B90" s="54" t="str">
        <f t="shared" si="10"/>
        <v/>
      </c>
      <c r="C90" t="str">
        <f>IFERROR(VLOOKUP(A90,Processor_DB_Intel!$A$1:'Processor_DB_Intel'!$D$422,4,FALSE),"")</f>
        <v/>
      </c>
      <c r="D90" t="str">
        <f>IFERROR(LEFT(VLOOKUP(A90,Processor_DB_Intel!$A$1:'Processor_DB_Intel'!$F$422,6,FALSE),3),"")</f>
        <v/>
      </c>
      <c r="E90" s="74" t="str">
        <f t="shared" si="11"/>
        <v/>
      </c>
      <c r="F90" s="56" t="str">
        <f t="shared" si="12"/>
        <v/>
      </c>
      <c r="G90" t="e">
        <f t="shared" si="13"/>
        <v>#VALUE!</v>
      </c>
      <c r="H90" t="e">
        <f t="shared" si="14"/>
        <v>#VALUE!</v>
      </c>
      <c r="I90" s="56" t="str">
        <f t="shared" si="15"/>
        <v/>
      </c>
      <c r="J90" s="58" t="str">
        <f t="shared" si="16"/>
        <v/>
      </c>
      <c r="L90">
        <f>MIN(SEARCH({0,1,2,3,4,5,6,7,8,9},K90&amp;"0123456789"))</f>
        <v>1</v>
      </c>
      <c r="M90" t="str">
        <f t="shared" si="17"/>
        <v/>
      </c>
      <c r="O90" s="71">
        <f t="shared" si="18"/>
        <v>0</v>
      </c>
      <c r="AA90" t="str">
        <f t="shared" si="19"/>
        <v/>
      </c>
    </row>
    <row r="91" spans="2:27">
      <c r="B91" s="54" t="str">
        <f t="shared" si="10"/>
        <v/>
      </c>
      <c r="C91" t="str">
        <f>IFERROR(VLOOKUP(A91,Processor_DB_Intel!$A$1:'Processor_DB_Intel'!$D$422,4,FALSE),"")</f>
        <v/>
      </c>
      <c r="D91" t="str">
        <f>IFERROR(LEFT(VLOOKUP(A91,Processor_DB_Intel!$A$1:'Processor_DB_Intel'!$F$422,6,FALSE),3),"")</f>
        <v/>
      </c>
      <c r="E91" s="74" t="str">
        <f t="shared" si="11"/>
        <v/>
      </c>
      <c r="F91" s="56" t="str">
        <f t="shared" si="12"/>
        <v/>
      </c>
      <c r="G91" t="e">
        <f t="shared" si="13"/>
        <v>#VALUE!</v>
      </c>
      <c r="H91" t="e">
        <f t="shared" si="14"/>
        <v>#VALUE!</v>
      </c>
      <c r="I91" s="56" t="str">
        <f t="shared" si="15"/>
        <v/>
      </c>
      <c r="J91" s="58" t="str">
        <f t="shared" si="16"/>
        <v/>
      </c>
      <c r="L91">
        <f>MIN(SEARCH({0,1,2,3,4,5,6,7,8,9},K91&amp;"0123456789"))</f>
        <v>1</v>
      </c>
      <c r="M91" t="str">
        <f t="shared" si="17"/>
        <v/>
      </c>
      <c r="O91" s="71">
        <f t="shared" si="18"/>
        <v>0</v>
      </c>
      <c r="AA91" t="str">
        <f t="shared" si="19"/>
        <v/>
      </c>
    </row>
    <row r="92" spans="2:27">
      <c r="B92" s="54" t="str">
        <f t="shared" si="10"/>
        <v/>
      </c>
      <c r="C92" t="str">
        <f>IFERROR(VLOOKUP(A92,Processor_DB_Intel!$A$1:'Processor_DB_Intel'!$D$422,4,FALSE),"")</f>
        <v/>
      </c>
      <c r="D92" t="str">
        <f>IFERROR(LEFT(VLOOKUP(A92,Processor_DB_Intel!$A$1:'Processor_DB_Intel'!$F$422,6,FALSE),3),"")</f>
        <v/>
      </c>
      <c r="E92" s="74" t="str">
        <f t="shared" si="11"/>
        <v/>
      </c>
      <c r="F92" s="56" t="str">
        <f t="shared" si="12"/>
        <v/>
      </c>
      <c r="G92" t="e">
        <f t="shared" si="13"/>
        <v>#VALUE!</v>
      </c>
      <c r="H92" t="e">
        <f t="shared" si="14"/>
        <v>#VALUE!</v>
      </c>
      <c r="I92" s="56" t="str">
        <f t="shared" si="15"/>
        <v/>
      </c>
      <c r="J92" s="58" t="str">
        <f t="shared" si="16"/>
        <v/>
      </c>
      <c r="L92">
        <f>MIN(SEARCH({0,1,2,3,4,5,6,7,8,9},K92&amp;"0123456789"))</f>
        <v>1</v>
      </c>
      <c r="M92" t="str">
        <f t="shared" si="17"/>
        <v/>
      </c>
      <c r="O92" s="71">
        <f t="shared" si="18"/>
        <v>0</v>
      </c>
      <c r="AA92" t="str">
        <f t="shared" si="19"/>
        <v/>
      </c>
    </row>
    <row r="93" spans="2:27">
      <c r="B93" s="54" t="str">
        <f t="shared" si="10"/>
        <v/>
      </c>
      <c r="C93" t="str">
        <f>IFERROR(VLOOKUP(A93,Processor_DB_Intel!$A$1:'Processor_DB_Intel'!$D$422,4,FALSE),"")</f>
        <v/>
      </c>
      <c r="D93" t="str">
        <f>IFERROR(LEFT(VLOOKUP(A93,Processor_DB_Intel!$A$1:'Processor_DB_Intel'!$F$422,6,FALSE),3),"")</f>
        <v/>
      </c>
      <c r="E93" s="74" t="str">
        <f t="shared" si="11"/>
        <v/>
      </c>
      <c r="F93" s="56" t="str">
        <f t="shared" si="12"/>
        <v/>
      </c>
      <c r="G93" t="e">
        <f t="shared" si="13"/>
        <v>#VALUE!</v>
      </c>
      <c r="H93" t="e">
        <f t="shared" si="14"/>
        <v>#VALUE!</v>
      </c>
      <c r="I93" s="56" t="str">
        <f t="shared" si="15"/>
        <v/>
      </c>
      <c r="J93" s="58" t="str">
        <f t="shared" si="16"/>
        <v/>
      </c>
      <c r="L93">
        <f>MIN(SEARCH({0,1,2,3,4,5,6,7,8,9},K93&amp;"0123456789"))</f>
        <v>1</v>
      </c>
      <c r="M93" t="str">
        <f t="shared" si="17"/>
        <v/>
      </c>
      <c r="O93" s="71">
        <f t="shared" si="18"/>
        <v>0</v>
      </c>
      <c r="AA93" t="str">
        <f t="shared" si="19"/>
        <v/>
      </c>
    </row>
    <row r="94" spans="2:27">
      <c r="B94" s="54" t="str">
        <f t="shared" si="10"/>
        <v/>
      </c>
      <c r="C94" t="str">
        <f>IFERROR(VLOOKUP(A94,Processor_DB_Intel!$A$1:'Processor_DB_Intel'!$D$422,4,FALSE),"")</f>
        <v/>
      </c>
      <c r="D94" t="str">
        <f>IFERROR(LEFT(VLOOKUP(A94,Processor_DB_Intel!$A$1:'Processor_DB_Intel'!$F$422,6,FALSE),3),"")</f>
        <v/>
      </c>
      <c r="E94" s="74" t="str">
        <f t="shared" si="11"/>
        <v/>
      </c>
      <c r="F94" s="56" t="str">
        <f t="shared" si="12"/>
        <v/>
      </c>
      <c r="G94" t="e">
        <f t="shared" si="13"/>
        <v>#VALUE!</v>
      </c>
      <c r="H94" t="e">
        <f t="shared" si="14"/>
        <v>#VALUE!</v>
      </c>
      <c r="I94" s="56" t="str">
        <f t="shared" si="15"/>
        <v/>
      </c>
      <c r="J94" s="58" t="str">
        <f t="shared" si="16"/>
        <v/>
      </c>
      <c r="L94">
        <f>MIN(SEARCH({0,1,2,3,4,5,6,7,8,9},K94&amp;"0123456789"))</f>
        <v>1</v>
      </c>
      <c r="M94" t="str">
        <f t="shared" si="17"/>
        <v/>
      </c>
      <c r="O94" s="71">
        <f t="shared" si="18"/>
        <v>0</v>
      </c>
      <c r="AA94" t="str">
        <f t="shared" si="19"/>
        <v/>
      </c>
    </row>
    <row r="95" spans="2:27">
      <c r="B95" s="54" t="str">
        <f t="shared" si="10"/>
        <v/>
      </c>
      <c r="C95" t="str">
        <f>IFERROR(VLOOKUP(A95,Processor_DB_Intel!$A$1:'Processor_DB_Intel'!$D$422,4,FALSE),"")</f>
        <v/>
      </c>
      <c r="D95" t="str">
        <f>IFERROR(LEFT(VLOOKUP(A95,Processor_DB_Intel!$A$1:'Processor_DB_Intel'!$F$422,6,FALSE),3),"")</f>
        <v/>
      </c>
      <c r="E95" s="74" t="str">
        <f t="shared" si="11"/>
        <v/>
      </c>
      <c r="F95" s="56" t="str">
        <f t="shared" si="12"/>
        <v/>
      </c>
      <c r="G95" t="e">
        <f t="shared" si="13"/>
        <v>#VALUE!</v>
      </c>
      <c r="H95" t="e">
        <f t="shared" si="14"/>
        <v>#VALUE!</v>
      </c>
      <c r="I95" s="56" t="str">
        <f t="shared" si="15"/>
        <v/>
      </c>
      <c r="J95" s="58" t="str">
        <f t="shared" si="16"/>
        <v/>
      </c>
      <c r="L95">
        <f>MIN(SEARCH({0,1,2,3,4,5,6,7,8,9},K95&amp;"0123456789"))</f>
        <v>1</v>
      </c>
      <c r="M95" t="str">
        <f t="shared" si="17"/>
        <v/>
      </c>
      <c r="O95" s="71">
        <f t="shared" si="18"/>
        <v>0</v>
      </c>
      <c r="AA95" t="str">
        <f t="shared" si="19"/>
        <v/>
      </c>
    </row>
    <row r="96" spans="2:27">
      <c r="B96" s="54" t="str">
        <f t="shared" si="10"/>
        <v/>
      </c>
      <c r="C96" t="str">
        <f>IFERROR(VLOOKUP(A96,Processor_DB_Intel!$A$1:'Processor_DB_Intel'!$D$422,4,FALSE),"")</f>
        <v/>
      </c>
      <c r="D96" t="str">
        <f>IFERROR(LEFT(VLOOKUP(A96,Processor_DB_Intel!$A$1:'Processor_DB_Intel'!$F$422,6,FALSE),3),"")</f>
        <v/>
      </c>
      <c r="E96" s="74" t="str">
        <f t="shared" si="11"/>
        <v/>
      </c>
      <c r="F96" s="56" t="str">
        <f t="shared" si="12"/>
        <v/>
      </c>
      <c r="G96" t="e">
        <f t="shared" si="13"/>
        <v>#VALUE!</v>
      </c>
      <c r="H96" t="e">
        <f t="shared" si="14"/>
        <v>#VALUE!</v>
      </c>
      <c r="I96" s="56" t="str">
        <f t="shared" si="15"/>
        <v/>
      </c>
      <c r="J96" s="58" t="str">
        <f t="shared" si="16"/>
        <v/>
      </c>
      <c r="L96">
        <f>MIN(SEARCH({0,1,2,3,4,5,6,7,8,9},K96&amp;"0123456789"))</f>
        <v>1</v>
      </c>
      <c r="M96" t="str">
        <f t="shared" si="17"/>
        <v/>
      </c>
      <c r="O96" s="71">
        <f t="shared" si="18"/>
        <v>0</v>
      </c>
      <c r="AA96" t="str">
        <f t="shared" si="19"/>
        <v/>
      </c>
    </row>
    <row r="97" spans="2:27">
      <c r="B97" s="54" t="str">
        <f t="shared" si="10"/>
        <v/>
      </c>
      <c r="C97" t="str">
        <f>IFERROR(VLOOKUP(A97,Processor_DB_Intel!$A$1:'Processor_DB_Intel'!$D$422,4,FALSE),"")</f>
        <v/>
      </c>
      <c r="D97" t="str">
        <f>IFERROR(LEFT(VLOOKUP(A97,Processor_DB_Intel!$A$1:'Processor_DB_Intel'!$F$422,6,FALSE),3),"")</f>
        <v/>
      </c>
      <c r="E97" s="74" t="str">
        <f t="shared" si="11"/>
        <v/>
      </c>
      <c r="F97" s="56" t="str">
        <f t="shared" si="12"/>
        <v/>
      </c>
      <c r="G97" t="e">
        <f t="shared" si="13"/>
        <v>#VALUE!</v>
      </c>
      <c r="H97" t="e">
        <f t="shared" si="14"/>
        <v>#VALUE!</v>
      </c>
      <c r="I97" s="56" t="str">
        <f t="shared" si="15"/>
        <v/>
      </c>
      <c r="J97" s="58" t="str">
        <f t="shared" si="16"/>
        <v/>
      </c>
      <c r="L97">
        <f>MIN(SEARCH({0,1,2,3,4,5,6,7,8,9},K97&amp;"0123456789"))</f>
        <v>1</v>
      </c>
      <c r="M97" t="str">
        <f t="shared" si="17"/>
        <v/>
      </c>
      <c r="O97" s="71">
        <f t="shared" si="18"/>
        <v>0</v>
      </c>
      <c r="AA97" t="str">
        <f t="shared" si="19"/>
        <v/>
      </c>
    </row>
    <row r="98" spans="2:27">
      <c r="B98" s="54" t="str">
        <f t="shared" si="10"/>
        <v/>
      </c>
      <c r="C98" t="str">
        <f>IFERROR(VLOOKUP(A98,Processor_DB_Intel!$A$1:'Processor_DB_Intel'!$D$422,4,FALSE),"")</f>
        <v/>
      </c>
      <c r="D98" t="str">
        <f>IFERROR(LEFT(VLOOKUP(A98,Processor_DB_Intel!$A$1:'Processor_DB_Intel'!$F$422,6,FALSE),3),"")</f>
        <v/>
      </c>
      <c r="E98" s="74" t="str">
        <f t="shared" si="11"/>
        <v/>
      </c>
      <c r="F98" s="56" t="str">
        <f t="shared" si="12"/>
        <v/>
      </c>
      <c r="G98" t="e">
        <f t="shared" si="13"/>
        <v>#VALUE!</v>
      </c>
      <c r="H98" t="e">
        <f t="shared" si="14"/>
        <v>#VALUE!</v>
      </c>
      <c r="I98" s="56" t="str">
        <f t="shared" si="15"/>
        <v/>
      </c>
      <c r="J98" s="58" t="str">
        <f t="shared" si="16"/>
        <v/>
      </c>
      <c r="L98">
        <f>MIN(SEARCH({0,1,2,3,4,5,6,7,8,9},K98&amp;"0123456789"))</f>
        <v>1</v>
      </c>
      <c r="M98" t="str">
        <f t="shared" si="17"/>
        <v/>
      </c>
      <c r="O98" s="71">
        <f t="shared" si="18"/>
        <v>0</v>
      </c>
      <c r="AA98" t="str">
        <f t="shared" si="19"/>
        <v/>
      </c>
    </row>
    <row r="99" spans="2:27">
      <c r="B99" s="54" t="str">
        <f t="shared" si="10"/>
        <v/>
      </c>
      <c r="C99" t="str">
        <f>IFERROR(VLOOKUP(A99,Processor_DB_Intel!$A$1:'Processor_DB_Intel'!$D$422,4,FALSE),"")</f>
        <v/>
      </c>
      <c r="D99" t="str">
        <f>IFERROR(LEFT(VLOOKUP(A99,Processor_DB_Intel!$A$1:'Processor_DB_Intel'!$F$422,6,FALSE),3),"")</f>
        <v/>
      </c>
      <c r="E99" s="74" t="str">
        <f t="shared" si="11"/>
        <v/>
      </c>
      <c r="F99" s="56" t="str">
        <f t="shared" si="12"/>
        <v/>
      </c>
      <c r="G99" t="e">
        <f t="shared" si="13"/>
        <v>#VALUE!</v>
      </c>
      <c r="H99" t="e">
        <f t="shared" si="14"/>
        <v>#VALUE!</v>
      </c>
      <c r="I99" s="56" t="str">
        <f t="shared" si="15"/>
        <v/>
      </c>
      <c r="J99" s="58" t="str">
        <f t="shared" si="16"/>
        <v/>
      </c>
      <c r="L99">
        <f>MIN(SEARCH({0,1,2,3,4,5,6,7,8,9},K99&amp;"0123456789"))</f>
        <v>1</v>
      </c>
      <c r="M99" t="str">
        <f t="shared" si="17"/>
        <v/>
      </c>
      <c r="O99" s="71">
        <f t="shared" si="18"/>
        <v>0</v>
      </c>
      <c r="AA99" t="str">
        <f t="shared" si="19"/>
        <v/>
      </c>
    </row>
    <row r="100" spans="2:27">
      <c r="B100" s="54" t="str">
        <f t="shared" si="10"/>
        <v/>
      </c>
      <c r="C100" t="str">
        <f>IFERROR(VLOOKUP(A100,Processor_DB_Intel!$A$1:'Processor_DB_Intel'!$D$422,4,FALSE),"")</f>
        <v/>
      </c>
      <c r="D100" t="str">
        <f>IFERROR(LEFT(VLOOKUP(A100,Processor_DB_Intel!$A$1:'Processor_DB_Intel'!$F$422,6,FALSE),3),"")</f>
        <v/>
      </c>
      <c r="E100" s="74" t="str">
        <f t="shared" si="11"/>
        <v/>
      </c>
      <c r="F100" s="56" t="str">
        <f t="shared" si="12"/>
        <v/>
      </c>
      <c r="G100" t="e">
        <f t="shared" si="13"/>
        <v>#VALUE!</v>
      </c>
      <c r="H100" t="e">
        <f t="shared" si="14"/>
        <v>#VALUE!</v>
      </c>
      <c r="I100" s="56" t="str">
        <f t="shared" si="15"/>
        <v/>
      </c>
      <c r="J100" s="58" t="str">
        <f t="shared" si="16"/>
        <v/>
      </c>
      <c r="L100">
        <f>MIN(SEARCH({0,1,2,3,4,5,6,7,8,9},K100&amp;"0123456789"))</f>
        <v>1</v>
      </c>
      <c r="M100" t="str">
        <f t="shared" si="17"/>
        <v/>
      </c>
      <c r="O100" s="71">
        <f t="shared" si="18"/>
        <v>0</v>
      </c>
      <c r="AA100" t="str">
        <f t="shared" si="19"/>
        <v/>
      </c>
    </row>
    <row r="101" spans="2:27">
      <c r="B101" s="54" t="str">
        <f t="shared" si="10"/>
        <v/>
      </c>
      <c r="C101" t="str">
        <f>IFERROR(VLOOKUP(A101,Processor_DB_Intel!$A$1:'Processor_DB_Intel'!$D$422,4,FALSE),"")</f>
        <v/>
      </c>
      <c r="D101" t="str">
        <f>IFERROR(LEFT(VLOOKUP(A101,Processor_DB_Intel!$A$1:'Processor_DB_Intel'!$F$422,6,FALSE),3),"")</f>
        <v/>
      </c>
      <c r="E101" s="74" t="str">
        <f t="shared" si="11"/>
        <v/>
      </c>
      <c r="F101" s="56" t="str">
        <f t="shared" si="12"/>
        <v/>
      </c>
      <c r="G101" t="e">
        <f t="shared" si="13"/>
        <v>#VALUE!</v>
      </c>
      <c r="H101" t="e">
        <f t="shared" si="14"/>
        <v>#VALUE!</v>
      </c>
      <c r="I101" s="56" t="str">
        <f t="shared" si="15"/>
        <v/>
      </c>
      <c r="J101" s="58" t="str">
        <f t="shared" si="16"/>
        <v/>
      </c>
      <c r="L101">
        <f>MIN(SEARCH({0,1,2,3,4,5,6,7,8,9},K101&amp;"0123456789"))</f>
        <v>1</v>
      </c>
      <c r="M101" t="str">
        <f t="shared" si="17"/>
        <v/>
      </c>
      <c r="O101" s="71">
        <f t="shared" si="18"/>
        <v>0</v>
      </c>
      <c r="AA101" t="str">
        <f t="shared" si="19"/>
        <v/>
      </c>
    </row>
    <row r="102" spans="2:27">
      <c r="B102" s="54" t="str">
        <f t="shared" si="10"/>
        <v/>
      </c>
      <c r="C102" t="str">
        <f>IFERROR(VLOOKUP(A102,Processor_DB_Intel!$A$1:'Processor_DB_Intel'!$D$422,4,FALSE),"")</f>
        <v/>
      </c>
      <c r="D102" t="str">
        <f>IFERROR(LEFT(VLOOKUP(A102,Processor_DB_Intel!$A$1:'Processor_DB_Intel'!$F$422,6,FALSE),3),"")</f>
        <v/>
      </c>
      <c r="E102" s="74" t="str">
        <f t="shared" si="11"/>
        <v/>
      </c>
      <c r="F102" s="56" t="str">
        <f t="shared" si="12"/>
        <v/>
      </c>
      <c r="G102" t="e">
        <f t="shared" si="13"/>
        <v>#VALUE!</v>
      </c>
      <c r="H102" t="e">
        <f t="shared" si="14"/>
        <v>#VALUE!</v>
      </c>
      <c r="I102" s="56" t="str">
        <f t="shared" si="15"/>
        <v/>
      </c>
      <c r="J102" s="58" t="str">
        <f t="shared" si="16"/>
        <v/>
      </c>
      <c r="L102">
        <f>MIN(SEARCH({0,1,2,3,4,5,6,7,8,9},K102&amp;"0123456789"))</f>
        <v>1</v>
      </c>
      <c r="M102" t="str">
        <f t="shared" si="17"/>
        <v/>
      </c>
      <c r="O102" s="71">
        <f t="shared" si="18"/>
        <v>0</v>
      </c>
      <c r="AA102" t="str">
        <f t="shared" si="19"/>
        <v/>
      </c>
    </row>
    <row r="103" spans="2:27">
      <c r="B103" s="54" t="str">
        <f t="shared" si="10"/>
        <v/>
      </c>
      <c r="C103" t="str">
        <f>IFERROR(VLOOKUP(A103,Processor_DB_Intel!$A$1:'Processor_DB_Intel'!$D$422,4,FALSE),"")</f>
        <v/>
      </c>
      <c r="D103" t="str">
        <f>IFERROR(LEFT(VLOOKUP(A103,Processor_DB_Intel!$A$1:'Processor_DB_Intel'!$F$422,6,FALSE),3),"")</f>
        <v/>
      </c>
      <c r="E103" s="74" t="str">
        <f t="shared" si="11"/>
        <v/>
      </c>
      <c r="F103" s="56" t="str">
        <f t="shared" si="12"/>
        <v/>
      </c>
      <c r="G103" t="e">
        <f t="shared" si="13"/>
        <v>#VALUE!</v>
      </c>
      <c r="H103" t="e">
        <f t="shared" si="14"/>
        <v>#VALUE!</v>
      </c>
      <c r="I103" s="56" t="str">
        <f t="shared" si="15"/>
        <v/>
      </c>
      <c r="J103" s="58" t="str">
        <f t="shared" si="16"/>
        <v/>
      </c>
      <c r="L103">
        <f>MIN(SEARCH({0,1,2,3,4,5,6,7,8,9},K103&amp;"0123456789"))</f>
        <v>1</v>
      </c>
      <c r="M103" t="str">
        <f t="shared" si="17"/>
        <v/>
      </c>
      <c r="O103" s="71">
        <f t="shared" si="18"/>
        <v>0</v>
      </c>
      <c r="AA103" t="str">
        <f t="shared" si="19"/>
        <v/>
      </c>
    </row>
    <row r="104" spans="2:27">
      <c r="B104" s="54" t="str">
        <f t="shared" si="10"/>
        <v/>
      </c>
      <c r="C104" t="str">
        <f>IFERROR(VLOOKUP(A104,Processor_DB_Intel!$A$1:'Processor_DB_Intel'!$D$422,4,FALSE),"")</f>
        <v/>
      </c>
      <c r="D104" t="str">
        <f>IFERROR(LEFT(VLOOKUP(A104,Processor_DB_Intel!$A$1:'Processor_DB_Intel'!$F$422,6,FALSE),3),"")</f>
        <v/>
      </c>
      <c r="E104" s="74" t="str">
        <f t="shared" si="11"/>
        <v/>
      </c>
      <c r="F104" s="56" t="str">
        <f t="shared" si="12"/>
        <v/>
      </c>
      <c r="G104" t="e">
        <f t="shared" si="13"/>
        <v>#VALUE!</v>
      </c>
      <c r="H104" t="e">
        <f t="shared" si="14"/>
        <v>#VALUE!</v>
      </c>
      <c r="I104" s="56" t="str">
        <f t="shared" si="15"/>
        <v/>
      </c>
      <c r="J104" s="58" t="str">
        <f t="shared" si="16"/>
        <v/>
      </c>
      <c r="L104">
        <f>MIN(SEARCH({0,1,2,3,4,5,6,7,8,9},K104&amp;"0123456789"))</f>
        <v>1</v>
      </c>
      <c r="M104" t="str">
        <f t="shared" si="17"/>
        <v/>
      </c>
      <c r="O104" s="71">
        <f t="shared" si="18"/>
        <v>0</v>
      </c>
      <c r="AA104" t="str">
        <f t="shared" si="19"/>
        <v/>
      </c>
    </row>
    <row r="105" spans="2:27">
      <c r="B105" s="54" t="str">
        <f t="shared" si="10"/>
        <v/>
      </c>
      <c r="C105" t="str">
        <f>IFERROR(VLOOKUP(A105,Processor_DB_Intel!$A$1:'Processor_DB_Intel'!$D$422,4,FALSE),"")</f>
        <v/>
      </c>
      <c r="D105" t="str">
        <f>IFERROR(LEFT(VLOOKUP(A105,Processor_DB_Intel!$A$1:'Processor_DB_Intel'!$F$422,6,FALSE),3),"")</f>
        <v/>
      </c>
      <c r="E105" s="74" t="str">
        <f t="shared" si="11"/>
        <v/>
      </c>
      <c r="F105" s="56" t="str">
        <f t="shared" si="12"/>
        <v/>
      </c>
      <c r="G105" t="e">
        <f t="shared" si="13"/>
        <v>#VALUE!</v>
      </c>
      <c r="H105" t="e">
        <f t="shared" si="14"/>
        <v>#VALUE!</v>
      </c>
      <c r="I105" s="56" t="str">
        <f t="shared" si="15"/>
        <v/>
      </c>
      <c r="J105" s="58" t="str">
        <f t="shared" si="16"/>
        <v/>
      </c>
      <c r="L105">
        <f>MIN(SEARCH({0,1,2,3,4,5,6,7,8,9},K105&amp;"0123456789"))</f>
        <v>1</v>
      </c>
      <c r="M105" t="str">
        <f t="shared" si="17"/>
        <v/>
      </c>
      <c r="O105" s="71">
        <f t="shared" si="18"/>
        <v>0</v>
      </c>
      <c r="AA105" t="str">
        <f t="shared" si="19"/>
        <v/>
      </c>
    </row>
    <row r="106" spans="2:27">
      <c r="B106" s="54" t="str">
        <f t="shared" si="10"/>
        <v/>
      </c>
      <c r="C106" t="str">
        <f>IFERROR(VLOOKUP(A106,Processor_DB_Intel!$A$1:'Processor_DB_Intel'!$D$422,4,FALSE),"")</f>
        <v/>
      </c>
      <c r="D106" t="str">
        <f>IFERROR(LEFT(VLOOKUP(A106,Processor_DB_Intel!$A$1:'Processor_DB_Intel'!$F$422,6,FALSE),3),"")</f>
        <v/>
      </c>
      <c r="E106" s="74" t="str">
        <f t="shared" si="11"/>
        <v/>
      </c>
      <c r="F106" s="56" t="str">
        <f t="shared" si="12"/>
        <v/>
      </c>
      <c r="G106" t="e">
        <f t="shared" si="13"/>
        <v>#VALUE!</v>
      </c>
      <c r="H106" t="e">
        <f t="shared" si="14"/>
        <v>#VALUE!</v>
      </c>
      <c r="I106" s="56" t="str">
        <f t="shared" si="15"/>
        <v/>
      </c>
      <c r="J106" s="58" t="str">
        <f t="shared" si="16"/>
        <v/>
      </c>
      <c r="L106">
        <f>MIN(SEARCH({0,1,2,3,4,5,6,7,8,9},K106&amp;"0123456789"))</f>
        <v>1</v>
      </c>
      <c r="M106" t="str">
        <f t="shared" si="17"/>
        <v/>
      </c>
      <c r="O106" s="71">
        <f t="shared" si="18"/>
        <v>0</v>
      </c>
      <c r="AA106" t="str">
        <f t="shared" si="19"/>
        <v/>
      </c>
    </row>
    <row r="107" spans="2:27">
      <c r="B107" s="54" t="str">
        <f t="shared" si="10"/>
        <v/>
      </c>
      <c r="C107" t="str">
        <f>IFERROR(VLOOKUP(A107,Processor_DB_Intel!$A$1:'Processor_DB_Intel'!$D$422,4,FALSE),"")</f>
        <v/>
      </c>
      <c r="D107" t="str">
        <f>IFERROR(LEFT(VLOOKUP(A107,Processor_DB_Intel!$A$1:'Processor_DB_Intel'!$F$422,6,FALSE),3),"")</f>
        <v/>
      </c>
      <c r="E107" s="74" t="str">
        <f t="shared" si="11"/>
        <v/>
      </c>
      <c r="F107" s="56" t="str">
        <f t="shared" si="12"/>
        <v/>
      </c>
      <c r="G107" t="e">
        <f t="shared" si="13"/>
        <v>#VALUE!</v>
      </c>
      <c r="H107" t="e">
        <f t="shared" si="14"/>
        <v>#VALUE!</v>
      </c>
      <c r="I107" s="56" t="str">
        <f t="shared" si="15"/>
        <v/>
      </c>
      <c r="J107" s="58" t="str">
        <f t="shared" si="16"/>
        <v/>
      </c>
      <c r="L107">
        <f>MIN(SEARCH({0,1,2,3,4,5,6,7,8,9},K107&amp;"0123456789"))</f>
        <v>1</v>
      </c>
      <c r="M107" t="str">
        <f t="shared" si="17"/>
        <v/>
      </c>
      <c r="O107" s="71">
        <f t="shared" si="18"/>
        <v>0</v>
      </c>
      <c r="AA107" t="str">
        <f t="shared" si="19"/>
        <v/>
      </c>
    </row>
    <row r="108" spans="2:27">
      <c r="B108" s="54" t="str">
        <f t="shared" si="10"/>
        <v/>
      </c>
      <c r="C108" t="str">
        <f>IFERROR(VLOOKUP(A108,Processor_DB_Intel!$A$1:'Processor_DB_Intel'!$D$422,4,FALSE),"")</f>
        <v/>
      </c>
      <c r="D108" t="str">
        <f>IFERROR(LEFT(VLOOKUP(A108,Processor_DB_Intel!$A$1:'Processor_DB_Intel'!$F$422,6,FALSE),3),"")</f>
        <v/>
      </c>
      <c r="E108" s="74" t="str">
        <f t="shared" si="11"/>
        <v/>
      </c>
      <c r="F108" s="56" t="str">
        <f t="shared" si="12"/>
        <v/>
      </c>
      <c r="G108" t="e">
        <f t="shared" si="13"/>
        <v>#VALUE!</v>
      </c>
      <c r="H108" t="e">
        <f t="shared" si="14"/>
        <v>#VALUE!</v>
      </c>
      <c r="I108" s="56" t="str">
        <f t="shared" si="15"/>
        <v/>
      </c>
      <c r="J108" s="58" t="str">
        <f t="shared" si="16"/>
        <v/>
      </c>
      <c r="L108">
        <f>MIN(SEARCH({0,1,2,3,4,5,6,7,8,9},K108&amp;"0123456789"))</f>
        <v>1</v>
      </c>
      <c r="M108" t="str">
        <f t="shared" si="17"/>
        <v/>
      </c>
      <c r="O108" s="71">
        <f t="shared" si="18"/>
        <v>0</v>
      </c>
      <c r="AA108" t="str">
        <f t="shared" si="19"/>
        <v/>
      </c>
    </row>
    <row r="109" spans="2:27">
      <c r="B109" s="54" t="str">
        <f t="shared" si="10"/>
        <v/>
      </c>
      <c r="C109" t="str">
        <f>IFERROR(VLOOKUP(A109,Processor_DB_Intel!$A$1:'Processor_DB_Intel'!$D$422,4,FALSE),"")</f>
        <v/>
      </c>
      <c r="D109" t="str">
        <f>IFERROR(LEFT(VLOOKUP(A109,Processor_DB_Intel!$A$1:'Processor_DB_Intel'!$F$422,6,FALSE),3),"")</f>
        <v/>
      </c>
      <c r="E109" s="74" t="str">
        <f t="shared" si="11"/>
        <v/>
      </c>
      <c r="F109" s="56" t="str">
        <f t="shared" si="12"/>
        <v/>
      </c>
      <c r="G109" t="e">
        <f t="shared" si="13"/>
        <v>#VALUE!</v>
      </c>
      <c r="H109" t="e">
        <f t="shared" si="14"/>
        <v>#VALUE!</v>
      </c>
      <c r="I109" s="56" t="str">
        <f t="shared" si="15"/>
        <v/>
      </c>
      <c r="J109" s="58" t="str">
        <f t="shared" si="16"/>
        <v/>
      </c>
      <c r="L109">
        <f>MIN(SEARCH({0,1,2,3,4,5,6,7,8,9},K109&amp;"0123456789"))</f>
        <v>1</v>
      </c>
      <c r="M109" t="str">
        <f t="shared" si="17"/>
        <v/>
      </c>
      <c r="O109" s="71">
        <f t="shared" si="18"/>
        <v>0</v>
      </c>
      <c r="AA109" t="str">
        <f t="shared" si="19"/>
        <v/>
      </c>
    </row>
    <row r="110" spans="2:27">
      <c r="B110" s="54" t="str">
        <f t="shared" si="10"/>
        <v/>
      </c>
      <c r="C110" t="str">
        <f>IFERROR(VLOOKUP(A110,Processor_DB_Intel!$A$1:'Processor_DB_Intel'!$D$422,4,FALSE),"")</f>
        <v/>
      </c>
      <c r="D110" t="str">
        <f>IFERROR(LEFT(VLOOKUP(A110,Processor_DB_Intel!$A$1:'Processor_DB_Intel'!$F$422,6,FALSE),3),"")</f>
        <v/>
      </c>
      <c r="E110" s="74" t="str">
        <f t="shared" si="11"/>
        <v/>
      </c>
      <c r="F110" s="56" t="str">
        <f t="shared" si="12"/>
        <v/>
      </c>
      <c r="G110" t="e">
        <f t="shared" si="13"/>
        <v>#VALUE!</v>
      </c>
      <c r="H110" t="e">
        <f t="shared" si="14"/>
        <v>#VALUE!</v>
      </c>
      <c r="I110" s="56" t="str">
        <f t="shared" si="15"/>
        <v/>
      </c>
      <c r="J110" s="58" t="str">
        <f t="shared" si="16"/>
        <v/>
      </c>
      <c r="L110">
        <f>MIN(SEARCH({0,1,2,3,4,5,6,7,8,9},K110&amp;"0123456789"))</f>
        <v>1</v>
      </c>
      <c r="M110" t="str">
        <f t="shared" si="17"/>
        <v/>
      </c>
      <c r="O110" s="71">
        <f t="shared" si="18"/>
        <v>0</v>
      </c>
      <c r="AA110" t="str">
        <f t="shared" si="19"/>
        <v/>
      </c>
    </row>
    <row r="111" spans="2:27">
      <c r="B111" s="54" t="str">
        <f t="shared" si="10"/>
        <v/>
      </c>
      <c r="C111" t="str">
        <f>IFERROR(VLOOKUP(A111,Processor_DB_Intel!$A$1:'Processor_DB_Intel'!$D$422,4,FALSE),"")</f>
        <v/>
      </c>
      <c r="D111" t="str">
        <f>IFERROR(LEFT(VLOOKUP(A111,Processor_DB_Intel!$A$1:'Processor_DB_Intel'!$F$422,6,FALSE),3),"")</f>
        <v/>
      </c>
      <c r="E111" s="74" t="str">
        <f t="shared" si="11"/>
        <v/>
      </c>
      <c r="F111" s="56" t="str">
        <f t="shared" si="12"/>
        <v/>
      </c>
      <c r="G111" t="e">
        <f t="shared" si="13"/>
        <v>#VALUE!</v>
      </c>
      <c r="H111" t="e">
        <f t="shared" si="14"/>
        <v>#VALUE!</v>
      </c>
      <c r="I111" s="56" t="str">
        <f t="shared" si="15"/>
        <v/>
      </c>
      <c r="J111" s="58" t="str">
        <f t="shared" si="16"/>
        <v/>
      </c>
      <c r="L111">
        <f>MIN(SEARCH({0,1,2,3,4,5,6,7,8,9},K111&amp;"0123456789"))</f>
        <v>1</v>
      </c>
      <c r="M111" t="str">
        <f t="shared" si="17"/>
        <v/>
      </c>
      <c r="O111" s="71">
        <f t="shared" si="18"/>
        <v>0</v>
      </c>
      <c r="AA111" t="str">
        <f t="shared" si="19"/>
        <v/>
      </c>
    </row>
    <row r="112" spans="2:27">
      <c r="B112" s="54" t="str">
        <f t="shared" si="10"/>
        <v/>
      </c>
      <c r="C112" t="str">
        <f>IFERROR(VLOOKUP(A112,Processor_DB_Intel!$A$1:'Processor_DB_Intel'!$D$422,4,FALSE),"")</f>
        <v/>
      </c>
      <c r="D112" t="str">
        <f>IFERROR(LEFT(VLOOKUP(A112,Processor_DB_Intel!$A$1:'Processor_DB_Intel'!$F$422,6,FALSE),3),"")</f>
        <v/>
      </c>
      <c r="E112" s="74" t="str">
        <f t="shared" si="11"/>
        <v/>
      </c>
      <c r="F112" s="56" t="str">
        <f t="shared" si="12"/>
        <v/>
      </c>
      <c r="G112" t="e">
        <f t="shared" si="13"/>
        <v>#VALUE!</v>
      </c>
      <c r="H112" t="e">
        <f t="shared" si="14"/>
        <v>#VALUE!</v>
      </c>
      <c r="I112" s="56" t="str">
        <f t="shared" si="15"/>
        <v/>
      </c>
      <c r="J112" s="58" t="str">
        <f t="shared" si="16"/>
        <v/>
      </c>
      <c r="L112">
        <f>MIN(SEARCH({0,1,2,3,4,5,6,7,8,9},K112&amp;"0123456789"))</f>
        <v>1</v>
      </c>
      <c r="M112" t="str">
        <f t="shared" si="17"/>
        <v/>
      </c>
      <c r="O112" s="71">
        <f t="shared" si="18"/>
        <v>0</v>
      </c>
      <c r="AA112" t="str">
        <f t="shared" si="19"/>
        <v/>
      </c>
    </row>
    <row r="113" spans="2:27">
      <c r="B113" s="54" t="str">
        <f t="shared" si="10"/>
        <v/>
      </c>
      <c r="C113" t="str">
        <f>IFERROR(VLOOKUP(A113,Processor_DB_Intel!$A$1:'Processor_DB_Intel'!$D$422,4,FALSE),"")</f>
        <v/>
      </c>
      <c r="D113" t="str">
        <f>IFERROR(LEFT(VLOOKUP(A113,Processor_DB_Intel!$A$1:'Processor_DB_Intel'!$F$422,6,FALSE),3),"")</f>
        <v/>
      </c>
      <c r="E113" s="74" t="str">
        <f t="shared" si="11"/>
        <v/>
      </c>
      <c r="F113" s="56" t="str">
        <f t="shared" si="12"/>
        <v/>
      </c>
      <c r="G113" t="e">
        <f t="shared" si="13"/>
        <v>#VALUE!</v>
      </c>
      <c r="H113" t="e">
        <f t="shared" si="14"/>
        <v>#VALUE!</v>
      </c>
      <c r="I113" s="56" t="str">
        <f t="shared" si="15"/>
        <v/>
      </c>
      <c r="J113" s="58" t="str">
        <f t="shared" si="16"/>
        <v/>
      </c>
      <c r="L113">
        <f>MIN(SEARCH({0,1,2,3,4,5,6,7,8,9},K113&amp;"0123456789"))</f>
        <v>1</v>
      </c>
      <c r="M113" t="str">
        <f t="shared" si="17"/>
        <v/>
      </c>
      <c r="O113" s="71">
        <f t="shared" si="18"/>
        <v>0</v>
      </c>
      <c r="AA113" t="str">
        <f t="shared" si="19"/>
        <v/>
      </c>
    </row>
    <row r="114" spans="2:27">
      <c r="B114" s="54" t="str">
        <f t="shared" si="10"/>
        <v/>
      </c>
      <c r="C114" t="str">
        <f>IFERROR(VLOOKUP(A114,Processor_DB_Intel!$A$1:'Processor_DB_Intel'!$D$422,4,FALSE),"")</f>
        <v/>
      </c>
      <c r="D114" t="str">
        <f>IFERROR(LEFT(VLOOKUP(A114,Processor_DB_Intel!$A$1:'Processor_DB_Intel'!$F$422,6,FALSE),3),"")</f>
        <v/>
      </c>
      <c r="E114" s="74" t="str">
        <f t="shared" si="11"/>
        <v/>
      </c>
      <c r="F114" s="56" t="str">
        <f t="shared" si="12"/>
        <v/>
      </c>
      <c r="G114" t="e">
        <f t="shared" si="13"/>
        <v>#VALUE!</v>
      </c>
      <c r="H114" t="e">
        <f t="shared" si="14"/>
        <v>#VALUE!</v>
      </c>
      <c r="I114" s="56" t="str">
        <f t="shared" si="15"/>
        <v/>
      </c>
      <c r="J114" s="58" t="str">
        <f t="shared" si="16"/>
        <v/>
      </c>
      <c r="L114">
        <f>MIN(SEARCH({0,1,2,3,4,5,6,7,8,9},K114&amp;"0123456789"))</f>
        <v>1</v>
      </c>
      <c r="M114" t="str">
        <f t="shared" si="17"/>
        <v/>
      </c>
      <c r="O114" s="71">
        <f t="shared" si="18"/>
        <v>0</v>
      </c>
      <c r="AA114" t="str">
        <f t="shared" si="19"/>
        <v/>
      </c>
    </row>
    <row r="115" spans="2:27">
      <c r="B115" s="54" t="str">
        <f t="shared" si="10"/>
        <v/>
      </c>
      <c r="C115" t="str">
        <f>IFERROR(VLOOKUP(A115,Processor_DB_Intel!$A$1:'Processor_DB_Intel'!$D$422,4,FALSE),"")</f>
        <v/>
      </c>
      <c r="D115" t="str">
        <f>IFERROR(LEFT(VLOOKUP(A115,Processor_DB_Intel!$A$1:'Processor_DB_Intel'!$F$422,6,FALSE),3),"")</f>
        <v/>
      </c>
      <c r="E115" s="74" t="str">
        <f t="shared" si="11"/>
        <v/>
      </c>
      <c r="F115" s="56" t="str">
        <f t="shared" si="12"/>
        <v/>
      </c>
      <c r="G115" t="e">
        <f t="shared" si="13"/>
        <v>#VALUE!</v>
      </c>
      <c r="H115" t="e">
        <f t="shared" si="14"/>
        <v>#VALUE!</v>
      </c>
      <c r="I115" s="56" t="str">
        <f t="shared" si="15"/>
        <v/>
      </c>
      <c r="J115" s="58" t="str">
        <f t="shared" si="16"/>
        <v/>
      </c>
      <c r="L115">
        <f>MIN(SEARCH({0,1,2,3,4,5,6,7,8,9},K115&amp;"0123456789"))</f>
        <v>1</v>
      </c>
      <c r="M115" t="str">
        <f t="shared" si="17"/>
        <v/>
      </c>
      <c r="O115" s="71">
        <f t="shared" si="18"/>
        <v>0</v>
      </c>
      <c r="AA115" t="str">
        <f t="shared" si="19"/>
        <v/>
      </c>
    </row>
    <row r="116" spans="2:27">
      <c r="B116" s="54" t="str">
        <f t="shared" si="10"/>
        <v/>
      </c>
      <c r="C116" t="str">
        <f>IFERROR(VLOOKUP(A116,Processor_DB_Intel!$A$1:'Processor_DB_Intel'!$D$422,4,FALSE),"")</f>
        <v/>
      </c>
      <c r="D116" t="str">
        <f>IFERROR(LEFT(VLOOKUP(A116,Processor_DB_Intel!$A$1:'Processor_DB_Intel'!$F$422,6,FALSE),3),"")</f>
        <v/>
      </c>
      <c r="E116" s="74" t="str">
        <f t="shared" si="11"/>
        <v/>
      </c>
      <c r="F116" s="56" t="str">
        <f t="shared" si="12"/>
        <v/>
      </c>
      <c r="G116" t="e">
        <f t="shared" si="13"/>
        <v>#VALUE!</v>
      </c>
      <c r="H116" t="e">
        <f t="shared" si="14"/>
        <v>#VALUE!</v>
      </c>
      <c r="I116" s="56" t="str">
        <f t="shared" si="15"/>
        <v/>
      </c>
      <c r="J116" s="58" t="str">
        <f t="shared" si="16"/>
        <v/>
      </c>
      <c r="L116">
        <f>MIN(SEARCH({0,1,2,3,4,5,6,7,8,9},K116&amp;"0123456789"))</f>
        <v>1</v>
      </c>
      <c r="M116" t="str">
        <f t="shared" si="17"/>
        <v/>
      </c>
      <c r="O116" s="71">
        <f t="shared" si="18"/>
        <v>0</v>
      </c>
      <c r="AA116" t="str">
        <f t="shared" si="19"/>
        <v/>
      </c>
    </row>
    <row r="117" spans="2:27">
      <c r="B117" s="54" t="str">
        <f t="shared" si="10"/>
        <v/>
      </c>
      <c r="C117" t="str">
        <f>IFERROR(VLOOKUP(A117,Processor_DB_Intel!$A$1:'Processor_DB_Intel'!$D$422,4,FALSE),"")</f>
        <v/>
      </c>
      <c r="D117" t="str">
        <f>IFERROR(LEFT(VLOOKUP(A117,Processor_DB_Intel!$A$1:'Processor_DB_Intel'!$F$422,6,FALSE),3),"")</f>
        <v/>
      </c>
      <c r="E117" s="74" t="str">
        <f t="shared" si="11"/>
        <v/>
      </c>
      <c r="F117" s="56" t="str">
        <f t="shared" si="12"/>
        <v/>
      </c>
      <c r="G117" t="e">
        <f t="shared" si="13"/>
        <v>#VALUE!</v>
      </c>
      <c r="H117" t="e">
        <f t="shared" si="14"/>
        <v>#VALUE!</v>
      </c>
      <c r="I117" s="56" t="str">
        <f t="shared" si="15"/>
        <v/>
      </c>
      <c r="J117" s="58" t="str">
        <f t="shared" si="16"/>
        <v/>
      </c>
      <c r="L117">
        <f>MIN(SEARCH({0,1,2,3,4,5,6,7,8,9},K117&amp;"0123456789"))</f>
        <v>1</v>
      </c>
      <c r="M117" t="str">
        <f t="shared" si="17"/>
        <v/>
      </c>
      <c r="O117" s="71">
        <f t="shared" si="18"/>
        <v>0</v>
      </c>
      <c r="AA117" t="str">
        <f t="shared" si="19"/>
        <v/>
      </c>
    </row>
    <row r="118" spans="2:27">
      <c r="B118" s="54" t="str">
        <f t="shared" si="10"/>
        <v/>
      </c>
      <c r="C118" t="str">
        <f>IFERROR(VLOOKUP(A118,Processor_DB_Intel!$A$1:'Processor_DB_Intel'!$D$422,4,FALSE),"")</f>
        <v/>
      </c>
      <c r="D118" t="str">
        <f>IFERROR(LEFT(VLOOKUP(A118,Processor_DB_Intel!$A$1:'Processor_DB_Intel'!$F$422,6,FALSE),3),"")</f>
        <v/>
      </c>
      <c r="E118" s="74" t="str">
        <f t="shared" si="11"/>
        <v/>
      </c>
      <c r="F118" s="56" t="str">
        <f t="shared" si="12"/>
        <v/>
      </c>
      <c r="G118" t="e">
        <f t="shared" si="13"/>
        <v>#VALUE!</v>
      </c>
      <c r="H118" t="e">
        <f t="shared" si="14"/>
        <v>#VALUE!</v>
      </c>
      <c r="I118" s="56" t="str">
        <f t="shared" si="15"/>
        <v/>
      </c>
      <c r="J118" s="58" t="str">
        <f t="shared" si="16"/>
        <v/>
      </c>
      <c r="L118">
        <f>MIN(SEARCH({0,1,2,3,4,5,6,7,8,9},K118&amp;"0123456789"))</f>
        <v>1</v>
      </c>
      <c r="M118" t="str">
        <f t="shared" si="17"/>
        <v/>
      </c>
      <c r="O118" s="71">
        <f t="shared" si="18"/>
        <v>0</v>
      </c>
      <c r="AA118" t="str">
        <f t="shared" si="19"/>
        <v/>
      </c>
    </row>
    <row r="119" spans="2:27">
      <c r="B119" s="54" t="str">
        <f t="shared" si="10"/>
        <v/>
      </c>
      <c r="C119" t="str">
        <f>IFERROR(VLOOKUP(A119,Processor_DB_Intel!$A$1:'Processor_DB_Intel'!$D$422,4,FALSE),"")</f>
        <v/>
      </c>
      <c r="D119" t="str">
        <f>IFERROR(LEFT(VLOOKUP(A119,Processor_DB_Intel!$A$1:'Processor_DB_Intel'!$F$422,6,FALSE),3),"")</f>
        <v/>
      </c>
      <c r="E119" s="74" t="str">
        <f t="shared" si="11"/>
        <v/>
      </c>
      <c r="F119" s="56" t="str">
        <f t="shared" si="12"/>
        <v/>
      </c>
      <c r="G119" t="e">
        <f t="shared" si="13"/>
        <v>#VALUE!</v>
      </c>
      <c r="H119" t="e">
        <f t="shared" si="14"/>
        <v>#VALUE!</v>
      </c>
      <c r="I119" s="56" t="str">
        <f t="shared" si="15"/>
        <v/>
      </c>
      <c r="J119" s="58" t="str">
        <f t="shared" si="16"/>
        <v/>
      </c>
      <c r="L119">
        <f>MIN(SEARCH({0,1,2,3,4,5,6,7,8,9},K119&amp;"0123456789"))</f>
        <v>1</v>
      </c>
      <c r="M119" t="str">
        <f t="shared" si="17"/>
        <v/>
      </c>
      <c r="O119" s="71">
        <f t="shared" si="18"/>
        <v>0</v>
      </c>
      <c r="AA119" t="str">
        <f t="shared" si="19"/>
        <v/>
      </c>
    </row>
    <row r="120" spans="2:27">
      <c r="B120" s="54" t="str">
        <f t="shared" si="10"/>
        <v/>
      </c>
      <c r="C120" t="str">
        <f>IFERROR(VLOOKUP(A120,Processor_DB_Intel!$A$1:'Processor_DB_Intel'!$D$422,4,FALSE),"")</f>
        <v/>
      </c>
      <c r="D120" t="str">
        <f>IFERROR(LEFT(VLOOKUP(A120,Processor_DB_Intel!$A$1:'Processor_DB_Intel'!$F$422,6,FALSE),3),"")</f>
        <v/>
      </c>
      <c r="E120" s="74" t="str">
        <f t="shared" si="11"/>
        <v/>
      </c>
      <c r="F120" s="56" t="str">
        <f t="shared" si="12"/>
        <v/>
      </c>
      <c r="G120" t="e">
        <f t="shared" si="13"/>
        <v>#VALUE!</v>
      </c>
      <c r="H120" t="e">
        <f t="shared" si="14"/>
        <v>#VALUE!</v>
      </c>
      <c r="I120" s="56" t="str">
        <f t="shared" si="15"/>
        <v/>
      </c>
      <c r="J120" s="58" t="str">
        <f t="shared" si="16"/>
        <v/>
      </c>
      <c r="L120">
        <f>MIN(SEARCH({0,1,2,3,4,5,6,7,8,9},K120&amp;"0123456789"))</f>
        <v>1</v>
      </c>
      <c r="M120" t="str">
        <f t="shared" si="17"/>
        <v/>
      </c>
      <c r="O120" s="71">
        <f t="shared" si="18"/>
        <v>0</v>
      </c>
      <c r="AA120" t="str">
        <f t="shared" si="19"/>
        <v/>
      </c>
    </row>
    <row r="121" spans="2:27">
      <c r="B121" s="54" t="str">
        <f t="shared" si="10"/>
        <v/>
      </c>
      <c r="C121" t="str">
        <f>IFERROR(VLOOKUP(A121,Processor_DB_Intel!$A$1:'Processor_DB_Intel'!$D$422,4,FALSE),"")</f>
        <v/>
      </c>
      <c r="D121" t="str">
        <f>IFERROR(LEFT(VLOOKUP(A121,Processor_DB_Intel!$A$1:'Processor_DB_Intel'!$F$422,6,FALSE),3),"")</f>
        <v/>
      </c>
      <c r="E121" s="74" t="str">
        <f t="shared" si="11"/>
        <v/>
      </c>
      <c r="F121" s="56" t="str">
        <f t="shared" si="12"/>
        <v/>
      </c>
      <c r="G121" t="e">
        <f t="shared" si="13"/>
        <v>#VALUE!</v>
      </c>
      <c r="H121" t="e">
        <f t="shared" si="14"/>
        <v>#VALUE!</v>
      </c>
      <c r="I121" s="56" t="str">
        <f t="shared" si="15"/>
        <v/>
      </c>
      <c r="J121" s="58" t="str">
        <f t="shared" si="16"/>
        <v/>
      </c>
      <c r="L121">
        <f>MIN(SEARCH({0,1,2,3,4,5,6,7,8,9},K121&amp;"0123456789"))</f>
        <v>1</v>
      </c>
      <c r="M121" t="str">
        <f t="shared" si="17"/>
        <v/>
      </c>
      <c r="O121" s="71">
        <f t="shared" si="18"/>
        <v>0</v>
      </c>
      <c r="AA121" t="str">
        <f t="shared" si="19"/>
        <v/>
      </c>
    </row>
    <row r="122" spans="2:27">
      <c r="B122" s="54" t="str">
        <f t="shared" si="10"/>
        <v/>
      </c>
      <c r="C122" t="str">
        <f>IFERROR(VLOOKUP(A122,Processor_DB_Intel!$A$1:'Processor_DB_Intel'!$D$422,4,FALSE),"")</f>
        <v/>
      </c>
      <c r="D122" t="str">
        <f>IFERROR(LEFT(VLOOKUP(A122,Processor_DB_Intel!$A$1:'Processor_DB_Intel'!$F$422,6,FALSE),3),"")</f>
        <v/>
      </c>
      <c r="E122" s="74" t="str">
        <f t="shared" si="11"/>
        <v/>
      </c>
      <c r="F122" s="56" t="str">
        <f t="shared" si="12"/>
        <v/>
      </c>
      <c r="G122" t="e">
        <f t="shared" si="13"/>
        <v>#VALUE!</v>
      </c>
      <c r="H122" t="e">
        <f t="shared" si="14"/>
        <v>#VALUE!</v>
      </c>
      <c r="I122" s="56" t="str">
        <f t="shared" si="15"/>
        <v/>
      </c>
      <c r="J122" s="58" t="str">
        <f t="shared" si="16"/>
        <v/>
      </c>
      <c r="L122">
        <f>MIN(SEARCH({0,1,2,3,4,5,6,7,8,9},K122&amp;"0123456789"))</f>
        <v>1</v>
      </c>
      <c r="M122" t="str">
        <f t="shared" si="17"/>
        <v/>
      </c>
      <c r="O122" s="71">
        <f t="shared" si="18"/>
        <v>0</v>
      </c>
      <c r="AA122" t="str">
        <f t="shared" si="19"/>
        <v/>
      </c>
    </row>
    <row r="123" spans="2:27">
      <c r="B123" s="54" t="str">
        <f t="shared" si="10"/>
        <v/>
      </c>
      <c r="C123" t="str">
        <f>IFERROR(VLOOKUP(A123,Processor_DB_Intel!$A$1:'Processor_DB_Intel'!$D$422,4,FALSE),"")</f>
        <v/>
      </c>
      <c r="D123" t="str">
        <f>IFERROR(LEFT(VLOOKUP(A123,Processor_DB_Intel!$A$1:'Processor_DB_Intel'!$F$422,6,FALSE),3),"")</f>
        <v/>
      </c>
      <c r="E123" s="74" t="str">
        <f t="shared" si="11"/>
        <v/>
      </c>
      <c r="F123" s="56" t="str">
        <f t="shared" si="12"/>
        <v/>
      </c>
      <c r="G123" t="e">
        <f t="shared" si="13"/>
        <v>#VALUE!</v>
      </c>
      <c r="H123" t="e">
        <f t="shared" si="14"/>
        <v>#VALUE!</v>
      </c>
      <c r="I123" s="56" t="str">
        <f t="shared" si="15"/>
        <v/>
      </c>
      <c r="J123" s="58" t="str">
        <f t="shared" si="16"/>
        <v/>
      </c>
      <c r="L123">
        <f>MIN(SEARCH({0,1,2,3,4,5,6,7,8,9},K123&amp;"0123456789"))</f>
        <v>1</v>
      </c>
      <c r="M123" t="str">
        <f t="shared" si="17"/>
        <v/>
      </c>
      <c r="O123" s="71">
        <f t="shared" si="18"/>
        <v>0</v>
      </c>
      <c r="AA123" t="str">
        <f t="shared" si="19"/>
        <v/>
      </c>
    </row>
    <row r="124" spans="2:27">
      <c r="B124" s="54" t="str">
        <f t="shared" si="10"/>
        <v/>
      </c>
      <c r="C124" t="str">
        <f>IFERROR(VLOOKUP(A124,Processor_DB_Intel!$A$1:'Processor_DB_Intel'!$D$422,4,FALSE),"")</f>
        <v/>
      </c>
      <c r="D124" t="str">
        <f>IFERROR(LEFT(VLOOKUP(A124,Processor_DB_Intel!$A$1:'Processor_DB_Intel'!$F$422,6,FALSE),3),"")</f>
        <v/>
      </c>
      <c r="E124" s="74" t="str">
        <f t="shared" si="11"/>
        <v/>
      </c>
      <c r="F124" s="56" t="str">
        <f t="shared" si="12"/>
        <v/>
      </c>
      <c r="G124" t="e">
        <f t="shared" si="13"/>
        <v>#VALUE!</v>
      </c>
      <c r="H124" t="e">
        <f t="shared" si="14"/>
        <v>#VALUE!</v>
      </c>
      <c r="I124" s="56" t="str">
        <f t="shared" si="15"/>
        <v/>
      </c>
      <c r="J124" s="58" t="str">
        <f t="shared" si="16"/>
        <v/>
      </c>
      <c r="L124">
        <f>MIN(SEARCH({0,1,2,3,4,5,6,7,8,9},K124&amp;"0123456789"))</f>
        <v>1</v>
      </c>
      <c r="M124" t="str">
        <f t="shared" si="17"/>
        <v/>
      </c>
      <c r="O124" s="71">
        <f t="shared" si="18"/>
        <v>0</v>
      </c>
      <c r="AA124" t="str">
        <f t="shared" si="19"/>
        <v/>
      </c>
    </row>
    <row r="125" spans="2:27">
      <c r="B125" s="54" t="str">
        <f t="shared" si="10"/>
        <v/>
      </c>
      <c r="C125" t="str">
        <f>IFERROR(VLOOKUP(A125,Processor_DB_Intel!$A$1:'Processor_DB_Intel'!$D$422,4,FALSE),"")</f>
        <v/>
      </c>
      <c r="D125" t="str">
        <f>IFERROR(LEFT(VLOOKUP(A125,Processor_DB_Intel!$A$1:'Processor_DB_Intel'!$F$422,6,FALSE),3),"")</f>
        <v/>
      </c>
      <c r="E125" s="74" t="str">
        <f t="shared" si="11"/>
        <v/>
      </c>
      <c r="F125" s="56" t="str">
        <f t="shared" si="12"/>
        <v/>
      </c>
      <c r="G125" t="e">
        <f t="shared" si="13"/>
        <v>#VALUE!</v>
      </c>
      <c r="H125" t="e">
        <f t="shared" si="14"/>
        <v>#VALUE!</v>
      </c>
      <c r="I125" s="56" t="str">
        <f t="shared" si="15"/>
        <v/>
      </c>
      <c r="J125" s="58" t="str">
        <f t="shared" si="16"/>
        <v/>
      </c>
      <c r="L125">
        <f>MIN(SEARCH({0,1,2,3,4,5,6,7,8,9},K125&amp;"0123456789"))</f>
        <v>1</v>
      </c>
      <c r="M125" t="str">
        <f t="shared" si="17"/>
        <v/>
      </c>
      <c r="O125" s="71">
        <f t="shared" si="18"/>
        <v>0</v>
      </c>
      <c r="AA125" t="str">
        <f t="shared" si="19"/>
        <v/>
      </c>
    </row>
    <row r="126" spans="2:27">
      <c r="B126" s="54" t="str">
        <f t="shared" si="10"/>
        <v/>
      </c>
      <c r="C126" t="str">
        <f>IFERROR(VLOOKUP(A126,Processor_DB_Intel!$A$1:'Processor_DB_Intel'!$D$422,4,FALSE),"")</f>
        <v/>
      </c>
      <c r="D126" t="str">
        <f>IFERROR(LEFT(VLOOKUP(A126,Processor_DB_Intel!$A$1:'Processor_DB_Intel'!$F$422,6,FALSE),3),"")</f>
        <v/>
      </c>
      <c r="E126" s="74" t="str">
        <f t="shared" si="11"/>
        <v/>
      </c>
      <c r="F126" s="56" t="str">
        <f t="shared" si="12"/>
        <v/>
      </c>
      <c r="G126" t="e">
        <f t="shared" si="13"/>
        <v>#VALUE!</v>
      </c>
      <c r="H126" t="e">
        <f t="shared" si="14"/>
        <v>#VALUE!</v>
      </c>
      <c r="I126" s="56" t="str">
        <f t="shared" si="15"/>
        <v/>
      </c>
      <c r="J126" s="58" t="str">
        <f t="shared" si="16"/>
        <v/>
      </c>
      <c r="L126">
        <f>MIN(SEARCH({0,1,2,3,4,5,6,7,8,9},K126&amp;"0123456789"))</f>
        <v>1</v>
      </c>
      <c r="M126" t="str">
        <f t="shared" si="17"/>
        <v/>
      </c>
      <c r="O126" s="71">
        <f t="shared" si="18"/>
        <v>0</v>
      </c>
      <c r="AA126" t="str">
        <f t="shared" si="19"/>
        <v/>
      </c>
    </row>
    <row r="127" spans="2:27">
      <c r="B127" s="54" t="str">
        <f t="shared" si="10"/>
        <v/>
      </c>
      <c r="C127" t="str">
        <f>IFERROR(VLOOKUP(A127,Processor_DB_Intel!$A$1:'Processor_DB_Intel'!$D$422,4,FALSE),"")</f>
        <v/>
      </c>
      <c r="D127" t="str">
        <f>IFERROR(LEFT(VLOOKUP(A127,Processor_DB_Intel!$A$1:'Processor_DB_Intel'!$F$422,6,FALSE),3),"")</f>
        <v/>
      </c>
      <c r="E127" s="74" t="str">
        <f t="shared" si="11"/>
        <v/>
      </c>
      <c r="F127" s="56" t="str">
        <f t="shared" si="12"/>
        <v/>
      </c>
      <c r="G127" t="e">
        <f t="shared" si="13"/>
        <v>#VALUE!</v>
      </c>
      <c r="H127" t="e">
        <f t="shared" si="14"/>
        <v>#VALUE!</v>
      </c>
      <c r="I127" s="56" t="str">
        <f t="shared" si="15"/>
        <v/>
      </c>
      <c r="J127" s="58" t="str">
        <f t="shared" si="16"/>
        <v/>
      </c>
      <c r="L127">
        <f>MIN(SEARCH({0,1,2,3,4,5,6,7,8,9},K127&amp;"0123456789"))</f>
        <v>1</v>
      </c>
      <c r="M127" t="str">
        <f t="shared" si="17"/>
        <v/>
      </c>
      <c r="O127" s="71">
        <f t="shared" si="18"/>
        <v>0</v>
      </c>
      <c r="AA127" t="str">
        <f t="shared" si="19"/>
        <v/>
      </c>
    </row>
    <row r="128" spans="2:27">
      <c r="B128" s="54" t="str">
        <f t="shared" si="10"/>
        <v/>
      </c>
      <c r="C128" t="str">
        <f>IFERROR(VLOOKUP(A128,Processor_DB_Intel!$A$1:'Processor_DB_Intel'!$D$422,4,FALSE),"")</f>
        <v/>
      </c>
      <c r="D128" t="str">
        <f>IFERROR(LEFT(VLOOKUP(A128,Processor_DB_Intel!$A$1:'Processor_DB_Intel'!$F$422,6,FALSE),3),"")</f>
        <v/>
      </c>
      <c r="E128" s="74" t="str">
        <f t="shared" si="11"/>
        <v/>
      </c>
      <c r="F128" s="56" t="str">
        <f t="shared" si="12"/>
        <v/>
      </c>
      <c r="G128" t="e">
        <f t="shared" si="13"/>
        <v>#VALUE!</v>
      </c>
      <c r="H128" t="e">
        <f t="shared" si="14"/>
        <v>#VALUE!</v>
      </c>
      <c r="I128" s="56" t="str">
        <f t="shared" si="15"/>
        <v/>
      </c>
      <c r="J128" s="58" t="str">
        <f t="shared" si="16"/>
        <v/>
      </c>
      <c r="L128">
        <f>MIN(SEARCH({0,1,2,3,4,5,6,7,8,9},K128&amp;"0123456789"))</f>
        <v>1</v>
      </c>
      <c r="M128" t="str">
        <f t="shared" si="17"/>
        <v/>
      </c>
      <c r="O128" s="71">
        <f t="shared" si="18"/>
        <v>0</v>
      </c>
      <c r="AA128" t="str">
        <f t="shared" si="19"/>
        <v/>
      </c>
    </row>
    <row r="129" spans="2:27">
      <c r="B129" s="54" t="str">
        <f t="shared" si="10"/>
        <v/>
      </c>
      <c r="C129" t="str">
        <f>IFERROR(VLOOKUP(A129,Processor_DB_Intel!$A$1:'Processor_DB_Intel'!$D$422,4,FALSE),"")</f>
        <v/>
      </c>
      <c r="D129" t="str">
        <f>IFERROR(LEFT(VLOOKUP(A129,Processor_DB_Intel!$A$1:'Processor_DB_Intel'!$F$422,6,FALSE),3),"")</f>
        <v/>
      </c>
      <c r="E129" s="74" t="str">
        <f t="shared" si="11"/>
        <v/>
      </c>
      <c r="F129" s="56" t="str">
        <f t="shared" si="12"/>
        <v/>
      </c>
      <c r="G129" t="e">
        <f t="shared" si="13"/>
        <v>#VALUE!</v>
      </c>
      <c r="H129" t="e">
        <f t="shared" si="14"/>
        <v>#VALUE!</v>
      </c>
      <c r="I129" s="56" t="str">
        <f t="shared" si="15"/>
        <v/>
      </c>
      <c r="J129" s="58" t="str">
        <f t="shared" si="16"/>
        <v/>
      </c>
      <c r="L129">
        <f>MIN(SEARCH({0,1,2,3,4,5,6,7,8,9},K129&amp;"0123456789"))</f>
        <v>1</v>
      </c>
      <c r="M129" t="str">
        <f t="shared" si="17"/>
        <v/>
      </c>
      <c r="O129" s="71">
        <f t="shared" si="18"/>
        <v>0</v>
      </c>
      <c r="AA129" t="str">
        <f t="shared" si="19"/>
        <v/>
      </c>
    </row>
    <row r="130" spans="2:27">
      <c r="B130" s="54" t="str">
        <f t="shared" si="10"/>
        <v/>
      </c>
      <c r="C130" t="str">
        <f>IFERROR(VLOOKUP(A130,Processor_DB_Intel!$A$1:'Processor_DB_Intel'!$D$422,4,FALSE),"")</f>
        <v/>
      </c>
      <c r="D130" t="str">
        <f>IFERROR(LEFT(VLOOKUP(A130,Processor_DB_Intel!$A$1:'Processor_DB_Intel'!$F$422,6,FALSE),3),"")</f>
        <v/>
      </c>
      <c r="E130" s="74" t="str">
        <f t="shared" si="11"/>
        <v/>
      </c>
      <c r="F130" s="56" t="str">
        <f t="shared" si="12"/>
        <v/>
      </c>
      <c r="G130" t="e">
        <f t="shared" si="13"/>
        <v>#VALUE!</v>
      </c>
      <c r="H130" t="e">
        <f t="shared" si="14"/>
        <v>#VALUE!</v>
      </c>
      <c r="I130" s="56" t="str">
        <f t="shared" si="15"/>
        <v/>
      </c>
      <c r="J130" s="58" t="str">
        <f t="shared" si="16"/>
        <v/>
      </c>
      <c r="L130">
        <f>MIN(SEARCH({0,1,2,3,4,5,6,7,8,9},K130&amp;"0123456789"))</f>
        <v>1</v>
      </c>
      <c r="M130" t="str">
        <f t="shared" si="17"/>
        <v/>
      </c>
      <c r="O130" s="71">
        <f t="shared" si="18"/>
        <v>0</v>
      </c>
      <c r="AA130" t="str">
        <f t="shared" si="19"/>
        <v/>
      </c>
    </row>
    <row r="131" spans="2:27">
      <c r="B131" s="54" t="str">
        <f t="shared" si="10"/>
        <v/>
      </c>
      <c r="C131" t="str">
        <f>IFERROR(VLOOKUP(A131,Processor_DB_Intel!$A$1:'Processor_DB_Intel'!$D$422,4,FALSE),"")</f>
        <v/>
      </c>
      <c r="D131" t="str">
        <f>IFERROR(LEFT(VLOOKUP(A131,Processor_DB_Intel!$A$1:'Processor_DB_Intel'!$F$422,6,FALSE),3),"")</f>
        <v/>
      </c>
      <c r="E131" s="74" t="str">
        <f t="shared" si="11"/>
        <v/>
      </c>
      <c r="F131" s="56" t="str">
        <f t="shared" si="12"/>
        <v/>
      </c>
      <c r="G131" t="e">
        <f t="shared" si="13"/>
        <v>#VALUE!</v>
      </c>
      <c r="H131" t="e">
        <f t="shared" si="14"/>
        <v>#VALUE!</v>
      </c>
      <c r="I131" s="56" t="str">
        <f t="shared" si="15"/>
        <v/>
      </c>
      <c r="J131" s="58" t="str">
        <f t="shared" si="16"/>
        <v/>
      </c>
      <c r="L131">
        <f>MIN(SEARCH({0,1,2,3,4,5,6,7,8,9},K131&amp;"0123456789"))</f>
        <v>1</v>
      </c>
      <c r="M131" t="str">
        <f t="shared" si="17"/>
        <v/>
      </c>
      <c r="O131" s="71">
        <f t="shared" si="18"/>
        <v>0</v>
      </c>
      <c r="AA131" t="str">
        <f t="shared" si="19"/>
        <v/>
      </c>
    </row>
    <row r="132" spans="2:27">
      <c r="B132" s="54" t="str">
        <f t="shared" si="10"/>
        <v/>
      </c>
      <c r="C132" t="str">
        <f>IFERROR(VLOOKUP(A132,Processor_DB_Intel!$A$1:'Processor_DB_Intel'!$D$422,4,FALSE),"")</f>
        <v/>
      </c>
      <c r="D132" t="str">
        <f>IFERROR(LEFT(VLOOKUP(A132,Processor_DB_Intel!$A$1:'Processor_DB_Intel'!$F$422,6,FALSE),3),"")</f>
        <v/>
      </c>
      <c r="E132" s="74" t="str">
        <f t="shared" si="11"/>
        <v/>
      </c>
      <c r="F132" s="56" t="str">
        <f t="shared" si="12"/>
        <v/>
      </c>
      <c r="G132" t="e">
        <f t="shared" si="13"/>
        <v>#VALUE!</v>
      </c>
      <c r="H132" t="e">
        <f t="shared" si="14"/>
        <v>#VALUE!</v>
      </c>
      <c r="I132" s="56" t="str">
        <f t="shared" si="15"/>
        <v/>
      </c>
      <c r="J132" s="58" t="str">
        <f t="shared" si="16"/>
        <v/>
      </c>
      <c r="L132">
        <f>MIN(SEARCH({0,1,2,3,4,5,6,7,8,9},K132&amp;"0123456789"))</f>
        <v>1</v>
      </c>
      <c r="M132" t="str">
        <f t="shared" si="17"/>
        <v/>
      </c>
      <c r="O132" s="71">
        <f t="shared" si="18"/>
        <v>0</v>
      </c>
      <c r="AA132" t="str">
        <f t="shared" si="19"/>
        <v/>
      </c>
    </row>
    <row r="133" spans="2:27">
      <c r="B133" s="54" t="str">
        <f t="shared" ref="B133:B196" si="20">TRIM(MID(SUBSTITUTE(A133," ",REPT(" ",LEN(A133))), (4-1)*LEN(A133)+1, LEN(A133)))</f>
        <v/>
      </c>
      <c r="C133" t="str">
        <f>IFERROR(VLOOKUP(A133,Processor_DB_Intel!$A$1:'Processor_DB_Intel'!$D$422,4,FALSE),"")</f>
        <v/>
      </c>
      <c r="D133" t="str">
        <f>IFERROR(LEFT(VLOOKUP(A133,Processor_DB_Intel!$A$1:'Processor_DB_Intel'!$F$422,6,FALSE),3),"")</f>
        <v/>
      </c>
      <c r="E133" s="74" t="str">
        <f t="shared" ref="E133:E196" si="21">IF(O133 = 0,"",O133)</f>
        <v/>
      </c>
      <c r="F133" s="56" t="str">
        <f t="shared" ref="F133:F196" si="22">IFERROR(E133/C133,"")</f>
        <v/>
      </c>
      <c r="G133" t="e">
        <f t="shared" ref="G133:G196" si="23">C133*D133</f>
        <v>#VALUE!</v>
      </c>
      <c r="H133" t="e">
        <f t="shared" ref="H133:H196" si="24">G133*2</f>
        <v>#VALUE!</v>
      </c>
      <c r="I133" s="56" t="str">
        <f t="shared" ref="I133:I196" si="25">IFERROR(E133/G133,"")</f>
        <v/>
      </c>
      <c r="J133" s="58" t="str">
        <f t="shared" ref="J133:J196" si="26">IFERROR(1-(I133/$AC$3),"")</f>
        <v/>
      </c>
      <c r="L133">
        <f>MIN(SEARCH({0,1,2,3,4,5,6,7,8,9},K133&amp;"0123456789"))</f>
        <v>1</v>
      </c>
      <c r="M133" t="str">
        <f t="shared" ref="M133:M196" si="27">LEFT(RIGHT(K133,LEN(K133)-L133+1),6)</f>
        <v/>
      </c>
      <c r="O133" s="71">
        <f t="shared" ref="O133:O196" si="28">IFERROR(RIGHT(SUBSTITUTE(N133,"$",CHAR(9),2),LEN(N133)-FIND(CHAR(9),SUBSTITUTE(N133,"$",CHAR(9),2),1) ),N133)</f>
        <v>0</v>
      </c>
      <c r="AA133" t="str">
        <f t="shared" si="19"/>
        <v/>
      </c>
    </row>
    <row r="134" spans="2:27">
      <c r="B134" s="54" t="str">
        <f t="shared" si="20"/>
        <v/>
      </c>
      <c r="C134" t="str">
        <f>IFERROR(VLOOKUP(A134,Processor_DB_Intel!$A$1:'Processor_DB_Intel'!$D$422,4,FALSE),"")</f>
        <v/>
      </c>
      <c r="D134" t="str">
        <f>IFERROR(LEFT(VLOOKUP(A134,Processor_DB_Intel!$A$1:'Processor_DB_Intel'!$F$422,6,FALSE),3),"")</f>
        <v/>
      </c>
      <c r="E134" s="74" t="str">
        <f t="shared" si="21"/>
        <v/>
      </c>
      <c r="F134" s="56" t="str">
        <f t="shared" si="22"/>
        <v/>
      </c>
      <c r="G134" t="e">
        <f t="shared" si="23"/>
        <v>#VALUE!</v>
      </c>
      <c r="H134" t="e">
        <f t="shared" si="24"/>
        <v>#VALUE!</v>
      </c>
      <c r="I134" s="56" t="str">
        <f t="shared" si="25"/>
        <v/>
      </c>
      <c r="J134" s="58" t="str">
        <f t="shared" si="26"/>
        <v/>
      </c>
      <c r="L134">
        <f>MIN(SEARCH({0,1,2,3,4,5,6,7,8,9},K134&amp;"0123456789"))</f>
        <v>1</v>
      </c>
      <c r="M134" t="str">
        <f t="shared" si="27"/>
        <v/>
      </c>
      <c r="O134" s="71">
        <f t="shared" si="28"/>
        <v>0</v>
      </c>
      <c r="AA134" t="str">
        <f t="shared" ref="AA134:AA197" si="29">_xlfn.IFNA(I134,0)</f>
        <v/>
      </c>
    </row>
    <row r="135" spans="2:27">
      <c r="B135" s="54" t="str">
        <f t="shared" si="20"/>
        <v/>
      </c>
      <c r="C135" t="str">
        <f>IFERROR(VLOOKUP(A135,Processor_DB_Intel!$A$1:'Processor_DB_Intel'!$D$422,4,FALSE),"")</f>
        <v/>
      </c>
      <c r="D135" t="str">
        <f>IFERROR(LEFT(VLOOKUP(A135,Processor_DB_Intel!$A$1:'Processor_DB_Intel'!$F$422,6,FALSE),3),"")</f>
        <v/>
      </c>
      <c r="E135" s="74" t="str">
        <f t="shared" si="21"/>
        <v/>
      </c>
      <c r="F135" s="56" t="str">
        <f t="shared" si="22"/>
        <v/>
      </c>
      <c r="G135" t="e">
        <f t="shared" si="23"/>
        <v>#VALUE!</v>
      </c>
      <c r="H135" t="e">
        <f t="shared" si="24"/>
        <v>#VALUE!</v>
      </c>
      <c r="I135" s="56" t="str">
        <f t="shared" si="25"/>
        <v/>
      </c>
      <c r="J135" s="58" t="str">
        <f t="shared" si="26"/>
        <v/>
      </c>
      <c r="L135">
        <f>MIN(SEARCH({0,1,2,3,4,5,6,7,8,9},K135&amp;"0123456789"))</f>
        <v>1</v>
      </c>
      <c r="M135" t="str">
        <f t="shared" si="27"/>
        <v/>
      </c>
      <c r="O135" s="71">
        <f t="shared" si="28"/>
        <v>0</v>
      </c>
      <c r="AA135" t="str">
        <f t="shared" si="29"/>
        <v/>
      </c>
    </row>
    <row r="136" spans="2:27">
      <c r="B136" s="54" t="str">
        <f t="shared" si="20"/>
        <v/>
      </c>
      <c r="C136" t="str">
        <f>IFERROR(VLOOKUP(A136,Processor_DB_Intel!$A$1:'Processor_DB_Intel'!$D$422,4,FALSE),"")</f>
        <v/>
      </c>
      <c r="D136" t="str">
        <f>IFERROR(LEFT(VLOOKUP(A136,Processor_DB_Intel!$A$1:'Processor_DB_Intel'!$F$422,6,FALSE),3),"")</f>
        <v/>
      </c>
      <c r="E136" s="74" t="str">
        <f t="shared" si="21"/>
        <v/>
      </c>
      <c r="F136" s="56" t="str">
        <f t="shared" si="22"/>
        <v/>
      </c>
      <c r="G136" t="e">
        <f t="shared" si="23"/>
        <v>#VALUE!</v>
      </c>
      <c r="H136" t="e">
        <f t="shared" si="24"/>
        <v>#VALUE!</v>
      </c>
      <c r="I136" s="56" t="str">
        <f t="shared" si="25"/>
        <v/>
      </c>
      <c r="J136" s="58" t="str">
        <f t="shared" si="26"/>
        <v/>
      </c>
      <c r="L136">
        <f>MIN(SEARCH({0,1,2,3,4,5,6,7,8,9},K136&amp;"0123456789"))</f>
        <v>1</v>
      </c>
      <c r="M136" t="str">
        <f t="shared" si="27"/>
        <v/>
      </c>
      <c r="O136" s="71">
        <f t="shared" si="28"/>
        <v>0</v>
      </c>
      <c r="AA136" t="str">
        <f t="shared" si="29"/>
        <v/>
      </c>
    </row>
    <row r="137" spans="2:27">
      <c r="B137" s="54" t="str">
        <f t="shared" si="20"/>
        <v/>
      </c>
      <c r="C137" t="str">
        <f>IFERROR(VLOOKUP(A137,Processor_DB_Intel!$A$1:'Processor_DB_Intel'!$D$422,4,FALSE),"")</f>
        <v/>
      </c>
      <c r="D137" t="str">
        <f>IFERROR(LEFT(VLOOKUP(A137,Processor_DB_Intel!$A$1:'Processor_DB_Intel'!$F$422,6,FALSE),3),"")</f>
        <v/>
      </c>
      <c r="E137" s="74" t="str">
        <f t="shared" si="21"/>
        <v/>
      </c>
      <c r="F137" s="56" t="str">
        <f t="shared" si="22"/>
        <v/>
      </c>
      <c r="G137" t="e">
        <f t="shared" si="23"/>
        <v>#VALUE!</v>
      </c>
      <c r="H137" t="e">
        <f t="shared" si="24"/>
        <v>#VALUE!</v>
      </c>
      <c r="I137" s="56" t="str">
        <f t="shared" si="25"/>
        <v/>
      </c>
      <c r="J137" s="58" t="str">
        <f t="shared" si="26"/>
        <v/>
      </c>
      <c r="L137">
        <f>MIN(SEARCH({0,1,2,3,4,5,6,7,8,9},K137&amp;"0123456789"))</f>
        <v>1</v>
      </c>
      <c r="M137" t="str">
        <f t="shared" si="27"/>
        <v/>
      </c>
      <c r="O137" s="71">
        <f t="shared" si="28"/>
        <v>0</v>
      </c>
      <c r="AA137" t="str">
        <f t="shared" si="29"/>
        <v/>
      </c>
    </row>
    <row r="138" spans="2:27">
      <c r="B138" s="54" t="str">
        <f t="shared" si="20"/>
        <v/>
      </c>
      <c r="C138" t="str">
        <f>IFERROR(VLOOKUP(A138,Processor_DB_Intel!$A$1:'Processor_DB_Intel'!$D$422,4,FALSE),"")</f>
        <v/>
      </c>
      <c r="D138" t="str">
        <f>IFERROR(LEFT(VLOOKUP(A138,Processor_DB_Intel!$A$1:'Processor_DB_Intel'!$F$422,6,FALSE),3),"")</f>
        <v/>
      </c>
      <c r="E138" s="74" t="str">
        <f t="shared" si="21"/>
        <v/>
      </c>
      <c r="F138" s="56" t="str">
        <f t="shared" si="22"/>
        <v/>
      </c>
      <c r="G138" t="e">
        <f t="shared" si="23"/>
        <v>#VALUE!</v>
      </c>
      <c r="H138" t="e">
        <f t="shared" si="24"/>
        <v>#VALUE!</v>
      </c>
      <c r="I138" s="56" t="str">
        <f t="shared" si="25"/>
        <v/>
      </c>
      <c r="J138" s="58" t="str">
        <f t="shared" si="26"/>
        <v/>
      </c>
      <c r="L138">
        <f>MIN(SEARCH({0,1,2,3,4,5,6,7,8,9},K138&amp;"0123456789"))</f>
        <v>1</v>
      </c>
      <c r="M138" t="str">
        <f t="shared" si="27"/>
        <v/>
      </c>
      <c r="O138" s="71">
        <f t="shared" si="28"/>
        <v>0</v>
      </c>
      <c r="AA138" t="str">
        <f t="shared" si="29"/>
        <v/>
      </c>
    </row>
    <row r="139" spans="2:27">
      <c r="B139" s="54" t="str">
        <f t="shared" si="20"/>
        <v/>
      </c>
      <c r="C139" t="str">
        <f>IFERROR(VLOOKUP(A139,Processor_DB_Intel!$A$1:'Processor_DB_Intel'!$D$422,4,FALSE),"")</f>
        <v/>
      </c>
      <c r="D139" t="str">
        <f>IFERROR(LEFT(VLOOKUP(A139,Processor_DB_Intel!$A$1:'Processor_DB_Intel'!$F$422,6,FALSE),3),"")</f>
        <v/>
      </c>
      <c r="E139" s="74" t="str">
        <f t="shared" si="21"/>
        <v/>
      </c>
      <c r="F139" s="56" t="str">
        <f t="shared" si="22"/>
        <v/>
      </c>
      <c r="G139" t="e">
        <f t="shared" si="23"/>
        <v>#VALUE!</v>
      </c>
      <c r="H139" t="e">
        <f t="shared" si="24"/>
        <v>#VALUE!</v>
      </c>
      <c r="I139" s="56" t="str">
        <f t="shared" si="25"/>
        <v/>
      </c>
      <c r="J139" s="58" t="str">
        <f t="shared" si="26"/>
        <v/>
      </c>
      <c r="L139">
        <f>MIN(SEARCH({0,1,2,3,4,5,6,7,8,9},K139&amp;"0123456789"))</f>
        <v>1</v>
      </c>
      <c r="M139" t="str">
        <f t="shared" si="27"/>
        <v/>
      </c>
      <c r="O139" s="71">
        <f t="shared" si="28"/>
        <v>0</v>
      </c>
      <c r="AA139" t="str">
        <f t="shared" si="29"/>
        <v/>
      </c>
    </row>
    <row r="140" spans="2:27">
      <c r="B140" s="54" t="str">
        <f t="shared" si="20"/>
        <v/>
      </c>
      <c r="C140" t="str">
        <f>IFERROR(VLOOKUP(A140,Processor_DB_Intel!$A$1:'Processor_DB_Intel'!$D$422,4,FALSE),"")</f>
        <v/>
      </c>
      <c r="D140" t="str">
        <f>IFERROR(LEFT(VLOOKUP(A140,Processor_DB_Intel!$A$1:'Processor_DB_Intel'!$F$422,6,FALSE),3),"")</f>
        <v/>
      </c>
      <c r="E140" s="74" t="str">
        <f t="shared" si="21"/>
        <v/>
      </c>
      <c r="F140" s="56" t="str">
        <f t="shared" si="22"/>
        <v/>
      </c>
      <c r="G140" t="e">
        <f t="shared" si="23"/>
        <v>#VALUE!</v>
      </c>
      <c r="H140" t="e">
        <f t="shared" si="24"/>
        <v>#VALUE!</v>
      </c>
      <c r="I140" s="56" t="str">
        <f t="shared" si="25"/>
        <v/>
      </c>
      <c r="J140" s="58" t="str">
        <f t="shared" si="26"/>
        <v/>
      </c>
      <c r="L140">
        <f>MIN(SEARCH({0,1,2,3,4,5,6,7,8,9},K140&amp;"0123456789"))</f>
        <v>1</v>
      </c>
      <c r="M140" t="str">
        <f t="shared" si="27"/>
        <v/>
      </c>
      <c r="O140" s="71">
        <f t="shared" si="28"/>
        <v>0</v>
      </c>
      <c r="AA140" t="str">
        <f t="shared" si="29"/>
        <v/>
      </c>
    </row>
    <row r="141" spans="2:27">
      <c r="B141" s="54" t="str">
        <f t="shared" si="20"/>
        <v/>
      </c>
      <c r="C141" t="str">
        <f>IFERROR(VLOOKUP(A141,Processor_DB_Intel!$A$1:'Processor_DB_Intel'!$D$422,4,FALSE),"")</f>
        <v/>
      </c>
      <c r="D141" t="str">
        <f>IFERROR(LEFT(VLOOKUP(A141,Processor_DB_Intel!$A$1:'Processor_DB_Intel'!$F$422,6,FALSE),3),"")</f>
        <v/>
      </c>
      <c r="E141" s="74" t="str">
        <f t="shared" si="21"/>
        <v/>
      </c>
      <c r="F141" s="56" t="str">
        <f t="shared" si="22"/>
        <v/>
      </c>
      <c r="G141" t="e">
        <f t="shared" si="23"/>
        <v>#VALUE!</v>
      </c>
      <c r="H141" t="e">
        <f t="shared" si="24"/>
        <v>#VALUE!</v>
      </c>
      <c r="I141" s="56" t="str">
        <f t="shared" si="25"/>
        <v/>
      </c>
      <c r="J141" s="58" t="str">
        <f t="shared" si="26"/>
        <v/>
      </c>
      <c r="L141">
        <f>MIN(SEARCH({0,1,2,3,4,5,6,7,8,9},K141&amp;"0123456789"))</f>
        <v>1</v>
      </c>
      <c r="M141" t="str">
        <f t="shared" si="27"/>
        <v/>
      </c>
      <c r="O141" s="71">
        <f t="shared" si="28"/>
        <v>0</v>
      </c>
      <c r="AA141" t="str">
        <f t="shared" si="29"/>
        <v/>
      </c>
    </row>
    <row r="142" spans="2:27">
      <c r="B142" s="54" t="str">
        <f t="shared" si="20"/>
        <v/>
      </c>
      <c r="C142" t="str">
        <f>IFERROR(VLOOKUP(A142,Processor_DB_Intel!$A$1:'Processor_DB_Intel'!$D$422,4,FALSE),"")</f>
        <v/>
      </c>
      <c r="D142" t="str">
        <f>IFERROR(LEFT(VLOOKUP(A142,Processor_DB_Intel!$A$1:'Processor_DB_Intel'!$F$422,6,FALSE),3),"")</f>
        <v/>
      </c>
      <c r="E142" s="74" t="str">
        <f t="shared" si="21"/>
        <v/>
      </c>
      <c r="F142" s="56" t="str">
        <f t="shared" si="22"/>
        <v/>
      </c>
      <c r="G142" t="e">
        <f t="shared" si="23"/>
        <v>#VALUE!</v>
      </c>
      <c r="H142" t="e">
        <f t="shared" si="24"/>
        <v>#VALUE!</v>
      </c>
      <c r="I142" s="56" t="str">
        <f t="shared" si="25"/>
        <v/>
      </c>
      <c r="J142" s="58" t="str">
        <f t="shared" si="26"/>
        <v/>
      </c>
      <c r="L142">
        <f>MIN(SEARCH({0,1,2,3,4,5,6,7,8,9},K142&amp;"0123456789"))</f>
        <v>1</v>
      </c>
      <c r="M142" t="str">
        <f t="shared" si="27"/>
        <v/>
      </c>
      <c r="O142" s="71">
        <f t="shared" si="28"/>
        <v>0</v>
      </c>
      <c r="AA142" t="str">
        <f t="shared" si="29"/>
        <v/>
      </c>
    </row>
    <row r="143" spans="2:27">
      <c r="B143" s="54" t="str">
        <f t="shared" si="20"/>
        <v/>
      </c>
      <c r="C143" t="str">
        <f>IFERROR(VLOOKUP(A143,Processor_DB_Intel!$A$1:'Processor_DB_Intel'!$D$422,4,FALSE),"")</f>
        <v/>
      </c>
      <c r="D143" t="str">
        <f>IFERROR(LEFT(VLOOKUP(A143,Processor_DB_Intel!$A$1:'Processor_DB_Intel'!$F$422,6,FALSE),3),"")</f>
        <v/>
      </c>
      <c r="E143" s="74" t="str">
        <f t="shared" si="21"/>
        <v/>
      </c>
      <c r="F143" s="56" t="str">
        <f t="shared" si="22"/>
        <v/>
      </c>
      <c r="G143" t="e">
        <f t="shared" si="23"/>
        <v>#VALUE!</v>
      </c>
      <c r="H143" t="e">
        <f t="shared" si="24"/>
        <v>#VALUE!</v>
      </c>
      <c r="I143" s="56" t="str">
        <f t="shared" si="25"/>
        <v/>
      </c>
      <c r="J143" s="58" t="str">
        <f t="shared" si="26"/>
        <v/>
      </c>
      <c r="L143">
        <f>MIN(SEARCH({0,1,2,3,4,5,6,7,8,9},K143&amp;"0123456789"))</f>
        <v>1</v>
      </c>
      <c r="M143" t="str">
        <f t="shared" si="27"/>
        <v/>
      </c>
      <c r="O143" s="71">
        <f t="shared" si="28"/>
        <v>0</v>
      </c>
      <c r="AA143" t="str">
        <f t="shared" si="29"/>
        <v/>
      </c>
    </row>
    <row r="144" spans="2:27">
      <c r="B144" s="54" t="str">
        <f t="shared" si="20"/>
        <v/>
      </c>
      <c r="C144" t="str">
        <f>IFERROR(VLOOKUP(A144,Processor_DB_Intel!$A$1:'Processor_DB_Intel'!$D$422,4,FALSE),"")</f>
        <v/>
      </c>
      <c r="D144" t="str">
        <f>IFERROR(LEFT(VLOOKUP(A144,Processor_DB_Intel!$A$1:'Processor_DB_Intel'!$F$422,6,FALSE),3),"")</f>
        <v/>
      </c>
      <c r="E144" s="74" t="str">
        <f t="shared" si="21"/>
        <v/>
      </c>
      <c r="F144" s="56" t="str">
        <f t="shared" si="22"/>
        <v/>
      </c>
      <c r="G144" t="e">
        <f t="shared" si="23"/>
        <v>#VALUE!</v>
      </c>
      <c r="H144" t="e">
        <f t="shared" si="24"/>
        <v>#VALUE!</v>
      </c>
      <c r="I144" s="56" t="str">
        <f t="shared" si="25"/>
        <v/>
      </c>
      <c r="J144" s="58" t="str">
        <f t="shared" si="26"/>
        <v/>
      </c>
      <c r="L144">
        <f>MIN(SEARCH({0,1,2,3,4,5,6,7,8,9},K144&amp;"0123456789"))</f>
        <v>1</v>
      </c>
      <c r="M144" t="str">
        <f t="shared" si="27"/>
        <v/>
      </c>
      <c r="O144" s="71">
        <f t="shared" si="28"/>
        <v>0</v>
      </c>
      <c r="AA144" t="str">
        <f t="shared" si="29"/>
        <v/>
      </c>
    </row>
    <row r="145" spans="2:27">
      <c r="B145" s="54" t="str">
        <f t="shared" si="20"/>
        <v/>
      </c>
      <c r="C145" t="str">
        <f>IFERROR(VLOOKUP(A145,Processor_DB_Intel!$A$1:'Processor_DB_Intel'!$D$422,4,FALSE),"")</f>
        <v/>
      </c>
      <c r="D145" t="str">
        <f>IFERROR(LEFT(VLOOKUP(A145,Processor_DB_Intel!$A$1:'Processor_DB_Intel'!$F$422,6,FALSE),3),"")</f>
        <v/>
      </c>
      <c r="E145" s="74" t="str">
        <f t="shared" si="21"/>
        <v/>
      </c>
      <c r="F145" s="56" t="str">
        <f t="shared" si="22"/>
        <v/>
      </c>
      <c r="G145" t="e">
        <f t="shared" si="23"/>
        <v>#VALUE!</v>
      </c>
      <c r="H145" t="e">
        <f t="shared" si="24"/>
        <v>#VALUE!</v>
      </c>
      <c r="I145" s="56" t="str">
        <f t="shared" si="25"/>
        <v/>
      </c>
      <c r="J145" s="58" t="str">
        <f t="shared" si="26"/>
        <v/>
      </c>
      <c r="L145">
        <f>MIN(SEARCH({0,1,2,3,4,5,6,7,8,9},K145&amp;"0123456789"))</f>
        <v>1</v>
      </c>
      <c r="M145" t="str">
        <f t="shared" si="27"/>
        <v/>
      </c>
      <c r="O145" s="71">
        <f t="shared" si="28"/>
        <v>0</v>
      </c>
      <c r="AA145" t="str">
        <f t="shared" si="29"/>
        <v/>
      </c>
    </row>
    <row r="146" spans="2:27">
      <c r="B146" s="54" t="str">
        <f t="shared" si="20"/>
        <v/>
      </c>
      <c r="C146" t="str">
        <f>IFERROR(VLOOKUP(A146,Processor_DB_Intel!$A$1:'Processor_DB_Intel'!$D$422,4,FALSE),"")</f>
        <v/>
      </c>
      <c r="D146" t="str">
        <f>IFERROR(LEFT(VLOOKUP(A146,Processor_DB_Intel!$A$1:'Processor_DB_Intel'!$F$422,6,FALSE),3),"")</f>
        <v/>
      </c>
      <c r="E146" s="74" t="str">
        <f t="shared" si="21"/>
        <v/>
      </c>
      <c r="F146" s="56" t="str">
        <f t="shared" si="22"/>
        <v/>
      </c>
      <c r="G146" t="e">
        <f t="shared" si="23"/>
        <v>#VALUE!</v>
      </c>
      <c r="H146" t="e">
        <f t="shared" si="24"/>
        <v>#VALUE!</v>
      </c>
      <c r="I146" s="56" t="str">
        <f t="shared" si="25"/>
        <v/>
      </c>
      <c r="J146" s="58" t="str">
        <f t="shared" si="26"/>
        <v/>
      </c>
      <c r="L146">
        <f>MIN(SEARCH({0,1,2,3,4,5,6,7,8,9},K146&amp;"0123456789"))</f>
        <v>1</v>
      </c>
      <c r="M146" t="str">
        <f t="shared" si="27"/>
        <v/>
      </c>
      <c r="O146" s="71">
        <f t="shared" si="28"/>
        <v>0</v>
      </c>
      <c r="AA146" t="str">
        <f t="shared" si="29"/>
        <v/>
      </c>
    </row>
    <row r="147" spans="2:27">
      <c r="B147" s="54" t="str">
        <f t="shared" si="20"/>
        <v/>
      </c>
      <c r="C147" t="str">
        <f>IFERROR(VLOOKUP(A147,Processor_DB_Intel!$A$1:'Processor_DB_Intel'!$D$422,4,FALSE),"")</f>
        <v/>
      </c>
      <c r="D147" t="str">
        <f>IFERROR(LEFT(VLOOKUP(A147,Processor_DB_Intel!$A$1:'Processor_DB_Intel'!$F$422,6,FALSE),3),"")</f>
        <v/>
      </c>
      <c r="E147" s="74" t="str">
        <f t="shared" si="21"/>
        <v/>
      </c>
      <c r="F147" s="56" t="str">
        <f t="shared" si="22"/>
        <v/>
      </c>
      <c r="G147" t="e">
        <f t="shared" si="23"/>
        <v>#VALUE!</v>
      </c>
      <c r="H147" t="e">
        <f t="shared" si="24"/>
        <v>#VALUE!</v>
      </c>
      <c r="I147" s="56" t="str">
        <f t="shared" si="25"/>
        <v/>
      </c>
      <c r="J147" s="58" t="str">
        <f t="shared" si="26"/>
        <v/>
      </c>
      <c r="L147">
        <f>MIN(SEARCH({0,1,2,3,4,5,6,7,8,9},K147&amp;"0123456789"))</f>
        <v>1</v>
      </c>
      <c r="M147" t="str">
        <f t="shared" si="27"/>
        <v/>
      </c>
      <c r="O147" s="71">
        <f t="shared" si="28"/>
        <v>0</v>
      </c>
      <c r="AA147" t="str">
        <f t="shared" si="29"/>
        <v/>
      </c>
    </row>
    <row r="148" spans="2:27">
      <c r="B148" s="54" t="str">
        <f t="shared" si="20"/>
        <v/>
      </c>
      <c r="C148" t="str">
        <f>IFERROR(VLOOKUP(A148,Processor_DB_Intel!$A$1:'Processor_DB_Intel'!$D$422,4,FALSE),"")</f>
        <v/>
      </c>
      <c r="D148" t="str">
        <f>IFERROR(LEFT(VLOOKUP(A148,Processor_DB_Intel!$A$1:'Processor_DB_Intel'!$F$422,6,FALSE),3),"")</f>
        <v/>
      </c>
      <c r="E148" s="74" t="str">
        <f t="shared" si="21"/>
        <v/>
      </c>
      <c r="F148" s="56" t="str">
        <f t="shared" si="22"/>
        <v/>
      </c>
      <c r="G148" t="e">
        <f t="shared" si="23"/>
        <v>#VALUE!</v>
      </c>
      <c r="H148" t="e">
        <f t="shared" si="24"/>
        <v>#VALUE!</v>
      </c>
      <c r="I148" s="56" t="str">
        <f t="shared" si="25"/>
        <v/>
      </c>
      <c r="J148" s="58" t="str">
        <f t="shared" si="26"/>
        <v/>
      </c>
      <c r="L148">
        <f>MIN(SEARCH({0,1,2,3,4,5,6,7,8,9},K148&amp;"0123456789"))</f>
        <v>1</v>
      </c>
      <c r="M148" t="str">
        <f t="shared" si="27"/>
        <v/>
      </c>
      <c r="O148" s="71">
        <f t="shared" si="28"/>
        <v>0</v>
      </c>
      <c r="AA148" t="str">
        <f t="shared" si="29"/>
        <v/>
      </c>
    </row>
    <row r="149" spans="2:27">
      <c r="B149" s="54" t="str">
        <f t="shared" si="20"/>
        <v/>
      </c>
      <c r="C149" t="str">
        <f>IFERROR(VLOOKUP(A149,Processor_DB_Intel!$A$1:'Processor_DB_Intel'!$D$422,4,FALSE),"")</f>
        <v/>
      </c>
      <c r="D149" t="str">
        <f>IFERROR(LEFT(VLOOKUP(A149,Processor_DB_Intel!$A$1:'Processor_DB_Intel'!$F$422,6,FALSE),3),"")</f>
        <v/>
      </c>
      <c r="E149" s="74" t="str">
        <f t="shared" si="21"/>
        <v/>
      </c>
      <c r="F149" s="56" t="str">
        <f t="shared" si="22"/>
        <v/>
      </c>
      <c r="G149" t="e">
        <f t="shared" si="23"/>
        <v>#VALUE!</v>
      </c>
      <c r="H149" t="e">
        <f t="shared" si="24"/>
        <v>#VALUE!</v>
      </c>
      <c r="I149" s="56" t="str">
        <f t="shared" si="25"/>
        <v/>
      </c>
      <c r="J149" s="58" t="str">
        <f t="shared" si="26"/>
        <v/>
      </c>
      <c r="L149">
        <f>MIN(SEARCH({0,1,2,3,4,5,6,7,8,9},K149&amp;"0123456789"))</f>
        <v>1</v>
      </c>
      <c r="M149" t="str">
        <f t="shared" si="27"/>
        <v/>
      </c>
      <c r="O149" s="71">
        <f t="shared" si="28"/>
        <v>0</v>
      </c>
      <c r="AA149" t="str">
        <f t="shared" si="29"/>
        <v/>
      </c>
    </row>
    <row r="150" spans="2:27">
      <c r="B150" s="54" t="str">
        <f t="shared" si="20"/>
        <v/>
      </c>
      <c r="C150" t="str">
        <f>IFERROR(VLOOKUP(A150,Processor_DB_Intel!$A$1:'Processor_DB_Intel'!$D$422,4,FALSE),"")</f>
        <v/>
      </c>
      <c r="D150" t="str">
        <f>IFERROR(LEFT(VLOOKUP(A150,Processor_DB_Intel!$A$1:'Processor_DB_Intel'!$F$422,6,FALSE),3),"")</f>
        <v/>
      </c>
      <c r="E150" s="74" t="str">
        <f t="shared" si="21"/>
        <v/>
      </c>
      <c r="F150" s="56" t="str">
        <f t="shared" si="22"/>
        <v/>
      </c>
      <c r="G150" t="e">
        <f t="shared" si="23"/>
        <v>#VALUE!</v>
      </c>
      <c r="H150" t="e">
        <f t="shared" si="24"/>
        <v>#VALUE!</v>
      </c>
      <c r="I150" s="56" t="str">
        <f t="shared" si="25"/>
        <v/>
      </c>
      <c r="J150" s="58" t="str">
        <f t="shared" si="26"/>
        <v/>
      </c>
      <c r="L150">
        <f>MIN(SEARCH({0,1,2,3,4,5,6,7,8,9},K150&amp;"0123456789"))</f>
        <v>1</v>
      </c>
      <c r="M150" t="str">
        <f t="shared" si="27"/>
        <v/>
      </c>
      <c r="O150" s="71">
        <f t="shared" si="28"/>
        <v>0</v>
      </c>
      <c r="AA150" t="str">
        <f t="shared" si="29"/>
        <v/>
      </c>
    </row>
    <row r="151" spans="2:27">
      <c r="B151" s="54" t="str">
        <f t="shared" si="20"/>
        <v/>
      </c>
      <c r="C151" t="str">
        <f>IFERROR(VLOOKUP(A151,Processor_DB_Intel!$A$1:'Processor_DB_Intel'!$D$422,4,FALSE),"")</f>
        <v/>
      </c>
      <c r="D151" t="str">
        <f>IFERROR(LEFT(VLOOKUP(A151,Processor_DB_Intel!$A$1:'Processor_DB_Intel'!$F$422,6,FALSE),3),"")</f>
        <v/>
      </c>
      <c r="E151" s="74" t="str">
        <f t="shared" si="21"/>
        <v/>
      </c>
      <c r="F151" s="56" t="str">
        <f t="shared" si="22"/>
        <v/>
      </c>
      <c r="G151" t="e">
        <f t="shared" si="23"/>
        <v>#VALUE!</v>
      </c>
      <c r="H151" t="e">
        <f t="shared" si="24"/>
        <v>#VALUE!</v>
      </c>
      <c r="I151" s="56" t="str">
        <f t="shared" si="25"/>
        <v/>
      </c>
      <c r="J151" s="58" t="str">
        <f t="shared" si="26"/>
        <v/>
      </c>
      <c r="L151">
        <f>MIN(SEARCH({0,1,2,3,4,5,6,7,8,9},K151&amp;"0123456789"))</f>
        <v>1</v>
      </c>
      <c r="M151" t="str">
        <f t="shared" si="27"/>
        <v/>
      </c>
      <c r="O151" s="71">
        <f t="shared" si="28"/>
        <v>0</v>
      </c>
      <c r="AA151" t="str">
        <f t="shared" si="29"/>
        <v/>
      </c>
    </row>
    <row r="152" spans="2:27">
      <c r="B152" s="54" t="str">
        <f t="shared" si="20"/>
        <v/>
      </c>
      <c r="C152" t="str">
        <f>IFERROR(VLOOKUP(A152,Processor_DB_Intel!$A$1:'Processor_DB_Intel'!$D$422,4,FALSE),"")</f>
        <v/>
      </c>
      <c r="D152" t="str">
        <f>IFERROR(LEFT(VLOOKUP(A152,Processor_DB_Intel!$A$1:'Processor_DB_Intel'!$F$422,6,FALSE),3),"")</f>
        <v/>
      </c>
      <c r="E152" s="74" t="str">
        <f t="shared" si="21"/>
        <v/>
      </c>
      <c r="F152" s="56" t="str">
        <f t="shared" si="22"/>
        <v/>
      </c>
      <c r="G152" t="e">
        <f t="shared" si="23"/>
        <v>#VALUE!</v>
      </c>
      <c r="H152" t="e">
        <f t="shared" si="24"/>
        <v>#VALUE!</v>
      </c>
      <c r="I152" s="56" t="str">
        <f t="shared" si="25"/>
        <v/>
      </c>
      <c r="J152" s="58" t="str">
        <f t="shared" si="26"/>
        <v/>
      </c>
      <c r="L152">
        <f>MIN(SEARCH({0,1,2,3,4,5,6,7,8,9},K152&amp;"0123456789"))</f>
        <v>1</v>
      </c>
      <c r="M152" t="str">
        <f t="shared" si="27"/>
        <v/>
      </c>
      <c r="O152" s="71">
        <f t="shared" si="28"/>
        <v>0</v>
      </c>
      <c r="AA152" t="str">
        <f t="shared" si="29"/>
        <v/>
      </c>
    </row>
    <row r="153" spans="2:27">
      <c r="B153" s="54" t="str">
        <f t="shared" si="20"/>
        <v/>
      </c>
      <c r="C153" t="str">
        <f>IFERROR(VLOOKUP(A153,Processor_DB_Intel!$A$1:'Processor_DB_Intel'!$D$422,4,FALSE),"")</f>
        <v/>
      </c>
      <c r="D153" t="str">
        <f>IFERROR(LEFT(VLOOKUP(A153,Processor_DB_Intel!$A$1:'Processor_DB_Intel'!$F$422,6,FALSE),3),"")</f>
        <v/>
      </c>
      <c r="E153" s="74" t="str">
        <f t="shared" si="21"/>
        <v/>
      </c>
      <c r="F153" s="56" t="str">
        <f t="shared" si="22"/>
        <v/>
      </c>
      <c r="G153" t="e">
        <f t="shared" si="23"/>
        <v>#VALUE!</v>
      </c>
      <c r="H153" t="e">
        <f t="shared" si="24"/>
        <v>#VALUE!</v>
      </c>
      <c r="I153" s="56" t="str">
        <f t="shared" si="25"/>
        <v/>
      </c>
      <c r="J153" s="58" t="str">
        <f t="shared" si="26"/>
        <v/>
      </c>
      <c r="L153">
        <f>MIN(SEARCH({0,1,2,3,4,5,6,7,8,9},K153&amp;"0123456789"))</f>
        <v>1</v>
      </c>
      <c r="M153" t="str">
        <f t="shared" si="27"/>
        <v/>
      </c>
      <c r="O153" s="71">
        <f t="shared" si="28"/>
        <v>0</v>
      </c>
      <c r="AA153" t="str">
        <f t="shared" si="29"/>
        <v/>
      </c>
    </row>
    <row r="154" spans="2:27">
      <c r="B154" s="54" t="str">
        <f t="shared" si="20"/>
        <v/>
      </c>
      <c r="C154" t="str">
        <f>IFERROR(VLOOKUP(A154,Processor_DB_Intel!$A$1:'Processor_DB_Intel'!$D$422,4,FALSE),"")</f>
        <v/>
      </c>
      <c r="D154" t="str">
        <f>IFERROR(LEFT(VLOOKUP(A154,Processor_DB_Intel!$A$1:'Processor_DB_Intel'!$F$422,6,FALSE),3),"")</f>
        <v/>
      </c>
      <c r="E154" s="74" t="str">
        <f t="shared" si="21"/>
        <v/>
      </c>
      <c r="F154" s="56" t="str">
        <f t="shared" si="22"/>
        <v/>
      </c>
      <c r="G154" t="e">
        <f t="shared" si="23"/>
        <v>#VALUE!</v>
      </c>
      <c r="H154" t="e">
        <f t="shared" si="24"/>
        <v>#VALUE!</v>
      </c>
      <c r="I154" s="56" t="str">
        <f t="shared" si="25"/>
        <v/>
      </c>
      <c r="J154" s="58" t="str">
        <f t="shared" si="26"/>
        <v/>
      </c>
      <c r="L154">
        <f>MIN(SEARCH({0,1,2,3,4,5,6,7,8,9},K154&amp;"0123456789"))</f>
        <v>1</v>
      </c>
      <c r="M154" t="str">
        <f t="shared" si="27"/>
        <v/>
      </c>
      <c r="O154" s="71">
        <f t="shared" si="28"/>
        <v>0</v>
      </c>
      <c r="AA154" t="str">
        <f t="shared" si="29"/>
        <v/>
      </c>
    </row>
    <row r="155" spans="2:27">
      <c r="B155" s="54" t="str">
        <f t="shared" si="20"/>
        <v/>
      </c>
      <c r="C155" t="str">
        <f>IFERROR(VLOOKUP(A155,Processor_DB_Intel!$A$1:'Processor_DB_Intel'!$D$422,4,FALSE),"")</f>
        <v/>
      </c>
      <c r="D155" t="str">
        <f>IFERROR(LEFT(VLOOKUP(A155,Processor_DB_Intel!$A$1:'Processor_DB_Intel'!$F$422,6,FALSE),3),"")</f>
        <v/>
      </c>
      <c r="E155" s="74" t="str">
        <f t="shared" si="21"/>
        <v/>
      </c>
      <c r="F155" s="56" t="str">
        <f t="shared" si="22"/>
        <v/>
      </c>
      <c r="G155" t="e">
        <f t="shared" si="23"/>
        <v>#VALUE!</v>
      </c>
      <c r="H155" t="e">
        <f t="shared" si="24"/>
        <v>#VALUE!</v>
      </c>
      <c r="I155" s="56" t="str">
        <f t="shared" si="25"/>
        <v/>
      </c>
      <c r="J155" s="58" t="str">
        <f t="shared" si="26"/>
        <v/>
      </c>
      <c r="L155">
        <f>MIN(SEARCH({0,1,2,3,4,5,6,7,8,9},K155&amp;"0123456789"))</f>
        <v>1</v>
      </c>
      <c r="M155" t="str">
        <f t="shared" si="27"/>
        <v/>
      </c>
      <c r="O155" s="71">
        <f t="shared" si="28"/>
        <v>0</v>
      </c>
      <c r="AA155" t="str">
        <f t="shared" si="29"/>
        <v/>
      </c>
    </row>
    <row r="156" spans="2:27">
      <c r="B156" s="54" t="str">
        <f t="shared" si="20"/>
        <v/>
      </c>
      <c r="C156" t="str">
        <f>IFERROR(VLOOKUP(A156,Processor_DB_Intel!$A$1:'Processor_DB_Intel'!$D$422,4,FALSE),"")</f>
        <v/>
      </c>
      <c r="D156" t="str">
        <f>IFERROR(LEFT(VLOOKUP(A156,Processor_DB_Intel!$A$1:'Processor_DB_Intel'!$F$422,6,FALSE),3),"")</f>
        <v/>
      </c>
      <c r="E156" s="74" t="str">
        <f t="shared" si="21"/>
        <v/>
      </c>
      <c r="F156" s="56" t="str">
        <f t="shared" si="22"/>
        <v/>
      </c>
      <c r="G156" t="e">
        <f t="shared" si="23"/>
        <v>#VALUE!</v>
      </c>
      <c r="H156" t="e">
        <f t="shared" si="24"/>
        <v>#VALUE!</v>
      </c>
      <c r="I156" s="56" t="str">
        <f t="shared" si="25"/>
        <v/>
      </c>
      <c r="J156" s="58" t="str">
        <f t="shared" si="26"/>
        <v/>
      </c>
      <c r="L156">
        <f>MIN(SEARCH({0,1,2,3,4,5,6,7,8,9},K156&amp;"0123456789"))</f>
        <v>1</v>
      </c>
      <c r="M156" t="str">
        <f t="shared" si="27"/>
        <v/>
      </c>
      <c r="O156" s="71">
        <f t="shared" si="28"/>
        <v>0</v>
      </c>
      <c r="AA156" t="str">
        <f t="shared" si="29"/>
        <v/>
      </c>
    </row>
    <row r="157" spans="2:27">
      <c r="B157" s="54" t="str">
        <f t="shared" si="20"/>
        <v/>
      </c>
      <c r="C157" t="str">
        <f>IFERROR(VLOOKUP(A157,Processor_DB_Intel!$A$1:'Processor_DB_Intel'!$D$422,4,FALSE),"")</f>
        <v/>
      </c>
      <c r="D157" t="str">
        <f>IFERROR(LEFT(VLOOKUP(A157,Processor_DB_Intel!$A$1:'Processor_DB_Intel'!$F$422,6,FALSE),3),"")</f>
        <v/>
      </c>
      <c r="E157" s="74" t="str">
        <f t="shared" si="21"/>
        <v/>
      </c>
      <c r="F157" s="56" t="str">
        <f t="shared" si="22"/>
        <v/>
      </c>
      <c r="G157" t="e">
        <f t="shared" si="23"/>
        <v>#VALUE!</v>
      </c>
      <c r="H157" t="e">
        <f t="shared" si="24"/>
        <v>#VALUE!</v>
      </c>
      <c r="I157" s="56" t="str">
        <f t="shared" si="25"/>
        <v/>
      </c>
      <c r="J157" s="58" t="str">
        <f t="shared" si="26"/>
        <v/>
      </c>
      <c r="L157">
        <f>MIN(SEARCH({0,1,2,3,4,5,6,7,8,9},K157&amp;"0123456789"))</f>
        <v>1</v>
      </c>
      <c r="M157" t="str">
        <f t="shared" si="27"/>
        <v/>
      </c>
      <c r="O157" s="71">
        <f t="shared" si="28"/>
        <v>0</v>
      </c>
      <c r="AA157" t="str">
        <f t="shared" si="29"/>
        <v/>
      </c>
    </row>
    <row r="158" spans="2:27">
      <c r="B158" s="54" t="str">
        <f t="shared" si="20"/>
        <v/>
      </c>
      <c r="C158" t="str">
        <f>IFERROR(VLOOKUP(A158,Processor_DB_Intel!$A$1:'Processor_DB_Intel'!$D$422,4,FALSE),"")</f>
        <v/>
      </c>
      <c r="D158" t="str">
        <f>IFERROR(LEFT(VLOOKUP(A158,Processor_DB_Intel!$A$1:'Processor_DB_Intel'!$F$422,6,FALSE),3),"")</f>
        <v/>
      </c>
      <c r="E158" s="74" t="str">
        <f t="shared" si="21"/>
        <v/>
      </c>
      <c r="F158" s="56" t="str">
        <f t="shared" si="22"/>
        <v/>
      </c>
      <c r="G158" t="e">
        <f t="shared" si="23"/>
        <v>#VALUE!</v>
      </c>
      <c r="H158" t="e">
        <f t="shared" si="24"/>
        <v>#VALUE!</v>
      </c>
      <c r="I158" s="56" t="str">
        <f t="shared" si="25"/>
        <v/>
      </c>
      <c r="J158" s="58" t="str">
        <f t="shared" si="26"/>
        <v/>
      </c>
      <c r="L158">
        <f>MIN(SEARCH({0,1,2,3,4,5,6,7,8,9},K158&amp;"0123456789"))</f>
        <v>1</v>
      </c>
      <c r="M158" t="str">
        <f t="shared" si="27"/>
        <v/>
      </c>
      <c r="O158" s="71">
        <f t="shared" si="28"/>
        <v>0</v>
      </c>
      <c r="AA158" t="str">
        <f t="shared" si="29"/>
        <v/>
      </c>
    </row>
    <row r="159" spans="2:27">
      <c r="B159" s="54" t="str">
        <f t="shared" si="20"/>
        <v/>
      </c>
      <c r="C159" t="str">
        <f>IFERROR(VLOOKUP(A159,Processor_DB_Intel!$A$1:'Processor_DB_Intel'!$D$422,4,FALSE),"")</f>
        <v/>
      </c>
      <c r="D159" t="str">
        <f>IFERROR(LEFT(VLOOKUP(A159,Processor_DB_Intel!$A$1:'Processor_DB_Intel'!$F$422,6,FALSE),3),"")</f>
        <v/>
      </c>
      <c r="E159" s="74" t="str">
        <f t="shared" si="21"/>
        <v/>
      </c>
      <c r="F159" s="56" t="str">
        <f t="shared" si="22"/>
        <v/>
      </c>
      <c r="G159" t="e">
        <f t="shared" si="23"/>
        <v>#VALUE!</v>
      </c>
      <c r="H159" t="e">
        <f t="shared" si="24"/>
        <v>#VALUE!</v>
      </c>
      <c r="I159" s="56" t="str">
        <f t="shared" si="25"/>
        <v/>
      </c>
      <c r="J159" s="58" t="str">
        <f t="shared" si="26"/>
        <v/>
      </c>
      <c r="L159">
        <f>MIN(SEARCH({0,1,2,3,4,5,6,7,8,9},K159&amp;"0123456789"))</f>
        <v>1</v>
      </c>
      <c r="M159" t="str">
        <f t="shared" si="27"/>
        <v/>
      </c>
      <c r="O159" s="71">
        <f t="shared" si="28"/>
        <v>0</v>
      </c>
      <c r="AA159" t="str">
        <f t="shared" si="29"/>
        <v/>
      </c>
    </row>
    <row r="160" spans="2:27">
      <c r="B160" s="54" t="str">
        <f t="shared" si="20"/>
        <v/>
      </c>
      <c r="C160" t="str">
        <f>IFERROR(VLOOKUP(A160,Processor_DB_Intel!$A$1:'Processor_DB_Intel'!$D$422,4,FALSE),"")</f>
        <v/>
      </c>
      <c r="D160" t="str">
        <f>IFERROR(LEFT(VLOOKUP(A160,Processor_DB_Intel!$A$1:'Processor_DB_Intel'!$F$422,6,FALSE),3),"")</f>
        <v/>
      </c>
      <c r="E160" s="74" t="str">
        <f t="shared" si="21"/>
        <v/>
      </c>
      <c r="F160" s="56" t="str">
        <f t="shared" si="22"/>
        <v/>
      </c>
      <c r="G160" t="e">
        <f t="shared" si="23"/>
        <v>#VALUE!</v>
      </c>
      <c r="H160" t="e">
        <f t="shared" si="24"/>
        <v>#VALUE!</v>
      </c>
      <c r="I160" s="56" t="str">
        <f t="shared" si="25"/>
        <v/>
      </c>
      <c r="J160" s="58" t="str">
        <f t="shared" si="26"/>
        <v/>
      </c>
      <c r="L160">
        <f>MIN(SEARCH({0,1,2,3,4,5,6,7,8,9},K160&amp;"0123456789"))</f>
        <v>1</v>
      </c>
      <c r="M160" t="str">
        <f t="shared" si="27"/>
        <v/>
      </c>
      <c r="O160" s="71">
        <f t="shared" si="28"/>
        <v>0</v>
      </c>
      <c r="AA160" t="str">
        <f t="shared" si="29"/>
        <v/>
      </c>
    </row>
    <row r="161" spans="2:27">
      <c r="B161" s="54" t="str">
        <f t="shared" si="20"/>
        <v/>
      </c>
      <c r="C161" t="str">
        <f>IFERROR(VLOOKUP(A161,Processor_DB_Intel!$A$1:'Processor_DB_Intel'!$D$422,4,FALSE),"")</f>
        <v/>
      </c>
      <c r="D161" t="str">
        <f>IFERROR(LEFT(VLOOKUP(A161,Processor_DB_Intel!$A$1:'Processor_DB_Intel'!$F$422,6,FALSE),3),"")</f>
        <v/>
      </c>
      <c r="E161" s="74" t="str">
        <f t="shared" si="21"/>
        <v/>
      </c>
      <c r="F161" s="56" t="str">
        <f t="shared" si="22"/>
        <v/>
      </c>
      <c r="G161" t="e">
        <f t="shared" si="23"/>
        <v>#VALUE!</v>
      </c>
      <c r="H161" t="e">
        <f t="shared" si="24"/>
        <v>#VALUE!</v>
      </c>
      <c r="I161" s="56" t="str">
        <f t="shared" si="25"/>
        <v/>
      </c>
      <c r="J161" s="58" t="str">
        <f t="shared" si="26"/>
        <v/>
      </c>
      <c r="L161">
        <f>MIN(SEARCH({0,1,2,3,4,5,6,7,8,9},K161&amp;"0123456789"))</f>
        <v>1</v>
      </c>
      <c r="M161" t="str">
        <f t="shared" si="27"/>
        <v/>
      </c>
      <c r="O161" s="71">
        <f t="shared" si="28"/>
        <v>0</v>
      </c>
      <c r="AA161" t="str">
        <f t="shared" si="29"/>
        <v/>
      </c>
    </row>
    <row r="162" spans="2:27">
      <c r="B162" s="54" t="str">
        <f t="shared" si="20"/>
        <v/>
      </c>
      <c r="C162" t="str">
        <f>IFERROR(VLOOKUP(A162,Processor_DB_Intel!$A$1:'Processor_DB_Intel'!$D$422,4,FALSE),"")</f>
        <v/>
      </c>
      <c r="D162" t="str">
        <f>IFERROR(LEFT(VLOOKUP(A162,Processor_DB_Intel!$A$1:'Processor_DB_Intel'!$F$422,6,FALSE),3),"")</f>
        <v/>
      </c>
      <c r="E162" s="74" t="str">
        <f t="shared" si="21"/>
        <v/>
      </c>
      <c r="F162" s="56" t="str">
        <f t="shared" si="22"/>
        <v/>
      </c>
      <c r="G162" t="e">
        <f t="shared" si="23"/>
        <v>#VALUE!</v>
      </c>
      <c r="H162" t="e">
        <f t="shared" si="24"/>
        <v>#VALUE!</v>
      </c>
      <c r="I162" s="56" t="str">
        <f t="shared" si="25"/>
        <v/>
      </c>
      <c r="J162" s="58" t="str">
        <f t="shared" si="26"/>
        <v/>
      </c>
      <c r="L162">
        <f>MIN(SEARCH({0,1,2,3,4,5,6,7,8,9},K162&amp;"0123456789"))</f>
        <v>1</v>
      </c>
      <c r="M162" t="str">
        <f t="shared" si="27"/>
        <v/>
      </c>
      <c r="O162" s="71">
        <f t="shared" si="28"/>
        <v>0</v>
      </c>
      <c r="AA162" t="str">
        <f t="shared" si="29"/>
        <v/>
      </c>
    </row>
    <row r="163" spans="2:27">
      <c r="B163" s="54" t="str">
        <f t="shared" si="20"/>
        <v/>
      </c>
      <c r="C163" t="str">
        <f>IFERROR(VLOOKUP(A163,Processor_DB_Intel!$A$1:'Processor_DB_Intel'!$D$422,4,FALSE),"")</f>
        <v/>
      </c>
      <c r="D163" t="str">
        <f>IFERROR(LEFT(VLOOKUP(A163,Processor_DB_Intel!$A$1:'Processor_DB_Intel'!$F$422,6,FALSE),3),"")</f>
        <v/>
      </c>
      <c r="E163" s="74" t="str">
        <f t="shared" si="21"/>
        <v/>
      </c>
      <c r="F163" s="56" t="str">
        <f t="shared" si="22"/>
        <v/>
      </c>
      <c r="G163" t="e">
        <f t="shared" si="23"/>
        <v>#VALUE!</v>
      </c>
      <c r="H163" t="e">
        <f t="shared" si="24"/>
        <v>#VALUE!</v>
      </c>
      <c r="I163" s="56" t="str">
        <f t="shared" si="25"/>
        <v/>
      </c>
      <c r="J163" s="58" t="str">
        <f t="shared" si="26"/>
        <v/>
      </c>
      <c r="L163">
        <f>MIN(SEARCH({0,1,2,3,4,5,6,7,8,9},K163&amp;"0123456789"))</f>
        <v>1</v>
      </c>
      <c r="M163" t="str">
        <f t="shared" si="27"/>
        <v/>
      </c>
      <c r="O163" s="71">
        <f t="shared" si="28"/>
        <v>0</v>
      </c>
      <c r="AA163" t="str">
        <f t="shared" si="29"/>
        <v/>
      </c>
    </row>
    <row r="164" spans="2:27">
      <c r="B164" s="54" t="str">
        <f t="shared" si="20"/>
        <v/>
      </c>
      <c r="C164" t="str">
        <f>IFERROR(VLOOKUP(A164,Processor_DB_Intel!$A$1:'Processor_DB_Intel'!$D$422,4,FALSE),"")</f>
        <v/>
      </c>
      <c r="D164" t="str">
        <f>IFERROR(LEFT(VLOOKUP(A164,Processor_DB_Intel!$A$1:'Processor_DB_Intel'!$F$422,6,FALSE),3),"")</f>
        <v/>
      </c>
      <c r="E164" s="74" t="str">
        <f t="shared" si="21"/>
        <v/>
      </c>
      <c r="F164" s="56" t="str">
        <f t="shared" si="22"/>
        <v/>
      </c>
      <c r="G164" t="e">
        <f t="shared" si="23"/>
        <v>#VALUE!</v>
      </c>
      <c r="H164" t="e">
        <f t="shared" si="24"/>
        <v>#VALUE!</v>
      </c>
      <c r="I164" s="56" t="str">
        <f t="shared" si="25"/>
        <v/>
      </c>
      <c r="J164" s="58" t="str">
        <f t="shared" si="26"/>
        <v/>
      </c>
      <c r="L164">
        <f>MIN(SEARCH({0,1,2,3,4,5,6,7,8,9},K164&amp;"0123456789"))</f>
        <v>1</v>
      </c>
      <c r="M164" t="str">
        <f t="shared" si="27"/>
        <v/>
      </c>
      <c r="O164" s="71">
        <f t="shared" si="28"/>
        <v>0</v>
      </c>
      <c r="AA164" t="str">
        <f t="shared" si="29"/>
        <v/>
      </c>
    </row>
    <row r="165" spans="2:27">
      <c r="B165" s="54" t="str">
        <f t="shared" si="20"/>
        <v/>
      </c>
      <c r="C165" t="str">
        <f>IFERROR(VLOOKUP(A165,Processor_DB_Intel!$A$1:'Processor_DB_Intel'!$D$422,4,FALSE),"")</f>
        <v/>
      </c>
      <c r="D165" t="str">
        <f>IFERROR(LEFT(VLOOKUP(A165,Processor_DB_Intel!$A$1:'Processor_DB_Intel'!$F$422,6,FALSE),3),"")</f>
        <v/>
      </c>
      <c r="E165" s="74" t="str">
        <f t="shared" si="21"/>
        <v/>
      </c>
      <c r="F165" s="56" t="str">
        <f t="shared" si="22"/>
        <v/>
      </c>
      <c r="G165" t="e">
        <f t="shared" si="23"/>
        <v>#VALUE!</v>
      </c>
      <c r="H165" t="e">
        <f t="shared" si="24"/>
        <v>#VALUE!</v>
      </c>
      <c r="I165" s="56" t="str">
        <f t="shared" si="25"/>
        <v/>
      </c>
      <c r="J165" s="58" t="str">
        <f t="shared" si="26"/>
        <v/>
      </c>
      <c r="L165">
        <f>MIN(SEARCH({0,1,2,3,4,5,6,7,8,9},K165&amp;"0123456789"))</f>
        <v>1</v>
      </c>
      <c r="M165" t="str">
        <f t="shared" si="27"/>
        <v/>
      </c>
      <c r="O165" s="71">
        <f t="shared" si="28"/>
        <v>0</v>
      </c>
      <c r="AA165" t="str">
        <f t="shared" si="29"/>
        <v/>
      </c>
    </row>
    <row r="166" spans="2:27">
      <c r="B166" s="54" t="str">
        <f t="shared" si="20"/>
        <v/>
      </c>
      <c r="C166" t="str">
        <f>IFERROR(VLOOKUP(A166,Processor_DB_Intel!$A$1:'Processor_DB_Intel'!$D$422,4,FALSE),"")</f>
        <v/>
      </c>
      <c r="D166" t="str">
        <f>IFERROR(LEFT(VLOOKUP(A166,Processor_DB_Intel!$A$1:'Processor_DB_Intel'!$F$422,6,FALSE),3),"")</f>
        <v/>
      </c>
      <c r="E166" s="74" t="str">
        <f t="shared" si="21"/>
        <v/>
      </c>
      <c r="F166" s="56" t="str">
        <f t="shared" si="22"/>
        <v/>
      </c>
      <c r="G166" t="e">
        <f t="shared" si="23"/>
        <v>#VALUE!</v>
      </c>
      <c r="H166" t="e">
        <f t="shared" si="24"/>
        <v>#VALUE!</v>
      </c>
      <c r="I166" s="56" t="str">
        <f t="shared" si="25"/>
        <v/>
      </c>
      <c r="J166" s="58" t="str">
        <f t="shared" si="26"/>
        <v/>
      </c>
      <c r="L166">
        <f>MIN(SEARCH({0,1,2,3,4,5,6,7,8,9},K166&amp;"0123456789"))</f>
        <v>1</v>
      </c>
      <c r="M166" t="str">
        <f t="shared" si="27"/>
        <v/>
      </c>
      <c r="O166" s="71">
        <f t="shared" si="28"/>
        <v>0</v>
      </c>
      <c r="AA166" t="str">
        <f t="shared" si="29"/>
        <v/>
      </c>
    </row>
    <row r="167" spans="2:27">
      <c r="B167" s="54" t="str">
        <f t="shared" si="20"/>
        <v/>
      </c>
      <c r="C167" t="str">
        <f>IFERROR(VLOOKUP(A167,Processor_DB_Intel!$A$1:'Processor_DB_Intel'!$D$422,4,FALSE),"")</f>
        <v/>
      </c>
      <c r="D167" t="str">
        <f>IFERROR(LEFT(VLOOKUP(A167,Processor_DB_Intel!$A$1:'Processor_DB_Intel'!$F$422,6,FALSE),3),"")</f>
        <v/>
      </c>
      <c r="E167" s="74" t="str">
        <f t="shared" si="21"/>
        <v/>
      </c>
      <c r="F167" s="56" t="str">
        <f t="shared" si="22"/>
        <v/>
      </c>
      <c r="G167" t="e">
        <f t="shared" si="23"/>
        <v>#VALUE!</v>
      </c>
      <c r="H167" t="e">
        <f t="shared" si="24"/>
        <v>#VALUE!</v>
      </c>
      <c r="I167" s="56" t="str">
        <f t="shared" si="25"/>
        <v/>
      </c>
      <c r="J167" s="58" t="str">
        <f t="shared" si="26"/>
        <v/>
      </c>
      <c r="L167">
        <f>MIN(SEARCH({0,1,2,3,4,5,6,7,8,9},K167&amp;"0123456789"))</f>
        <v>1</v>
      </c>
      <c r="M167" t="str">
        <f t="shared" si="27"/>
        <v/>
      </c>
      <c r="O167" s="71">
        <f t="shared" si="28"/>
        <v>0</v>
      </c>
      <c r="AA167" t="str">
        <f t="shared" si="29"/>
        <v/>
      </c>
    </row>
    <row r="168" spans="2:27">
      <c r="B168" s="54" t="str">
        <f t="shared" si="20"/>
        <v/>
      </c>
      <c r="C168" t="str">
        <f>IFERROR(VLOOKUP(A168,Processor_DB_Intel!$A$1:'Processor_DB_Intel'!$D$422,4,FALSE),"")</f>
        <v/>
      </c>
      <c r="D168" t="str">
        <f>IFERROR(LEFT(VLOOKUP(A168,Processor_DB_Intel!$A$1:'Processor_DB_Intel'!$F$422,6,FALSE),3),"")</f>
        <v/>
      </c>
      <c r="E168" s="74" t="str">
        <f t="shared" si="21"/>
        <v/>
      </c>
      <c r="F168" s="56" t="str">
        <f t="shared" si="22"/>
        <v/>
      </c>
      <c r="G168" t="e">
        <f t="shared" si="23"/>
        <v>#VALUE!</v>
      </c>
      <c r="H168" t="e">
        <f t="shared" si="24"/>
        <v>#VALUE!</v>
      </c>
      <c r="I168" s="56" t="str">
        <f t="shared" si="25"/>
        <v/>
      </c>
      <c r="J168" s="58" t="str">
        <f t="shared" si="26"/>
        <v/>
      </c>
      <c r="L168">
        <f>MIN(SEARCH({0,1,2,3,4,5,6,7,8,9},K168&amp;"0123456789"))</f>
        <v>1</v>
      </c>
      <c r="M168" t="str">
        <f t="shared" si="27"/>
        <v/>
      </c>
      <c r="O168" s="71">
        <f t="shared" si="28"/>
        <v>0</v>
      </c>
      <c r="AA168" t="str">
        <f t="shared" si="29"/>
        <v/>
      </c>
    </row>
    <row r="169" spans="2:27">
      <c r="B169" s="54" t="str">
        <f t="shared" si="20"/>
        <v/>
      </c>
      <c r="C169" t="str">
        <f>IFERROR(VLOOKUP(A169,Processor_DB_Intel!$A$1:'Processor_DB_Intel'!$D$422,4,FALSE),"")</f>
        <v/>
      </c>
      <c r="D169" t="str">
        <f>IFERROR(LEFT(VLOOKUP(A169,Processor_DB_Intel!$A$1:'Processor_DB_Intel'!$F$422,6,FALSE),3),"")</f>
        <v/>
      </c>
      <c r="E169" s="74" t="str">
        <f t="shared" si="21"/>
        <v/>
      </c>
      <c r="F169" s="56" t="str">
        <f t="shared" si="22"/>
        <v/>
      </c>
      <c r="G169" t="e">
        <f t="shared" si="23"/>
        <v>#VALUE!</v>
      </c>
      <c r="H169" t="e">
        <f t="shared" si="24"/>
        <v>#VALUE!</v>
      </c>
      <c r="I169" s="56" t="str">
        <f t="shared" si="25"/>
        <v/>
      </c>
      <c r="J169" s="58" t="str">
        <f t="shared" si="26"/>
        <v/>
      </c>
      <c r="L169">
        <f>MIN(SEARCH({0,1,2,3,4,5,6,7,8,9},K169&amp;"0123456789"))</f>
        <v>1</v>
      </c>
      <c r="M169" t="str">
        <f t="shared" si="27"/>
        <v/>
      </c>
      <c r="O169" s="71">
        <f t="shared" si="28"/>
        <v>0</v>
      </c>
      <c r="AA169" t="str">
        <f t="shared" si="29"/>
        <v/>
      </c>
    </row>
    <row r="170" spans="2:27">
      <c r="B170" s="54" t="str">
        <f t="shared" si="20"/>
        <v/>
      </c>
      <c r="C170" t="str">
        <f>IFERROR(VLOOKUP(A170,Processor_DB_Intel!$A$1:'Processor_DB_Intel'!$D$422,4,FALSE),"")</f>
        <v/>
      </c>
      <c r="D170" t="str">
        <f>IFERROR(LEFT(VLOOKUP(A170,Processor_DB_Intel!$A$1:'Processor_DB_Intel'!$F$422,6,FALSE),3),"")</f>
        <v/>
      </c>
      <c r="E170" s="74" t="str">
        <f t="shared" si="21"/>
        <v/>
      </c>
      <c r="F170" s="56" t="str">
        <f t="shared" si="22"/>
        <v/>
      </c>
      <c r="G170" t="e">
        <f t="shared" si="23"/>
        <v>#VALUE!</v>
      </c>
      <c r="H170" t="e">
        <f t="shared" si="24"/>
        <v>#VALUE!</v>
      </c>
      <c r="I170" s="56" t="str">
        <f t="shared" si="25"/>
        <v/>
      </c>
      <c r="J170" s="58" t="str">
        <f t="shared" si="26"/>
        <v/>
      </c>
      <c r="L170">
        <f>MIN(SEARCH({0,1,2,3,4,5,6,7,8,9},K170&amp;"0123456789"))</f>
        <v>1</v>
      </c>
      <c r="M170" t="str">
        <f t="shared" si="27"/>
        <v/>
      </c>
      <c r="O170" s="71">
        <f t="shared" si="28"/>
        <v>0</v>
      </c>
      <c r="AA170" t="str">
        <f t="shared" si="29"/>
        <v/>
      </c>
    </row>
    <row r="171" spans="2:27">
      <c r="B171" s="54" t="str">
        <f t="shared" si="20"/>
        <v/>
      </c>
      <c r="C171" t="str">
        <f>IFERROR(VLOOKUP(A171,Processor_DB_Intel!$A$1:'Processor_DB_Intel'!$D$422,4,FALSE),"")</f>
        <v/>
      </c>
      <c r="D171" t="str">
        <f>IFERROR(LEFT(VLOOKUP(A171,Processor_DB_Intel!$A$1:'Processor_DB_Intel'!$F$422,6,FALSE),3),"")</f>
        <v/>
      </c>
      <c r="E171" s="74" t="str">
        <f t="shared" si="21"/>
        <v/>
      </c>
      <c r="F171" s="56" t="str">
        <f t="shared" si="22"/>
        <v/>
      </c>
      <c r="G171" t="e">
        <f t="shared" si="23"/>
        <v>#VALUE!</v>
      </c>
      <c r="H171" t="e">
        <f t="shared" si="24"/>
        <v>#VALUE!</v>
      </c>
      <c r="I171" s="56" t="str">
        <f t="shared" si="25"/>
        <v/>
      </c>
      <c r="J171" s="58" t="str">
        <f t="shared" si="26"/>
        <v/>
      </c>
      <c r="L171">
        <f>MIN(SEARCH({0,1,2,3,4,5,6,7,8,9},K171&amp;"0123456789"))</f>
        <v>1</v>
      </c>
      <c r="M171" t="str">
        <f t="shared" si="27"/>
        <v/>
      </c>
      <c r="O171" s="71">
        <f t="shared" si="28"/>
        <v>0</v>
      </c>
      <c r="AA171" t="str">
        <f t="shared" si="29"/>
        <v/>
      </c>
    </row>
    <row r="172" spans="2:27">
      <c r="B172" s="54" t="str">
        <f t="shared" si="20"/>
        <v/>
      </c>
      <c r="C172" t="str">
        <f>IFERROR(VLOOKUP(A172,Processor_DB_Intel!$A$1:'Processor_DB_Intel'!$D$422,4,FALSE),"")</f>
        <v/>
      </c>
      <c r="D172" t="str">
        <f>IFERROR(LEFT(VLOOKUP(A172,Processor_DB_Intel!$A$1:'Processor_DB_Intel'!$F$422,6,FALSE),3),"")</f>
        <v/>
      </c>
      <c r="E172" s="74" t="str">
        <f t="shared" si="21"/>
        <v/>
      </c>
      <c r="F172" s="56" t="str">
        <f t="shared" si="22"/>
        <v/>
      </c>
      <c r="G172" t="e">
        <f t="shared" si="23"/>
        <v>#VALUE!</v>
      </c>
      <c r="H172" t="e">
        <f t="shared" si="24"/>
        <v>#VALUE!</v>
      </c>
      <c r="I172" s="56" t="str">
        <f t="shared" si="25"/>
        <v/>
      </c>
      <c r="J172" s="58" t="str">
        <f t="shared" si="26"/>
        <v/>
      </c>
      <c r="L172">
        <f>MIN(SEARCH({0,1,2,3,4,5,6,7,8,9},K172&amp;"0123456789"))</f>
        <v>1</v>
      </c>
      <c r="M172" t="str">
        <f t="shared" si="27"/>
        <v/>
      </c>
      <c r="O172" s="71">
        <f t="shared" si="28"/>
        <v>0</v>
      </c>
      <c r="AA172" t="str">
        <f t="shared" si="29"/>
        <v/>
      </c>
    </row>
    <row r="173" spans="2:27">
      <c r="B173" s="54" t="str">
        <f t="shared" si="20"/>
        <v/>
      </c>
      <c r="C173" t="str">
        <f>IFERROR(VLOOKUP(A173,Processor_DB_Intel!$A$1:'Processor_DB_Intel'!$D$422,4,FALSE),"")</f>
        <v/>
      </c>
      <c r="D173" t="str">
        <f>IFERROR(LEFT(VLOOKUP(A173,Processor_DB_Intel!$A$1:'Processor_DB_Intel'!$F$422,6,FALSE),3),"")</f>
        <v/>
      </c>
      <c r="E173" s="74" t="str">
        <f t="shared" si="21"/>
        <v/>
      </c>
      <c r="F173" s="56" t="str">
        <f t="shared" si="22"/>
        <v/>
      </c>
      <c r="G173" t="e">
        <f t="shared" si="23"/>
        <v>#VALUE!</v>
      </c>
      <c r="H173" t="e">
        <f t="shared" si="24"/>
        <v>#VALUE!</v>
      </c>
      <c r="I173" s="56" t="str">
        <f t="shared" si="25"/>
        <v/>
      </c>
      <c r="J173" s="58" t="str">
        <f t="shared" si="26"/>
        <v/>
      </c>
      <c r="L173">
        <f>MIN(SEARCH({0,1,2,3,4,5,6,7,8,9},K173&amp;"0123456789"))</f>
        <v>1</v>
      </c>
      <c r="M173" t="str">
        <f t="shared" si="27"/>
        <v/>
      </c>
      <c r="O173" s="71">
        <f t="shared" si="28"/>
        <v>0</v>
      </c>
      <c r="AA173" t="str">
        <f t="shared" si="29"/>
        <v/>
      </c>
    </row>
    <row r="174" spans="2:27">
      <c r="B174" s="54" t="str">
        <f t="shared" si="20"/>
        <v/>
      </c>
      <c r="C174" t="str">
        <f>IFERROR(VLOOKUP(A174,Processor_DB_Intel!$A$1:'Processor_DB_Intel'!$D$422,4,FALSE),"")</f>
        <v/>
      </c>
      <c r="D174" t="str">
        <f>IFERROR(LEFT(VLOOKUP(A174,Processor_DB_Intel!$A$1:'Processor_DB_Intel'!$F$422,6,FALSE),3),"")</f>
        <v/>
      </c>
      <c r="E174" s="74" t="str">
        <f t="shared" si="21"/>
        <v/>
      </c>
      <c r="F174" s="56" t="str">
        <f t="shared" si="22"/>
        <v/>
      </c>
      <c r="G174" t="e">
        <f t="shared" si="23"/>
        <v>#VALUE!</v>
      </c>
      <c r="H174" t="e">
        <f t="shared" si="24"/>
        <v>#VALUE!</v>
      </c>
      <c r="I174" s="56" t="str">
        <f t="shared" si="25"/>
        <v/>
      </c>
      <c r="J174" s="58" t="str">
        <f t="shared" si="26"/>
        <v/>
      </c>
      <c r="L174">
        <f>MIN(SEARCH({0,1,2,3,4,5,6,7,8,9},K174&amp;"0123456789"))</f>
        <v>1</v>
      </c>
      <c r="M174" t="str">
        <f t="shared" si="27"/>
        <v/>
      </c>
      <c r="O174" s="71">
        <f t="shared" si="28"/>
        <v>0</v>
      </c>
      <c r="AA174" t="str">
        <f t="shared" si="29"/>
        <v/>
      </c>
    </row>
    <row r="175" spans="2:27">
      <c r="B175" s="54" t="str">
        <f t="shared" si="20"/>
        <v/>
      </c>
      <c r="C175" t="str">
        <f>IFERROR(VLOOKUP(A175,Processor_DB_Intel!$A$1:'Processor_DB_Intel'!$D$422,4,FALSE),"")</f>
        <v/>
      </c>
      <c r="D175" t="str">
        <f>IFERROR(LEFT(VLOOKUP(A175,Processor_DB_Intel!$A$1:'Processor_DB_Intel'!$F$422,6,FALSE),3),"")</f>
        <v/>
      </c>
      <c r="E175" s="74" t="str">
        <f t="shared" si="21"/>
        <v/>
      </c>
      <c r="F175" s="56" t="str">
        <f t="shared" si="22"/>
        <v/>
      </c>
      <c r="G175" t="e">
        <f t="shared" si="23"/>
        <v>#VALUE!</v>
      </c>
      <c r="H175" t="e">
        <f t="shared" si="24"/>
        <v>#VALUE!</v>
      </c>
      <c r="I175" s="56" t="str">
        <f t="shared" si="25"/>
        <v/>
      </c>
      <c r="J175" s="58" t="str">
        <f t="shared" si="26"/>
        <v/>
      </c>
      <c r="L175">
        <f>MIN(SEARCH({0,1,2,3,4,5,6,7,8,9},K175&amp;"0123456789"))</f>
        <v>1</v>
      </c>
      <c r="M175" t="str">
        <f t="shared" si="27"/>
        <v/>
      </c>
      <c r="O175" s="71">
        <f t="shared" si="28"/>
        <v>0</v>
      </c>
      <c r="AA175" t="str">
        <f t="shared" si="29"/>
        <v/>
      </c>
    </row>
    <row r="176" spans="2:27">
      <c r="B176" s="54" t="str">
        <f t="shared" si="20"/>
        <v/>
      </c>
      <c r="C176" t="str">
        <f>IFERROR(VLOOKUP(A176,Processor_DB_Intel!$A$1:'Processor_DB_Intel'!$D$422,4,FALSE),"")</f>
        <v/>
      </c>
      <c r="D176" t="str">
        <f>IFERROR(LEFT(VLOOKUP(A176,Processor_DB_Intel!$A$1:'Processor_DB_Intel'!$F$422,6,FALSE),3),"")</f>
        <v/>
      </c>
      <c r="E176" s="74" t="str">
        <f t="shared" si="21"/>
        <v/>
      </c>
      <c r="F176" s="56" t="str">
        <f t="shared" si="22"/>
        <v/>
      </c>
      <c r="G176" t="e">
        <f t="shared" si="23"/>
        <v>#VALUE!</v>
      </c>
      <c r="H176" t="e">
        <f t="shared" si="24"/>
        <v>#VALUE!</v>
      </c>
      <c r="I176" s="56" t="str">
        <f t="shared" si="25"/>
        <v/>
      </c>
      <c r="J176" s="58" t="str">
        <f t="shared" si="26"/>
        <v/>
      </c>
      <c r="L176">
        <f>MIN(SEARCH({0,1,2,3,4,5,6,7,8,9},K176&amp;"0123456789"))</f>
        <v>1</v>
      </c>
      <c r="M176" t="str">
        <f t="shared" si="27"/>
        <v/>
      </c>
      <c r="O176" s="71">
        <f t="shared" si="28"/>
        <v>0</v>
      </c>
      <c r="AA176" t="str">
        <f t="shared" si="29"/>
        <v/>
      </c>
    </row>
    <row r="177" spans="2:27">
      <c r="B177" s="54" t="str">
        <f t="shared" si="20"/>
        <v/>
      </c>
      <c r="C177" t="str">
        <f>IFERROR(VLOOKUP(A177,Processor_DB_Intel!$A$1:'Processor_DB_Intel'!$D$422,4,FALSE),"")</f>
        <v/>
      </c>
      <c r="D177" t="str">
        <f>IFERROR(LEFT(VLOOKUP(A177,Processor_DB_Intel!$A$1:'Processor_DB_Intel'!$F$422,6,FALSE),3),"")</f>
        <v/>
      </c>
      <c r="E177" s="74" t="str">
        <f t="shared" si="21"/>
        <v/>
      </c>
      <c r="F177" s="56" t="str">
        <f t="shared" si="22"/>
        <v/>
      </c>
      <c r="G177" t="e">
        <f t="shared" si="23"/>
        <v>#VALUE!</v>
      </c>
      <c r="H177" t="e">
        <f t="shared" si="24"/>
        <v>#VALUE!</v>
      </c>
      <c r="I177" s="56" t="str">
        <f t="shared" si="25"/>
        <v/>
      </c>
      <c r="J177" s="58" t="str">
        <f t="shared" si="26"/>
        <v/>
      </c>
      <c r="L177">
        <f>MIN(SEARCH({0,1,2,3,4,5,6,7,8,9},K177&amp;"0123456789"))</f>
        <v>1</v>
      </c>
      <c r="M177" t="str">
        <f t="shared" si="27"/>
        <v/>
      </c>
      <c r="O177" s="71">
        <f t="shared" si="28"/>
        <v>0</v>
      </c>
      <c r="AA177" t="str">
        <f t="shared" si="29"/>
        <v/>
      </c>
    </row>
    <row r="178" spans="2:27">
      <c r="B178" s="54" t="str">
        <f t="shared" si="20"/>
        <v/>
      </c>
      <c r="C178" t="str">
        <f>IFERROR(VLOOKUP(A178,Processor_DB_Intel!$A$1:'Processor_DB_Intel'!$D$422,4,FALSE),"")</f>
        <v/>
      </c>
      <c r="D178" t="str">
        <f>IFERROR(LEFT(VLOOKUP(A178,Processor_DB_Intel!$A$1:'Processor_DB_Intel'!$F$422,6,FALSE),3),"")</f>
        <v/>
      </c>
      <c r="E178" s="74" t="str">
        <f t="shared" si="21"/>
        <v/>
      </c>
      <c r="F178" s="56" t="str">
        <f t="shared" si="22"/>
        <v/>
      </c>
      <c r="G178" t="e">
        <f t="shared" si="23"/>
        <v>#VALUE!</v>
      </c>
      <c r="H178" t="e">
        <f t="shared" si="24"/>
        <v>#VALUE!</v>
      </c>
      <c r="I178" s="56" t="str">
        <f t="shared" si="25"/>
        <v/>
      </c>
      <c r="J178" s="58" t="str">
        <f t="shared" si="26"/>
        <v/>
      </c>
      <c r="L178">
        <f>MIN(SEARCH({0,1,2,3,4,5,6,7,8,9},K178&amp;"0123456789"))</f>
        <v>1</v>
      </c>
      <c r="M178" t="str">
        <f t="shared" si="27"/>
        <v/>
      </c>
      <c r="O178" s="71">
        <f t="shared" si="28"/>
        <v>0</v>
      </c>
      <c r="AA178" t="str">
        <f t="shared" si="29"/>
        <v/>
      </c>
    </row>
    <row r="179" spans="2:27">
      <c r="B179" s="54" t="str">
        <f t="shared" si="20"/>
        <v/>
      </c>
      <c r="C179" t="str">
        <f>IFERROR(VLOOKUP(A179,Processor_DB_Intel!$A$1:'Processor_DB_Intel'!$D$422,4,FALSE),"")</f>
        <v/>
      </c>
      <c r="D179" t="str">
        <f>IFERROR(LEFT(VLOOKUP(A179,Processor_DB_Intel!$A$1:'Processor_DB_Intel'!$F$422,6,FALSE),3),"")</f>
        <v/>
      </c>
      <c r="E179" s="74" t="str">
        <f t="shared" si="21"/>
        <v/>
      </c>
      <c r="F179" s="56" t="str">
        <f t="shared" si="22"/>
        <v/>
      </c>
      <c r="G179" t="e">
        <f t="shared" si="23"/>
        <v>#VALUE!</v>
      </c>
      <c r="H179" t="e">
        <f t="shared" si="24"/>
        <v>#VALUE!</v>
      </c>
      <c r="I179" s="56" t="str">
        <f t="shared" si="25"/>
        <v/>
      </c>
      <c r="J179" s="58" t="str">
        <f t="shared" si="26"/>
        <v/>
      </c>
      <c r="L179">
        <f>MIN(SEARCH({0,1,2,3,4,5,6,7,8,9},K179&amp;"0123456789"))</f>
        <v>1</v>
      </c>
      <c r="M179" t="str">
        <f t="shared" si="27"/>
        <v/>
      </c>
      <c r="O179" s="71">
        <f t="shared" si="28"/>
        <v>0</v>
      </c>
      <c r="AA179" t="str">
        <f t="shared" si="29"/>
        <v/>
      </c>
    </row>
    <row r="180" spans="2:27">
      <c r="B180" s="54" t="str">
        <f t="shared" si="20"/>
        <v/>
      </c>
      <c r="C180" t="str">
        <f>IFERROR(VLOOKUP(A180,Processor_DB_Intel!$A$1:'Processor_DB_Intel'!$D$422,4,FALSE),"")</f>
        <v/>
      </c>
      <c r="D180" t="str">
        <f>IFERROR(LEFT(VLOOKUP(A180,Processor_DB_Intel!$A$1:'Processor_DB_Intel'!$F$422,6,FALSE),3),"")</f>
        <v/>
      </c>
      <c r="E180" s="74" t="str">
        <f t="shared" si="21"/>
        <v/>
      </c>
      <c r="F180" s="56" t="str">
        <f t="shared" si="22"/>
        <v/>
      </c>
      <c r="G180" t="e">
        <f t="shared" si="23"/>
        <v>#VALUE!</v>
      </c>
      <c r="H180" t="e">
        <f t="shared" si="24"/>
        <v>#VALUE!</v>
      </c>
      <c r="I180" s="56" t="str">
        <f t="shared" si="25"/>
        <v/>
      </c>
      <c r="J180" s="58" t="str">
        <f t="shared" si="26"/>
        <v/>
      </c>
      <c r="L180">
        <f>MIN(SEARCH({0,1,2,3,4,5,6,7,8,9},K180&amp;"0123456789"))</f>
        <v>1</v>
      </c>
      <c r="M180" t="str">
        <f t="shared" si="27"/>
        <v/>
      </c>
      <c r="O180" s="71">
        <f t="shared" si="28"/>
        <v>0</v>
      </c>
      <c r="AA180" t="str">
        <f t="shared" si="29"/>
        <v/>
      </c>
    </row>
    <row r="181" spans="2:27">
      <c r="B181" s="54" t="str">
        <f t="shared" si="20"/>
        <v/>
      </c>
      <c r="C181" t="str">
        <f>IFERROR(VLOOKUP(A181,Processor_DB_Intel!$A$1:'Processor_DB_Intel'!$D$422,4,FALSE),"")</f>
        <v/>
      </c>
      <c r="D181" t="str">
        <f>IFERROR(LEFT(VLOOKUP(A181,Processor_DB_Intel!$A$1:'Processor_DB_Intel'!$F$422,6,FALSE),3),"")</f>
        <v/>
      </c>
      <c r="E181" s="74" t="str">
        <f t="shared" si="21"/>
        <v/>
      </c>
      <c r="F181" s="56" t="str">
        <f t="shared" si="22"/>
        <v/>
      </c>
      <c r="G181" t="e">
        <f t="shared" si="23"/>
        <v>#VALUE!</v>
      </c>
      <c r="H181" t="e">
        <f t="shared" si="24"/>
        <v>#VALUE!</v>
      </c>
      <c r="I181" s="56" t="str">
        <f t="shared" si="25"/>
        <v/>
      </c>
      <c r="J181" s="58" t="str">
        <f t="shared" si="26"/>
        <v/>
      </c>
      <c r="L181">
        <f>MIN(SEARCH({0,1,2,3,4,5,6,7,8,9},K181&amp;"0123456789"))</f>
        <v>1</v>
      </c>
      <c r="M181" t="str">
        <f t="shared" si="27"/>
        <v/>
      </c>
      <c r="O181" s="71">
        <f t="shared" si="28"/>
        <v>0</v>
      </c>
      <c r="AA181" t="str">
        <f t="shared" si="29"/>
        <v/>
      </c>
    </row>
    <row r="182" spans="2:27">
      <c r="B182" s="54" t="str">
        <f t="shared" si="20"/>
        <v/>
      </c>
      <c r="C182" t="str">
        <f>IFERROR(VLOOKUP(A182,Processor_DB_Intel!$A$1:'Processor_DB_Intel'!$D$422,4,FALSE),"")</f>
        <v/>
      </c>
      <c r="D182" t="str">
        <f>IFERROR(LEFT(VLOOKUP(A182,Processor_DB_Intel!$A$1:'Processor_DB_Intel'!$F$422,6,FALSE),3),"")</f>
        <v/>
      </c>
      <c r="E182" s="74" t="str">
        <f t="shared" si="21"/>
        <v/>
      </c>
      <c r="F182" s="56" t="str">
        <f t="shared" si="22"/>
        <v/>
      </c>
      <c r="G182" t="e">
        <f t="shared" si="23"/>
        <v>#VALUE!</v>
      </c>
      <c r="H182" t="e">
        <f t="shared" si="24"/>
        <v>#VALUE!</v>
      </c>
      <c r="I182" s="56" t="str">
        <f t="shared" si="25"/>
        <v/>
      </c>
      <c r="J182" s="58" t="str">
        <f t="shared" si="26"/>
        <v/>
      </c>
      <c r="L182">
        <f>MIN(SEARCH({0,1,2,3,4,5,6,7,8,9},K182&amp;"0123456789"))</f>
        <v>1</v>
      </c>
      <c r="M182" t="str">
        <f t="shared" si="27"/>
        <v/>
      </c>
      <c r="O182" s="71">
        <f t="shared" si="28"/>
        <v>0</v>
      </c>
      <c r="AA182" t="str">
        <f t="shared" si="29"/>
        <v/>
      </c>
    </row>
    <row r="183" spans="2:27">
      <c r="B183" s="54" t="str">
        <f t="shared" si="20"/>
        <v/>
      </c>
      <c r="C183" t="str">
        <f>IFERROR(VLOOKUP(A183,Processor_DB_Intel!$A$1:'Processor_DB_Intel'!$D$422,4,FALSE),"")</f>
        <v/>
      </c>
      <c r="D183" t="str">
        <f>IFERROR(LEFT(VLOOKUP(A183,Processor_DB_Intel!$A$1:'Processor_DB_Intel'!$F$422,6,FALSE),3),"")</f>
        <v/>
      </c>
      <c r="E183" s="74" t="str">
        <f t="shared" si="21"/>
        <v/>
      </c>
      <c r="F183" s="56" t="str">
        <f t="shared" si="22"/>
        <v/>
      </c>
      <c r="G183" t="e">
        <f t="shared" si="23"/>
        <v>#VALUE!</v>
      </c>
      <c r="H183" t="e">
        <f t="shared" si="24"/>
        <v>#VALUE!</v>
      </c>
      <c r="I183" s="56" t="str">
        <f t="shared" si="25"/>
        <v/>
      </c>
      <c r="J183" s="58" t="str">
        <f t="shared" si="26"/>
        <v/>
      </c>
      <c r="L183">
        <f>MIN(SEARCH({0,1,2,3,4,5,6,7,8,9},K183&amp;"0123456789"))</f>
        <v>1</v>
      </c>
      <c r="M183" t="str">
        <f t="shared" si="27"/>
        <v/>
      </c>
      <c r="O183" s="71">
        <f t="shared" si="28"/>
        <v>0</v>
      </c>
      <c r="AA183" t="str">
        <f t="shared" si="29"/>
        <v/>
      </c>
    </row>
    <row r="184" spans="2:27">
      <c r="B184" s="54" t="str">
        <f t="shared" si="20"/>
        <v/>
      </c>
      <c r="C184" t="str">
        <f>IFERROR(VLOOKUP(A184,Processor_DB_Intel!$A$1:'Processor_DB_Intel'!$D$422,4,FALSE),"")</f>
        <v/>
      </c>
      <c r="D184" t="str">
        <f>IFERROR(LEFT(VLOOKUP(A184,Processor_DB_Intel!$A$1:'Processor_DB_Intel'!$F$422,6,FALSE),3),"")</f>
        <v/>
      </c>
      <c r="E184" s="74" t="str">
        <f t="shared" si="21"/>
        <v/>
      </c>
      <c r="F184" s="56" t="str">
        <f t="shared" si="22"/>
        <v/>
      </c>
      <c r="G184" t="e">
        <f t="shared" si="23"/>
        <v>#VALUE!</v>
      </c>
      <c r="H184" t="e">
        <f t="shared" si="24"/>
        <v>#VALUE!</v>
      </c>
      <c r="I184" s="56" t="str">
        <f t="shared" si="25"/>
        <v/>
      </c>
      <c r="J184" s="58" t="str">
        <f t="shared" si="26"/>
        <v/>
      </c>
      <c r="L184">
        <f>MIN(SEARCH({0,1,2,3,4,5,6,7,8,9},K184&amp;"0123456789"))</f>
        <v>1</v>
      </c>
      <c r="M184" t="str">
        <f t="shared" si="27"/>
        <v/>
      </c>
      <c r="O184" s="71">
        <f t="shared" si="28"/>
        <v>0</v>
      </c>
      <c r="AA184" t="str">
        <f t="shared" si="29"/>
        <v/>
      </c>
    </row>
    <row r="185" spans="2:27">
      <c r="B185" s="54" t="str">
        <f t="shared" si="20"/>
        <v/>
      </c>
      <c r="C185" t="str">
        <f>IFERROR(VLOOKUP(A185,Processor_DB_Intel!$A$1:'Processor_DB_Intel'!$D$422,4,FALSE),"")</f>
        <v/>
      </c>
      <c r="D185" t="str">
        <f>IFERROR(LEFT(VLOOKUP(A185,Processor_DB_Intel!$A$1:'Processor_DB_Intel'!$F$422,6,FALSE),3),"")</f>
        <v/>
      </c>
      <c r="E185" s="74" t="str">
        <f t="shared" si="21"/>
        <v/>
      </c>
      <c r="F185" s="56" t="str">
        <f t="shared" si="22"/>
        <v/>
      </c>
      <c r="G185" t="e">
        <f t="shared" si="23"/>
        <v>#VALUE!</v>
      </c>
      <c r="H185" t="e">
        <f t="shared" si="24"/>
        <v>#VALUE!</v>
      </c>
      <c r="I185" s="56" t="str">
        <f t="shared" si="25"/>
        <v/>
      </c>
      <c r="J185" s="58" t="str">
        <f t="shared" si="26"/>
        <v/>
      </c>
      <c r="L185">
        <f>MIN(SEARCH({0,1,2,3,4,5,6,7,8,9},K185&amp;"0123456789"))</f>
        <v>1</v>
      </c>
      <c r="M185" t="str">
        <f t="shared" si="27"/>
        <v/>
      </c>
      <c r="O185" s="71">
        <f t="shared" si="28"/>
        <v>0</v>
      </c>
      <c r="AA185" t="str">
        <f t="shared" si="29"/>
        <v/>
      </c>
    </row>
    <row r="186" spans="2:27">
      <c r="B186" s="54" t="str">
        <f t="shared" si="20"/>
        <v/>
      </c>
      <c r="C186" t="str">
        <f>IFERROR(VLOOKUP(A186,Processor_DB_Intel!$A$1:'Processor_DB_Intel'!$D$422,4,FALSE),"")</f>
        <v/>
      </c>
      <c r="D186" t="str">
        <f>IFERROR(LEFT(VLOOKUP(A186,Processor_DB_Intel!$A$1:'Processor_DB_Intel'!$F$422,6,FALSE),3),"")</f>
        <v/>
      </c>
      <c r="E186" s="74" t="str">
        <f t="shared" si="21"/>
        <v/>
      </c>
      <c r="F186" s="56" t="str">
        <f t="shared" si="22"/>
        <v/>
      </c>
      <c r="G186" t="e">
        <f t="shared" si="23"/>
        <v>#VALUE!</v>
      </c>
      <c r="H186" t="e">
        <f t="shared" si="24"/>
        <v>#VALUE!</v>
      </c>
      <c r="I186" s="56" t="str">
        <f t="shared" si="25"/>
        <v/>
      </c>
      <c r="J186" s="58" t="str">
        <f t="shared" si="26"/>
        <v/>
      </c>
      <c r="L186">
        <f>MIN(SEARCH({0,1,2,3,4,5,6,7,8,9},K186&amp;"0123456789"))</f>
        <v>1</v>
      </c>
      <c r="M186" t="str">
        <f t="shared" si="27"/>
        <v/>
      </c>
      <c r="O186" s="71">
        <f t="shared" si="28"/>
        <v>0</v>
      </c>
      <c r="AA186" t="str">
        <f t="shared" si="29"/>
        <v/>
      </c>
    </row>
    <row r="187" spans="2:27">
      <c r="B187" s="54" t="str">
        <f t="shared" si="20"/>
        <v/>
      </c>
      <c r="C187" t="str">
        <f>IFERROR(VLOOKUP(A187,Processor_DB_Intel!$A$1:'Processor_DB_Intel'!$D$422,4,FALSE),"")</f>
        <v/>
      </c>
      <c r="D187" t="str">
        <f>IFERROR(LEFT(VLOOKUP(A187,Processor_DB_Intel!$A$1:'Processor_DB_Intel'!$F$422,6,FALSE),3),"")</f>
        <v/>
      </c>
      <c r="E187" s="74" t="str">
        <f t="shared" si="21"/>
        <v/>
      </c>
      <c r="F187" s="56" t="str">
        <f t="shared" si="22"/>
        <v/>
      </c>
      <c r="G187" t="e">
        <f t="shared" si="23"/>
        <v>#VALUE!</v>
      </c>
      <c r="H187" t="e">
        <f t="shared" si="24"/>
        <v>#VALUE!</v>
      </c>
      <c r="I187" s="56" t="str">
        <f t="shared" si="25"/>
        <v/>
      </c>
      <c r="J187" s="58" t="str">
        <f t="shared" si="26"/>
        <v/>
      </c>
      <c r="L187">
        <f>MIN(SEARCH({0,1,2,3,4,5,6,7,8,9},K187&amp;"0123456789"))</f>
        <v>1</v>
      </c>
      <c r="M187" t="str">
        <f t="shared" si="27"/>
        <v/>
      </c>
      <c r="O187" s="71">
        <f t="shared" si="28"/>
        <v>0</v>
      </c>
      <c r="AA187" t="str">
        <f t="shared" si="29"/>
        <v/>
      </c>
    </row>
    <row r="188" spans="2:27">
      <c r="B188" s="54" t="str">
        <f t="shared" si="20"/>
        <v/>
      </c>
      <c r="C188" t="str">
        <f>IFERROR(VLOOKUP(A188,Processor_DB_Intel!$A$1:'Processor_DB_Intel'!$D$422,4,FALSE),"")</f>
        <v/>
      </c>
      <c r="D188" t="str">
        <f>IFERROR(LEFT(VLOOKUP(A188,Processor_DB_Intel!$A$1:'Processor_DB_Intel'!$F$422,6,FALSE),3),"")</f>
        <v/>
      </c>
      <c r="E188" s="74" t="str">
        <f t="shared" si="21"/>
        <v/>
      </c>
      <c r="F188" s="56" t="str">
        <f t="shared" si="22"/>
        <v/>
      </c>
      <c r="G188" t="e">
        <f t="shared" si="23"/>
        <v>#VALUE!</v>
      </c>
      <c r="H188" t="e">
        <f t="shared" si="24"/>
        <v>#VALUE!</v>
      </c>
      <c r="I188" s="56" t="str">
        <f t="shared" si="25"/>
        <v/>
      </c>
      <c r="J188" s="58" t="str">
        <f t="shared" si="26"/>
        <v/>
      </c>
      <c r="L188">
        <f>MIN(SEARCH({0,1,2,3,4,5,6,7,8,9},K188&amp;"0123456789"))</f>
        <v>1</v>
      </c>
      <c r="M188" t="str">
        <f t="shared" si="27"/>
        <v/>
      </c>
      <c r="O188" s="71">
        <f t="shared" si="28"/>
        <v>0</v>
      </c>
      <c r="AA188" t="str">
        <f t="shared" si="29"/>
        <v/>
      </c>
    </row>
    <row r="189" spans="2:27">
      <c r="B189" s="54" t="str">
        <f t="shared" si="20"/>
        <v/>
      </c>
      <c r="C189" t="str">
        <f>IFERROR(VLOOKUP(A189,Processor_DB_Intel!$A$1:'Processor_DB_Intel'!$D$422,4,FALSE),"")</f>
        <v/>
      </c>
      <c r="D189" t="str">
        <f>IFERROR(LEFT(VLOOKUP(A189,Processor_DB_Intel!$A$1:'Processor_DB_Intel'!$F$422,6,FALSE),3),"")</f>
        <v/>
      </c>
      <c r="E189" s="74" t="str">
        <f t="shared" si="21"/>
        <v/>
      </c>
      <c r="F189" s="56" t="str">
        <f t="shared" si="22"/>
        <v/>
      </c>
      <c r="G189" t="e">
        <f t="shared" si="23"/>
        <v>#VALUE!</v>
      </c>
      <c r="H189" t="e">
        <f t="shared" si="24"/>
        <v>#VALUE!</v>
      </c>
      <c r="I189" s="56" t="str">
        <f t="shared" si="25"/>
        <v/>
      </c>
      <c r="J189" s="58" t="str">
        <f t="shared" si="26"/>
        <v/>
      </c>
      <c r="L189">
        <f>MIN(SEARCH({0,1,2,3,4,5,6,7,8,9},K189&amp;"0123456789"))</f>
        <v>1</v>
      </c>
      <c r="M189" t="str">
        <f t="shared" si="27"/>
        <v/>
      </c>
      <c r="O189" s="71">
        <f t="shared" si="28"/>
        <v>0</v>
      </c>
      <c r="AA189" t="str">
        <f t="shared" si="29"/>
        <v/>
      </c>
    </row>
    <row r="190" spans="2:27">
      <c r="B190" s="54" t="str">
        <f t="shared" si="20"/>
        <v/>
      </c>
      <c r="C190" t="str">
        <f>IFERROR(VLOOKUP(A190,Processor_DB_Intel!$A$1:'Processor_DB_Intel'!$D$422,4,FALSE),"")</f>
        <v/>
      </c>
      <c r="D190" t="str">
        <f>IFERROR(LEFT(VLOOKUP(A190,Processor_DB_Intel!$A$1:'Processor_DB_Intel'!$F$422,6,FALSE),3),"")</f>
        <v/>
      </c>
      <c r="E190" s="74" t="str">
        <f t="shared" si="21"/>
        <v/>
      </c>
      <c r="F190" s="56" t="str">
        <f t="shared" si="22"/>
        <v/>
      </c>
      <c r="G190" t="e">
        <f t="shared" si="23"/>
        <v>#VALUE!</v>
      </c>
      <c r="H190" t="e">
        <f t="shared" si="24"/>
        <v>#VALUE!</v>
      </c>
      <c r="I190" s="56" t="str">
        <f t="shared" si="25"/>
        <v/>
      </c>
      <c r="J190" s="58" t="str">
        <f t="shared" si="26"/>
        <v/>
      </c>
      <c r="L190">
        <f>MIN(SEARCH({0,1,2,3,4,5,6,7,8,9},K190&amp;"0123456789"))</f>
        <v>1</v>
      </c>
      <c r="M190" t="str">
        <f t="shared" si="27"/>
        <v/>
      </c>
      <c r="O190" s="71">
        <f t="shared" si="28"/>
        <v>0</v>
      </c>
      <c r="AA190" t="str">
        <f t="shared" si="29"/>
        <v/>
      </c>
    </row>
    <row r="191" spans="2:27">
      <c r="B191" s="54" t="str">
        <f t="shared" si="20"/>
        <v/>
      </c>
      <c r="C191" t="str">
        <f>IFERROR(VLOOKUP(A191,Processor_DB_Intel!$A$1:'Processor_DB_Intel'!$D$422,4,FALSE),"")</f>
        <v/>
      </c>
      <c r="D191" t="str">
        <f>IFERROR(LEFT(VLOOKUP(A191,Processor_DB_Intel!$A$1:'Processor_DB_Intel'!$F$422,6,FALSE),3),"")</f>
        <v/>
      </c>
      <c r="E191" s="74" t="str">
        <f t="shared" si="21"/>
        <v/>
      </c>
      <c r="F191" s="56" t="str">
        <f t="shared" si="22"/>
        <v/>
      </c>
      <c r="G191" t="e">
        <f t="shared" si="23"/>
        <v>#VALUE!</v>
      </c>
      <c r="H191" t="e">
        <f t="shared" si="24"/>
        <v>#VALUE!</v>
      </c>
      <c r="I191" s="56" t="str">
        <f t="shared" si="25"/>
        <v/>
      </c>
      <c r="J191" s="58" t="str">
        <f t="shared" si="26"/>
        <v/>
      </c>
      <c r="L191">
        <f>MIN(SEARCH({0,1,2,3,4,5,6,7,8,9},K191&amp;"0123456789"))</f>
        <v>1</v>
      </c>
      <c r="M191" t="str">
        <f t="shared" si="27"/>
        <v/>
      </c>
      <c r="O191" s="71">
        <f t="shared" si="28"/>
        <v>0</v>
      </c>
      <c r="AA191" t="str">
        <f t="shared" si="29"/>
        <v/>
      </c>
    </row>
    <row r="192" spans="2:27">
      <c r="B192" s="54" t="str">
        <f t="shared" si="20"/>
        <v/>
      </c>
      <c r="C192" t="str">
        <f>IFERROR(VLOOKUP(A192,Processor_DB_Intel!$A$1:'Processor_DB_Intel'!$D$422,4,FALSE),"")</f>
        <v/>
      </c>
      <c r="D192" t="str">
        <f>IFERROR(LEFT(VLOOKUP(A192,Processor_DB_Intel!$A$1:'Processor_DB_Intel'!$F$422,6,FALSE),3),"")</f>
        <v/>
      </c>
      <c r="E192" s="74" t="str">
        <f t="shared" si="21"/>
        <v/>
      </c>
      <c r="F192" s="56" t="str">
        <f t="shared" si="22"/>
        <v/>
      </c>
      <c r="G192" t="e">
        <f t="shared" si="23"/>
        <v>#VALUE!</v>
      </c>
      <c r="H192" t="e">
        <f t="shared" si="24"/>
        <v>#VALUE!</v>
      </c>
      <c r="I192" s="56" t="str">
        <f t="shared" si="25"/>
        <v/>
      </c>
      <c r="J192" s="58" t="str">
        <f t="shared" si="26"/>
        <v/>
      </c>
      <c r="L192">
        <f>MIN(SEARCH({0,1,2,3,4,5,6,7,8,9},K192&amp;"0123456789"))</f>
        <v>1</v>
      </c>
      <c r="M192" t="str">
        <f t="shared" si="27"/>
        <v/>
      </c>
      <c r="O192" s="71">
        <f t="shared" si="28"/>
        <v>0</v>
      </c>
      <c r="AA192" t="str">
        <f t="shared" si="29"/>
        <v/>
      </c>
    </row>
    <row r="193" spans="2:27">
      <c r="B193" s="54" t="str">
        <f t="shared" si="20"/>
        <v/>
      </c>
      <c r="C193" t="str">
        <f>IFERROR(VLOOKUP(A193,Processor_DB_Intel!$A$1:'Processor_DB_Intel'!$D$422,4,FALSE),"")</f>
        <v/>
      </c>
      <c r="D193" t="str">
        <f>IFERROR(LEFT(VLOOKUP(A193,Processor_DB_Intel!$A$1:'Processor_DB_Intel'!$F$422,6,FALSE),3),"")</f>
        <v/>
      </c>
      <c r="E193" s="74" t="str">
        <f t="shared" si="21"/>
        <v/>
      </c>
      <c r="F193" s="56" t="str">
        <f t="shared" si="22"/>
        <v/>
      </c>
      <c r="G193" t="e">
        <f t="shared" si="23"/>
        <v>#VALUE!</v>
      </c>
      <c r="H193" t="e">
        <f t="shared" si="24"/>
        <v>#VALUE!</v>
      </c>
      <c r="I193" s="56" t="str">
        <f t="shared" si="25"/>
        <v/>
      </c>
      <c r="J193" s="58" t="str">
        <f t="shared" si="26"/>
        <v/>
      </c>
      <c r="L193">
        <f>MIN(SEARCH({0,1,2,3,4,5,6,7,8,9},K193&amp;"0123456789"))</f>
        <v>1</v>
      </c>
      <c r="M193" t="str">
        <f t="shared" si="27"/>
        <v/>
      </c>
      <c r="O193" s="71">
        <f t="shared" si="28"/>
        <v>0</v>
      </c>
      <c r="AA193" t="str">
        <f t="shared" si="29"/>
        <v/>
      </c>
    </row>
    <row r="194" spans="2:27">
      <c r="B194" s="54" t="str">
        <f t="shared" si="20"/>
        <v/>
      </c>
      <c r="C194" t="str">
        <f>IFERROR(VLOOKUP(A194,Processor_DB_Intel!$A$1:'Processor_DB_Intel'!$D$422,4,FALSE),"")</f>
        <v/>
      </c>
      <c r="D194" t="str">
        <f>IFERROR(LEFT(VLOOKUP(A194,Processor_DB_Intel!$A$1:'Processor_DB_Intel'!$F$422,6,FALSE),3),"")</f>
        <v/>
      </c>
      <c r="E194" s="74" t="str">
        <f t="shared" si="21"/>
        <v/>
      </c>
      <c r="F194" s="56" t="str">
        <f t="shared" si="22"/>
        <v/>
      </c>
      <c r="G194" t="e">
        <f t="shared" si="23"/>
        <v>#VALUE!</v>
      </c>
      <c r="H194" t="e">
        <f t="shared" si="24"/>
        <v>#VALUE!</v>
      </c>
      <c r="I194" s="56" t="str">
        <f t="shared" si="25"/>
        <v/>
      </c>
      <c r="J194" s="58" t="str">
        <f t="shared" si="26"/>
        <v/>
      </c>
      <c r="L194">
        <f>MIN(SEARCH({0,1,2,3,4,5,6,7,8,9},K194&amp;"0123456789"))</f>
        <v>1</v>
      </c>
      <c r="M194" t="str">
        <f t="shared" si="27"/>
        <v/>
      </c>
      <c r="O194" s="71">
        <f t="shared" si="28"/>
        <v>0</v>
      </c>
      <c r="AA194" t="str">
        <f t="shared" si="29"/>
        <v/>
      </c>
    </row>
    <row r="195" spans="2:27">
      <c r="B195" s="54" t="str">
        <f t="shared" si="20"/>
        <v/>
      </c>
      <c r="C195" t="str">
        <f>IFERROR(VLOOKUP(A195,Processor_DB_Intel!$A$1:'Processor_DB_Intel'!$D$422,4,FALSE),"")</f>
        <v/>
      </c>
      <c r="D195" t="str">
        <f>IFERROR(LEFT(VLOOKUP(A195,Processor_DB_Intel!$A$1:'Processor_DB_Intel'!$F$422,6,FALSE),3),"")</f>
        <v/>
      </c>
      <c r="E195" s="74" t="str">
        <f t="shared" si="21"/>
        <v/>
      </c>
      <c r="F195" s="56" t="str">
        <f t="shared" si="22"/>
        <v/>
      </c>
      <c r="G195" t="e">
        <f t="shared" si="23"/>
        <v>#VALUE!</v>
      </c>
      <c r="H195" t="e">
        <f t="shared" si="24"/>
        <v>#VALUE!</v>
      </c>
      <c r="I195" s="56" t="str">
        <f t="shared" si="25"/>
        <v/>
      </c>
      <c r="J195" s="58" t="str">
        <f t="shared" si="26"/>
        <v/>
      </c>
      <c r="L195">
        <f>MIN(SEARCH({0,1,2,3,4,5,6,7,8,9},K195&amp;"0123456789"))</f>
        <v>1</v>
      </c>
      <c r="M195" t="str">
        <f t="shared" si="27"/>
        <v/>
      </c>
      <c r="O195" s="71">
        <f t="shared" si="28"/>
        <v>0</v>
      </c>
      <c r="AA195" t="str">
        <f t="shared" si="29"/>
        <v/>
      </c>
    </row>
    <row r="196" spans="2:27">
      <c r="B196" s="54" t="str">
        <f t="shared" si="20"/>
        <v/>
      </c>
      <c r="C196" t="str">
        <f>IFERROR(VLOOKUP(A196,Processor_DB_Intel!$A$1:'Processor_DB_Intel'!$D$422,4,FALSE),"")</f>
        <v/>
      </c>
      <c r="D196" t="str">
        <f>IFERROR(LEFT(VLOOKUP(A196,Processor_DB_Intel!$A$1:'Processor_DB_Intel'!$F$422,6,FALSE),3),"")</f>
        <v/>
      </c>
      <c r="E196" s="74" t="str">
        <f t="shared" si="21"/>
        <v/>
      </c>
      <c r="F196" s="56" t="str">
        <f t="shared" si="22"/>
        <v/>
      </c>
      <c r="G196" t="e">
        <f t="shared" si="23"/>
        <v>#VALUE!</v>
      </c>
      <c r="H196" t="e">
        <f t="shared" si="24"/>
        <v>#VALUE!</v>
      </c>
      <c r="I196" s="56" t="str">
        <f t="shared" si="25"/>
        <v/>
      </c>
      <c r="J196" s="58" t="str">
        <f t="shared" si="26"/>
        <v/>
      </c>
      <c r="L196">
        <f>MIN(SEARCH({0,1,2,3,4,5,6,7,8,9},K196&amp;"0123456789"))</f>
        <v>1</v>
      </c>
      <c r="M196" t="str">
        <f t="shared" si="27"/>
        <v/>
      </c>
      <c r="O196" s="71">
        <f t="shared" si="28"/>
        <v>0</v>
      </c>
      <c r="AA196" t="str">
        <f t="shared" si="29"/>
        <v/>
      </c>
    </row>
    <row r="197" spans="2:27">
      <c r="B197" s="54" t="str">
        <f t="shared" ref="B197:B260" si="30">TRIM(MID(SUBSTITUTE(A197," ",REPT(" ",LEN(A197))), (4-1)*LEN(A197)+1, LEN(A197)))</f>
        <v/>
      </c>
      <c r="C197" t="str">
        <f>IFERROR(VLOOKUP(A197,Processor_DB_Intel!$A$1:'Processor_DB_Intel'!$D$422,4,FALSE),"")</f>
        <v/>
      </c>
      <c r="D197" t="str">
        <f>IFERROR(LEFT(VLOOKUP(A197,Processor_DB_Intel!$A$1:'Processor_DB_Intel'!$F$422,6,FALSE),3),"")</f>
        <v/>
      </c>
      <c r="E197" s="74" t="str">
        <f t="shared" ref="E197:E260" si="31">IF(O197 = 0,"",O197)</f>
        <v/>
      </c>
      <c r="F197" s="56" t="str">
        <f t="shared" ref="F197:F260" si="32">IFERROR(E197/C197,"")</f>
        <v/>
      </c>
      <c r="G197" t="e">
        <f t="shared" ref="G197:G260" si="33">C197*D197</f>
        <v>#VALUE!</v>
      </c>
      <c r="H197" t="e">
        <f t="shared" ref="H197:H260" si="34">G197*2</f>
        <v>#VALUE!</v>
      </c>
      <c r="I197" s="56" t="str">
        <f t="shared" ref="I197:I260" si="35">IFERROR(E197/G197,"")</f>
        <v/>
      </c>
      <c r="J197" s="58" t="str">
        <f t="shared" ref="J197:J260" si="36">IFERROR(1-(I197/$AC$3),"")</f>
        <v/>
      </c>
      <c r="L197">
        <f>MIN(SEARCH({0,1,2,3,4,5,6,7,8,9},K197&amp;"0123456789"))</f>
        <v>1</v>
      </c>
      <c r="M197" t="str">
        <f t="shared" ref="M197:M260" si="37">LEFT(RIGHT(K197,LEN(K197)-L197+1),6)</f>
        <v/>
      </c>
      <c r="O197" s="71">
        <f t="shared" ref="O197:O260" si="38">IFERROR(RIGHT(SUBSTITUTE(N197,"$",CHAR(9),2),LEN(N197)-FIND(CHAR(9),SUBSTITUTE(N197,"$",CHAR(9),2),1) ),N197)</f>
        <v>0</v>
      </c>
      <c r="AA197" t="str">
        <f t="shared" si="29"/>
        <v/>
      </c>
    </row>
    <row r="198" spans="2:27">
      <c r="B198" s="54" t="str">
        <f t="shared" si="30"/>
        <v/>
      </c>
      <c r="C198" t="str">
        <f>IFERROR(VLOOKUP(A198,Processor_DB_Intel!$A$1:'Processor_DB_Intel'!$D$422,4,FALSE),"")</f>
        <v/>
      </c>
      <c r="D198" t="str">
        <f>IFERROR(LEFT(VLOOKUP(A198,Processor_DB_Intel!$A$1:'Processor_DB_Intel'!$F$422,6,FALSE),3),"")</f>
        <v/>
      </c>
      <c r="E198" s="74" t="str">
        <f t="shared" si="31"/>
        <v/>
      </c>
      <c r="F198" s="56" t="str">
        <f t="shared" si="32"/>
        <v/>
      </c>
      <c r="G198" t="e">
        <f t="shared" si="33"/>
        <v>#VALUE!</v>
      </c>
      <c r="H198" t="e">
        <f t="shared" si="34"/>
        <v>#VALUE!</v>
      </c>
      <c r="I198" s="56" t="str">
        <f t="shared" si="35"/>
        <v/>
      </c>
      <c r="J198" s="58" t="str">
        <f t="shared" si="36"/>
        <v/>
      </c>
      <c r="L198">
        <f>MIN(SEARCH({0,1,2,3,4,5,6,7,8,9},K198&amp;"0123456789"))</f>
        <v>1</v>
      </c>
      <c r="M198" t="str">
        <f t="shared" si="37"/>
        <v/>
      </c>
      <c r="O198" s="71">
        <f t="shared" si="38"/>
        <v>0</v>
      </c>
      <c r="AA198" t="str">
        <f t="shared" ref="AA198:AA261" si="39">_xlfn.IFNA(I198,0)</f>
        <v/>
      </c>
    </row>
    <row r="199" spans="2:27">
      <c r="B199" s="54" t="str">
        <f t="shared" si="30"/>
        <v/>
      </c>
      <c r="C199" t="str">
        <f>IFERROR(VLOOKUP(A199,Processor_DB_Intel!$A$1:'Processor_DB_Intel'!$D$422,4,FALSE),"")</f>
        <v/>
      </c>
      <c r="D199" t="str">
        <f>IFERROR(LEFT(VLOOKUP(A199,Processor_DB_Intel!$A$1:'Processor_DB_Intel'!$F$422,6,FALSE),3),"")</f>
        <v/>
      </c>
      <c r="E199" s="74" t="str">
        <f t="shared" si="31"/>
        <v/>
      </c>
      <c r="F199" s="56" t="str">
        <f t="shared" si="32"/>
        <v/>
      </c>
      <c r="G199" t="e">
        <f t="shared" si="33"/>
        <v>#VALUE!</v>
      </c>
      <c r="H199" t="e">
        <f t="shared" si="34"/>
        <v>#VALUE!</v>
      </c>
      <c r="I199" s="56" t="str">
        <f t="shared" si="35"/>
        <v/>
      </c>
      <c r="J199" s="58" t="str">
        <f t="shared" si="36"/>
        <v/>
      </c>
      <c r="L199">
        <f>MIN(SEARCH({0,1,2,3,4,5,6,7,8,9},K199&amp;"0123456789"))</f>
        <v>1</v>
      </c>
      <c r="M199" t="str">
        <f t="shared" si="37"/>
        <v/>
      </c>
      <c r="O199" s="71">
        <f t="shared" si="38"/>
        <v>0</v>
      </c>
      <c r="AA199" t="str">
        <f t="shared" si="39"/>
        <v/>
      </c>
    </row>
    <row r="200" spans="2:27">
      <c r="B200" s="54" t="str">
        <f t="shared" si="30"/>
        <v/>
      </c>
      <c r="C200" t="str">
        <f>IFERROR(VLOOKUP(A200,Processor_DB_Intel!$A$1:'Processor_DB_Intel'!$D$422,4,FALSE),"")</f>
        <v/>
      </c>
      <c r="D200" t="str">
        <f>IFERROR(LEFT(VLOOKUP(A200,Processor_DB_Intel!$A$1:'Processor_DB_Intel'!$F$422,6,FALSE),3),"")</f>
        <v/>
      </c>
      <c r="E200" s="74" t="str">
        <f t="shared" si="31"/>
        <v/>
      </c>
      <c r="F200" s="56" t="str">
        <f t="shared" si="32"/>
        <v/>
      </c>
      <c r="G200" t="e">
        <f t="shared" si="33"/>
        <v>#VALUE!</v>
      </c>
      <c r="H200" t="e">
        <f t="shared" si="34"/>
        <v>#VALUE!</v>
      </c>
      <c r="I200" s="56" t="str">
        <f t="shared" si="35"/>
        <v/>
      </c>
      <c r="J200" s="58" t="str">
        <f t="shared" si="36"/>
        <v/>
      </c>
      <c r="L200">
        <f>MIN(SEARCH({0,1,2,3,4,5,6,7,8,9},K200&amp;"0123456789"))</f>
        <v>1</v>
      </c>
      <c r="M200" t="str">
        <f t="shared" si="37"/>
        <v/>
      </c>
      <c r="O200" s="71">
        <f t="shared" si="38"/>
        <v>0</v>
      </c>
      <c r="AA200" t="str">
        <f t="shared" si="39"/>
        <v/>
      </c>
    </row>
    <row r="201" spans="2:27">
      <c r="B201" s="54" t="str">
        <f t="shared" si="30"/>
        <v/>
      </c>
      <c r="C201" t="str">
        <f>IFERROR(VLOOKUP(A201,Processor_DB_Intel!$A$1:'Processor_DB_Intel'!$D$422,4,FALSE),"")</f>
        <v/>
      </c>
      <c r="D201" t="str">
        <f>IFERROR(LEFT(VLOOKUP(A201,Processor_DB_Intel!$A$1:'Processor_DB_Intel'!$F$422,6,FALSE),3),"")</f>
        <v/>
      </c>
      <c r="E201" s="74" t="str">
        <f t="shared" si="31"/>
        <v/>
      </c>
      <c r="F201" s="56" t="str">
        <f t="shared" si="32"/>
        <v/>
      </c>
      <c r="G201" t="e">
        <f t="shared" si="33"/>
        <v>#VALUE!</v>
      </c>
      <c r="H201" t="e">
        <f t="shared" si="34"/>
        <v>#VALUE!</v>
      </c>
      <c r="I201" s="56" t="str">
        <f t="shared" si="35"/>
        <v/>
      </c>
      <c r="J201" s="58" t="str">
        <f t="shared" si="36"/>
        <v/>
      </c>
      <c r="L201">
        <f>MIN(SEARCH({0,1,2,3,4,5,6,7,8,9},K201&amp;"0123456789"))</f>
        <v>1</v>
      </c>
      <c r="M201" t="str">
        <f t="shared" si="37"/>
        <v/>
      </c>
      <c r="O201" s="71">
        <f t="shared" si="38"/>
        <v>0</v>
      </c>
      <c r="AA201" t="str">
        <f t="shared" si="39"/>
        <v/>
      </c>
    </row>
    <row r="202" spans="2:27">
      <c r="B202" s="54" t="str">
        <f t="shared" si="30"/>
        <v/>
      </c>
      <c r="C202" t="str">
        <f>IFERROR(VLOOKUP(A202,Processor_DB_Intel!$A$1:'Processor_DB_Intel'!$D$422,4,FALSE),"")</f>
        <v/>
      </c>
      <c r="D202" t="str">
        <f>IFERROR(LEFT(VLOOKUP(A202,Processor_DB_Intel!$A$1:'Processor_DB_Intel'!$F$422,6,FALSE),3),"")</f>
        <v/>
      </c>
      <c r="E202" s="74" t="str">
        <f t="shared" si="31"/>
        <v/>
      </c>
      <c r="F202" s="56" t="str">
        <f t="shared" si="32"/>
        <v/>
      </c>
      <c r="G202" t="e">
        <f t="shared" si="33"/>
        <v>#VALUE!</v>
      </c>
      <c r="H202" t="e">
        <f t="shared" si="34"/>
        <v>#VALUE!</v>
      </c>
      <c r="I202" s="56" t="str">
        <f t="shared" si="35"/>
        <v/>
      </c>
      <c r="J202" s="58" t="str">
        <f t="shared" si="36"/>
        <v/>
      </c>
      <c r="L202">
        <f>MIN(SEARCH({0,1,2,3,4,5,6,7,8,9},K202&amp;"0123456789"))</f>
        <v>1</v>
      </c>
      <c r="M202" t="str">
        <f t="shared" si="37"/>
        <v/>
      </c>
      <c r="O202" s="71">
        <f t="shared" si="38"/>
        <v>0</v>
      </c>
      <c r="AA202" t="str">
        <f t="shared" si="39"/>
        <v/>
      </c>
    </row>
    <row r="203" spans="2:27">
      <c r="B203" s="54" t="str">
        <f t="shared" si="30"/>
        <v/>
      </c>
      <c r="C203" t="str">
        <f>IFERROR(VLOOKUP(A203,Processor_DB_Intel!$A$1:'Processor_DB_Intel'!$D$422,4,FALSE),"")</f>
        <v/>
      </c>
      <c r="D203" t="str">
        <f>IFERROR(LEFT(VLOOKUP(A203,Processor_DB_Intel!$A$1:'Processor_DB_Intel'!$F$422,6,FALSE),3),"")</f>
        <v/>
      </c>
      <c r="E203" s="74" t="str">
        <f t="shared" si="31"/>
        <v/>
      </c>
      <c r="F203" s="56" t="str">
        <f t="shared" si="32"/>
        <v/>
      </c>
      <c r="G203" t="e">
        <f t="shared" si="33"/>
        <v>#VALUE!</v>
      </c>
      <c r="H203" t="e">
        <f t="shared" si="34"/>
        <v>#VALUE!</v>
      </c>
      <c r="I203" s="56" t="str">
        <f t="shared" si="35"/>
        <v/>
      </c>
      <c r="J203" s="58" t="str">
        <f t="shared" si="36"/>
        <v/>
      </c>
      <c r="L203">
        <f>MIN(SEARCH({0,1,2,3,4,5,6,7,8,9},K203&amp;"0123456789"))</f>
        <v>1</v>
      </c>
      <c r="M203" t="str">
        <f t="shared" si="37"/>
        <v/>
      </c>
      <c r="O203" s="71">
        <f t="shared" si="38"/>
        <v>0</v>
      </c>
      <c r="AA203" t="str">
        <f t="shared" si="39"/>
        <v/>
      </c>
    </row>
    <row r="204" spans="2:27">
      <c r="B204" s="54" t="str">
        <f t="shared" si="30"/>
        <v/>
      </c>
      <c r="C204" t="str">
        <f>IFERROR(VLOOKUP(A204,Processor_DB_Intel!$A$1:'Processor_DB_Intel'!$D$422,4,FALSE),"")</f>
        <v/>
      </c>
      <c r="D204" t="str">
        <f>IFERROR(LEFT(VLOOKUP(A204,Processor_DB_Intel!$A$1:'Processor_DB_Intel'!$F$422,6,FALSE),3),"")</f>
        <v/>
      </c>
      <c r="E204" s="74" t="str">
        <f t="shared" si="31"/>
        <v/>
      </c>
      <c r="F204" s="56" t="str">
        <f t="shared" si="32"/>
        <v/>
      </c>
      <c r="G204" t="e">
        <f t="shared" si="33"/>
        <v>#VALUE!</v>
      </c>
      <c r="H204" t="e">
        <f t="shared" si="34"/>
        <v>#VALUE!</v>
      </c>
      <c r="I204" s="56" t="str">
        <f t="shared" si="35"/>
        <v/>
      </c>
      <c r="J204" s="58" t="str">
        <f t="shared" si="36"/>
        <v/>
      </c>
      <c r="L204">
        <f>MIN(SEARCH({0,1,2,3,4,5,6,7,8,9},K204&amp;"0123456789"))</f>
        <v>1</v>
      </c>
      <c r="M204" t="str">
        <f t="shared" si="37"/>
        <v/>
      </c>
      <c r="O204" s="71">
        <f t="shared" si="38"/>
        <v>0</v>
      </c>
      <c r="AA204" t="str">
        <f t="shared" si="39"/>
        <v/>
      </c>
    </row>
    <row r="205" spans="2:27">
      <c r="B205" s="54" t="str">
        <f t="shared" si="30"/>
        <v/>
      </c>
      <c r="C205" t="str">
        <f>IFERROR(VLOOKUP(A205,Processor_DB_Intel!$A$1:'Processor_DB_Intel'!$D$422,4,FALSE),"")</f>
        <v/>
      </c>
      <c r="D205" t="str">
        <f>IFERROR(LEFT(VLOOKUP(A205,Processor_DB_Intel!$A$1:'Processor_DB_Intel'!$F$422,6,FALSE),3),"")</f>
        <v/>
      </c>
      <c r="E205" s="74" t="str">
        <f t="shared" si="31"/>
        <v/>
      </c>
      <c r="F205" s="56" t="str">
        <f t="shared" si="32"/>
        <v/>
      </c>
      <c r="G205" t="e">
        <f t="shared" si="33"/>
        <v>#VALUE!</v>
      </c>
      <c r="H205" t="e">
        <f t="shared" si="34"/>
        <v>#VALUE!</v>
      </c>
      <c r="I205" s="56" t="str">
        <f t="shared" si="35"/>
        <v/>
      </c>
      <c r="J205" s="58" t="str">
        <f t="shared" si="36"/>
        <v/>
      </c>
      <c r="L205">
        <f>MIN(SEARCH({0,1,2,3,4,5,6,7,8,9},K205&amp;"0123456789"))</f>
        <v>1</v>
      </c>
      <c r="M205" t="str">
        <f t="shared" si="37"/>
        <v/>
      </c>
      <c r="O205" s="71">
        <f t="shared" si="38"/>
        <v>0</v>
      </c>
      <c r="AA205" t="str">
        <f t="shared" si="39"/>
        <v/>
      </c>
    </row>
    <row r="206" spans="2:27">
      <c r="B206" s="54" t="str">
        <f t="shared" si="30"/>
        <v/>
      </c>
      <c r="C206" t="str">
        <f>IFERROR(VLOOKUP(A206,Processor_DB_Intel!$A$1:'Processor_DB_Intel'!$D$422,4,FALSE),"")</f>
        <v/>
      </c>
      <c r="D206" t="str">
        <f>IFERROR(LEFT(VLOOKUP(A206,Processor_DB_Intel!$A$1:'Processor_DB_Intel'!$F$422,6,FALSE),3),"")</f>
        <v/>
      </c>
      <c r="E206" s="74" t="str">
        <f t="shared" si="31"/>
        <v/>
      </c>
      <c r="F206" s="56" t="str">
        <f t="shared" si="32"/>
        <v/>
      </c>
      <c r="G206" t="e">
        <f t="shared" si="33"/>
        <v>#VALUE!</v>
      </c>
      <c r="H206" t="e">
        <f t="shared" si="34"/>
        <v>#VALUE!</v>
      </c>
      <c r="I206" s="56" t="str">
        <f t="shared" si="35"/>
        <v/>
      </c>
      <c r="J206" s="58" t="str">
        <f t="shared" si="36"/>
        <v/>
      </c>
      <c r="L206">
        <f>MIN(SEARCH({0,1,2,3,4,5,6,7,8,9},K206&amp;"0123456789"))</f>
        <v>1</v>
      </c>
      <c r="M206" t="str">
        <f t="shared" si="37"/>
        <v/>
      </c>
      <c r="O206" s="71">
        <f t="shared" si="38"/>
        <v>0</v>
      </c>
      <c r="AA206" t="str">
        <f t="shared" si="39"/>
        <v/>
      </c>
    </row>
    <row r="207" spans="2:27">
      <c r="B207" s="54" t="str">
        <f t="shared" si="30"/>
        <v/>
      </c>
      <c r="C207" t="str">
        <f>IFERROR(VLOOKUP(A207,Processor_DB_Intel!$A$1:'Processor_DB_Intel'!$D$422,4,FALSE),"")</f>
        <v/>
      </c>
      <c r="D207" t="str">
        <f>IFERROR(LEFT(VLOOKUP(A207,Processor_DB_Intel!$A$1:'Processor_DB_Intel'!$F$422,6,FALSE),3),"")</f>
        <v/>
      </c>
      <c r="E207" s="74" t="str">
        <f t="shared" si="31"/>
        <v/>
      </c>
      <c r="F207" s="56" t="str">
        <f t="shared" si="32"/>
        <v/>
      </c>
      <c r="G207" t="e">
        <f t="shared" si="33"/>
        <v>#VALUE!</v>
      </c>
      <c r="H207" t="e">
        <f t="shared" si="34"/>
        <v>#VALUE!</v>
      </c>
      <c r="I207" s="56" t="str">
        <f t="shared" si="35"/>
        <v/>
      </c>
      <c r="J207" s="58" t="str">
        <f t="shared" si="36"/>
        <v/>
      </c>
      <c r="L207">
        <f>MIN(SEARCH({0,1,2,3,4,5,6,7,8,9},K207&amp;"0123456789"))</f>
        <v>1</v>
      </c>
      <c r="M207" t="str">
        <f t="shared" si="37"/>
        <v/>
      </c>
      <c r="O207" s="71">
        <f t="shared" si="38"/>
        <v>0</v>
      </c>
      <c r="AA207" t="str">
        <f t="shared" si="39"/>
        <v/>
      </c>
    </row>
    <row r="208" spans="2:27">
      <c r="B208" s="54" t="str">
        <f t="shared" si="30"/>
        <v/>
      </c>
      <c r="C208" t="str">
        <f>IFERROR(VLOOKUP(A208,Processor_DB_Intel!$A$1:'Processor_DB_Intel'!$D$422,4,FALSE),"")</f>
        <v/>
      </c>
      <c r="D208" t="str">
        <f>IFERROR(LEFT(VLOOKUP(A208,Processor_DB_Intel!$A$1:'Processor_DB_Intel'!$F$422,6,FALSE),3),"")</f>
        <v/>
      </c>
      <c r="E208" s="74" t="str">
        <f t="shared" si="31"/>
        <v/>
      </c>
      <c r="F208" s="56" t="str">
        <f t="shared" si="32"/>
        <v/>
      </c>
      <c r="G208" t="e">
        <f t="shared" si="33"/>
        <v>#VALUE!</v>
      </c>
      <c r="H208" t="e">
        <f t="shared" si="34"/>
        <v>#VALUE!</v>
      </c>
      <c r="I208" s="56" t="str">
        <f t="shared" si="35"/>
        <v/>
      </c>
      <c r="J208" s="58" t="str">
        <f t="shared" si="36"/>
        <v/>
      </c>
      <c r="L208">
        <f>MIN(SEARCH({0,1,2,3,4,5,6,7,8,9},K208&amp;"0123456789"))</f>
        <v>1</v>
      </c>
      <c r="M208" t="str">
        <f t="shared" si="37"/>
        <v/>
      </c>
      <c r="O208" s="71">
        <f t="shared" si="38"/>
        <v>0</v>
      </c>
      <c r="AA208" t="str">
        <f t="shared" si="39"/>
        <v/>
      </c>
    </row>
    <row r="209" spans="2:27">
      <c r="B209" s="54" t="str">
        <f t="shared" si="30"/>
        <v/>
      </c>
      <c r="C209" t="str">
        <f>IFERROR(VLOOKUP(A209,Processor_DB_Intel!$A$1:'Processor_DB_Intel'!$D$422,4,FALSE),"")</f>
        <v/>
      </c>
      <c r="D209" t="str">
        <f>IFERROR(LEFT(VLOOKUP(A209,Processor_DB_Intel!$A$1:'Processor_DB_Intel'!$F$422,6,FALSE),3),"")</f>
        <v/>
      </c>
      <c r="E209" s="74" t="str">
        <f t="shared" si="31"/>
        <v/>
      </c>
      <c r="F209" s="56" t="str">
        <f t="shared" si="32"/>
        <v/>
      </c>
      <c r="G209" t="e">
        <f t="shared" si="33"/>
        <v>#VALUE!</v>
      </c>
      <c r="H209" t="e">
        <f t="shared" si="34"/>
        <v>#VALUE!</v>
      </c>
      <c r="I209" s="56" t="str">
        <f t="shared" si="35"/>
        <v/>
      </c>
      <c r="J209" s="58" t="str">
        <f t="shared" si="36"/>
        <v/>
      </c>
      <c r="L209">
        <f>MIN(SEARCH({0,1,2,3,4,5,6,7,8,9},K209&amp;"0123456789"))</f>
        <v>1</v>
      </c>
      <c r="M209" t="str">
        <f t="shared" si="37"/>
        <v/>
      </c>
      <c r="O209" s="71">
        <f t="shared" si="38"/>
        <v>0</v>
      </c>
      <c r="AA209" t="str">
        <f t="shared" si="39"/>
        <v/>
      </c>
    </row>
    <row r="210" spans="2:27">
      <c r="B210" s="54" t="str">
        <f t="shared" si="30"/>
        <v/>
      </c>
      <c r="C210" t="str">
        <f>IFERROR(VLOOKUP(A210,Processor_DB_Intel!$A$1:'Processor_DB_Intel'!$D$422,4,FALSE),"")</f>
        <v/>
      </c>
      <c r="D210" t="str">
        <f>IFERROR(LEFT(VLOOKUP(A210,Processor_DB_Intel!$A$1:'Processor_DB_Intel'!$F$422,6,FALSE),3),"")</f>
        <v/>
      </c>
      <c r="E210" s="74" t="str">
        <f t="shared" si="31"/>
        <v/>
      </c>
      <c r="F210" s="56" t="str">
        <f t="shared" si="32"/>
        <v/>
      </c>
      <c r="G210" t="e">
        <f t="shared" si="33"/>
        <v>#VALUE!</v>
      </c>
      <c r="H210" t="e">
        <f t="shared" si="34"/>
        <v>#VALUE!</v>
      </c>
      <c r="I210" s="56" t="str">
        <f t="shared" si="35"/>
        <v/>
      </c>
      <c r="J210" s="58" t="str">
        <f t="shared" si="36"/>
        <v/>
      </c>
      <c r="L210">
        <f>MIN(SEARCH({0,1,2,3,4,5,6,7,8,9},K210&amp;"0123456789"))</f>
        <v>1</v>
      </c>
      <c r="M210" t="str">
        <f t="shared" si="37"/>
        <v/>
      </c>
      <c r="O210" s="71">
        <f t="shared" si="38"/>
        <v>0</v>
      </c>
      <c r="AA210" t="str">
        <f t="shared" si="39"/>
        <v/>
      </c>
    </row>
    <row r="211" spans="2:27">
      <c r="B211" s="54" t="str">
        <f t="shared" si="30"/>
        <v/>
      </c>
      <c r="C211" t="str">
        <f>IFERROR(VLOOKUP(A211,Processor_DB_Intel!$A$1:'Processor_DB_Intel'!$D$422,4,FALSE),"")</f>
        <v/>
      </c>
      <c r="D211" t="str">
        <f>IFERROR(LEFT(VLOOKUP(A211,Processor_DB_Intel!$A$1:'Processor_DB_Intel'!$F$422,6,FALSE),3),"")</f>
        <v/>
      </c>
      <c r="E211" s="74" t="str">
        <f t="shared" si="31"/>
        <v/>
      </c>
      <c r="F211" s="56" t="str">
        <f t="shared" si="32"/>
        <v/>
      </c>
      <c r="G211" t="e">
        <f t="shared" si="33"/>
        <v>#VALUE!</v>
      </c>
      <c r="H211" t="e">
        <f t="shared" si="34"/>
        <v>#VALUE!</v>
      </c>
      <c r="I211" s="56" t="str">
        <f t="shared" si="35"/>
        <v/>
      </c>
      <c r="J211" s="58" t="str">
        <f t="shared" si="36"/>
        <v/>
      </c>
      <c r="L211">
        <f>MIN(SEARCH({0,1,2,3,4,5,6,7,8,9},K211&amp;"0123456789"))</f>
        <v>1</v>
      </c>
      <c r="M211" t="str">
        <f t="shared" si="37"/>
        <v/>
      </c>
      <c r="O211" s="71">
        <f t="shared" si="38"/>
        <v>0</v>
      </c>
      <c r="AA211" t="str">
        <f t="shared" si="39"/>
        <v/>
      </c>
    </row>
    <row r="212" spans="2:27">
      <c r="B212" s="54" t="str">
        <f t="shared" si="30"/>
        <v/>
      </c>
      <c r="C212" t="str">
        <f>IFERROR(VLOOKUP(A212,Processor_DB_Intel!$A$1:'Processor_DB_Intel'!$D$422,4,FALSE),"")</f>
        <v/>
      </c>
      <c r="D212" t="str">
        <f>IFERROR(LEFT(VLOOKUP(A212,Processor_DB_Intel!$A$1:'Processor_DB_Intel'!$F$422,6,FALSE),3),"")</f>
        <v/>
      </c>
      <c r="E212" s="74" t="str">
        <f t="shared" si="31"/>
        <v/>
      </c>
      <c r="F212" s="56" t="str">
        <f t="shared" si="32"/>
        <v/>
      </c>
      <c r="G212" t="e">
        <f t="shared" si="33"/>
        <v>#VALUE!</v>
      </c>
      <c r="H212" t="e">
        <f t="shared" si="34"/>
        <v>#VALUE!</v>
      </c>
      <c r="I212" s="56" t="str">
        <f t="shared" si="35"/>
        <v/>
      </c>
      <c r="J212" s="58" t="str">
        <f t="shared" si="36"/>
        <v/>
      </c>
      <c r="L212">
        <f>MIN(SEARCH({0,1,2,3,4,5,6,7,8,9},K212&amp;"0123456789"))</f>
        <v>1</v>
      </c>
      <c r="M212" t="str">
        <f t="shared" si="37"/>
        <v/>
      </c>
      <c r="O212" s="71">
        <f t="shared" si="38"/>
        <v>0</v>
      </c>
      <c r="AA212" t="str">
        <f t="shared" si="39"/>
        <v/>
      </c>
    </row>
    <row r="213" spans="2:27">
      <c r="B213" s="54" t="str">
        <f t="shared" si="30"/>
        <v/>
      </c>
      <c r="C213" t="str">
        <f>IFERROR(VLOOKUP(A213,Processor_DB_Intel!$A$1:'Processor_DB_Intel'!$D$422,4,FALSE),"")</f>
        <v/>
      </c>
      <c r="D213" t="str">
        <f>IFERROR(LEFT(VLOOKUP(A213,Processor_DB_Intel!$A$1:'Processor_DB_Intel'!$F$422,6,FALSE),3),"")</f>
        <v/>
      </c>
      <c r="E213" s="74" t="str">
        <f t="shared" si="31"/>
        <v/>
      </c>
      <c r="F213" s="56" t="str">
        <f t="shared" si="32"/>
        <v/>
      </c>
      <c r="G213" t="e">
        <f t="shared" si="33"/>
        <v>#VALUE!</v>
      </c>
      <c r="H213" t="e">
        <f t="shared" si="34"/>
        <v>#VALUE!</v>
      </c>
      <c r="I213" s="56" t="str">
        <f t="shared" si="35"/>
        <v/>
      </c>
      <c r="J213" s="58" t="str">
        <f t="shared" si="36"/>
        <v/>
      </c>
      <c r="L213">
        <f>MIN(SEARCH({0,1,2,3,4,5,6,7,8,9},K213&amp;"0123456789"))</f>
        <v>1</v>
      </c>
      <c r="M213" t="str">
        <f t="shared" si="37"/>
        <v/>
      </c>
      <c r="O213" s="71">
        <f t="shared" si="38"/>
        <v>0</v>
      </c>
      <c r="AA213" t="str">
        <f t="shared" si="39"/>
        <v/>
      </c>
    </row>
    <row r="214" spans="2:27">
      <c r="B214" s="54" t="str">
        <f t="shared" si="30"/>
        <v/>
      </c>
      <c r="C214" t="str">
        <f>IFERROR(VLOOKUP(A214,Processor_DB_Intel!$A$1:'Processor_DB_Intel'!$D$422,4,FALSE),"")</f>
        <v/>
      </c>
      <c r="D214" t="str">
        <f>IFERROR(LEFT(VLOOKUP(A214,Processor_DB_Intel!$A$1:'Processor_DB_Intel'!$F$422,6,FALSE),3),"")</f>
        <v/>
      </c>
      <c r="E214" s="74" t="str">
        <f t="shared" si="31"/>
        <v/>
      </c>
      <c r="F214" s="56" t="str">
        <f t="shared" si="32"/>
        <v/>
      </c>
      <c r="G214" t="e">
        <f t="shared" si="33"/>
        <v>#VALUE!</v>
      </c>
      <c r="H214" t="e">
        <f t="shared" si="34"/>
        <v>#VALUE!</v>
      </c>
      <c r="I214" s="56" t="str">
        <f t="shared" si="35"/>
        <v/>
      </c>
      <c r="J214" s="58" t="str">
        <f t="shared" si="36"/>
        <v/>
      </c>
      <c r="L214">
        <f>MIN(SEARCH({0,1,2,3,4,5,6,7,8,9},K214&amp;"0123456789"))</f>
        <v>1</v>
      </c>
      <c r="M214" t="str">
        <f t="shared" si="37"/>
        <v/>
      </c>
      <c r="O214" s="71">
        <f t="shared" si="38"/>
        <v>0</v>
      </c>
      <c r="AA214" t="str">
        <f t="shared" si="39"/>
        <v/>
      </c>
    </row>
    <row r="215" spans="2:27">
      <c r="B215" s="54" t="str">
        <f t="shared" si="30"/>
        <v/>
      </c>
      <c r="C215" t="str">
        <f>IFERROR(VLOOKUP(A215,Processor_DB_Intel!$A$1:'Processor_DB_Intel'!$D$422,4,FALSE),"")</f>
        <v/>
      </c>
      <c r="D215" t="str">
        <f>IFERROR(LEFT(VLOOKUP(A215,Processor_DB_Intel!$A$1:'Processor_DB_Intel'!$F$422,6,FALSE),3),"")</f>
        <v/>
      </c>
      <c r="E215" s="74" t="str">
        <f t="shared" si="31"/>
        <v/>
      </c>
      <c r="F215" s="56" t="str">
        <f t="shared" si="32"/>
        <v/>
      </c>
      <c r="G215" t="e">
        <f t="shared" si="33"/>
        <v>#VALUE!</v>
      </c>
      <c r="H215" t="e">
        <f t="shared" si="34"/>
        <v>#VALUE!</v>
      </c>
      <c r="I215" s="56" t="str">
        <f t="shared" si="35"/>
        <v/>
      </c>
      <c r="J215" s="58" t="str">
        <f t="shared" si="36"/>
        <v/>
      </c>
      <c r="L215">
        <f>MIN(SEARCH({0,1,2,3,4,5,6,7,8,9},K215&amp;"0123456789"))</f>
        <v>1</v>
      </c>
      <c r="M215" t="str">
        <f t="shared" si="37"/>
        <v/>
      </c>
      <c r="O215" s="71">
        <f t="shared" si="38"/>
        <v>0</v>
      </c>
      <c r="AA215" t="str">
        <f t="shared" si="39"/>
        <v/>
      </c>
    </row>
    <row r="216" spans="2:27">
      <c r="B216" s="54" t="str">
        <f t="shared" si="30"/>
        <v/>
      </c>
      <c r="C216" t="str">
        <f>IFERROR(VLOOKUP(A216,Processor_DB_Intel!$A$1:'Processor_DB_Intel'!$D$422,4,FALSE),"")</f>
        <v/>
      </c>
      <c r="D216" t="str">
        <f>IFERROR(LEFT(VLOOKUP(A216,Processor_DB_Intel!$A$1:'Processor_DB_Intel'!$F$422,6,FALSE),3),"")</f>
        <v/>
      </c>
      <c r="E216" s="74" t="str">
        <f t="shared" si="31"/>
        <v/>
      </c>
      <c r="F216" s="56" t="str">
        <f t="shared" si="32"/>
        <v/>
      </c>
      <c r="G216" t="e">
        <f t="shared" si="33"/>
        <v>#VALUE!</v>
      </c>
      <c r="H216" t="e">
        <f t="shared" si="34"/>
        <v>#VALUE!</v>
      </c>
      <c r="I216" s="56" t="str">
        <f t="shared" si="35"/>
        <v/>
      </c>
      <c r="J216" s="58" t="str">
        <f t="shared" si="36"/>
        <v/>
      </c>
      <c r="L216">
        <f>MIN(SEARCH({0,1,2,3,4,5,6,7,8,9},K216&amp;"0123456789"))</f>
        <v>1</v>
      </c>
      <c r="M216" t="str">
        <f t="shared" si="37"/>
        <v/>
      </c>
      <c r="O216" s="71">
        <f t="shared" si="38"/>
        <v>0</v>
      </c>
      <c r="AA216" t="str">
        <f t="shared" si="39"/>
        <v/>
      </c>
    </row>
    <row r="217" spans="2:27">
      <c r="B217" s="54" t="str">
        <f t="shared" si="30"/>
        <v/>
      </c>
      <c r="C217" t="str">
        <f>IFERROR(VLOOKUP(A217,Processor_DB_Intel!$A$1:'Processor_DB_Intel'!$D$422,4,FALSE),"")</f>
        <v/>
      </c>
      <c r="D217" t="str">
        <f>IFERROR(LEFT(VLOOKUP(A217,Processor_DB_Intel!$A$1:'Processor_DB_Intel'!$F$422,6,FALSE),3),"")</f>
        <v/>
      </c>
      <c r="E217" s="74" t="str">
        <f t="shared" si="31"/>
        <v/>
      </c>
      <c r="F217" s="56" t="str">
        <f t="shared" si="32"/>
        <v/>
      </c>
      <c r="G217" t="e">
        <f t="shared" si="33"/>
        <v>#VALUE!</v>
      </c>
      <c r="H217" t="e">
        <f t="shared" si="34"/>
        <v>#VALUE!</v>
      </c>
      <c r="I217" s="56" t="str">
        <f t="shared" si="35"/>
        <v/>
      </c>
      <c r="J217" s="58" t="str">
        <f t="shared" si="36"/>
        <v/>
      </c>
      <c r="L217">
        <f>MIN(SEARCH({0,1,2,3,4,5,6,7,8,9},K217&amp;"0123456789"))</f>
        <v>1</v>
      </c>
      <c r="M217" t="str">
        <f t="shared" si="37"/>
        <v/>
      </c>
      <c r="O217" s="71">
        <f t="shared" si="38"/>
        <v>0</v>
      </c>
      <c r="AA217" t="str">
        <f t="shared" si="39"/>
        <v/>
      </c>
    </row>
    <row r="218" spans="2:27">
      <c r="B218" s="54" t="str">
        <f t="shared" si="30"/>
        <v/>
      </c>
      <c r="C218" t="str">
        <f>IFERROR(VLOOKUP(A218,Processor_DB_Intel!$A$1:'Processor_DB_Intel'!$D$422,4,FALSE),"")</f>
        <v/>
      </c>
      <c r="D218" t="str">
        <f>IFERROR(LEFT(VLOOKUP(A218,Processor_DB_Intel!$A$1:'Processor_DB_Intel'!$F$422,6,FALSE),3),"")</f>
        <v/>
      </c>
      <c r="E218" s="74" t="str">
        <f t="shared" si="31"/>
        <v/>
      </c>
      <c r="F218" s="56" t="str">
        <f t="shared" si="32"/>
        <v/>
      </c>
      <c r="G218" t="e">
        <f t="shared" si="33"/>
        <v>#VALUE!</v>
      </c>
      <c r="H218" t="e">
        <f t="shared" si="34"/>
        <v>#VALUE!</v>
      </c>
      <c r="I218" s="56" t="str">
        <f t="shared" si="35"/>
        <v/>
      </c>
      <c r="J218" s="58" t="str">
        <f t="shared" si="36"/>
        <v/>
      </c>
      <c r="L218">
        <f>MIN(SEARCH({0,1,2,3,4,5,6,7,8,9},K218&amp;"0123456789"))</f>
        <v>1</v>
      </c>
      <c r="M218" t="str">
        <f t="shared" si="37"/>
        <v/>
      </c>
      <c r="O218" s="71">
        <f t="shared" si="38"/>
        <v>0</v>
      </c>
      <c r="AA218" t="str">
        <f t="shared" si="39"/>
        <v/>
      </c>
    </row>
    <row r="219" spans="2:27">
      <c r="B219" s="54" t="str">
        <f t="shared" si="30"/>
        <v/>
      </c>
      <c r="C219" t="str">
        <f>IFERROR(VLOOKUP(A219,Processor_DB_Intel!$A$1:'Processor_DB_Intel'!$D$422,4,FALSE),"")</f>
        <v/>
      </c>
      <c r="D219" t="str">
        <f>IFERROR(LEFT(VLOOKUP(A219,Processor_DB_Intel!$A$1:'Processor_DB_Intel'!$F$422,6,FALSE),3),"")</f>
        <v/>
      </c>
      <c r="E219" s="74" t="str">
        <f t="shared" si="31"/>
        <v/>
      </c>
      <c r="F219" s="56" t="str">
        <f t="shared" si="32"/>
        <v/>
      </c>
      <c r="G219" t="e">
        <f t="shared" si="33"/>
        <v>#VALUE!</v>
      </c>
      <c r="H219" t="e">
        <f t="shared" si="34"/>
        <v>#VALUE!</v>
      </c>
      <c r="I219" s="56" t="str">
        <f t="shared" si="35"/>
        <v/>
      </c>
      <c r="J219" s="58" t="str">
        <f t="shared" si="36"/>
        <v/>
      </c>
      <c r="L219">
        <f>MIN(SEARCH({0,1,2,3,4,5,6,7,8,9},K219&amp;"0123456789"))</f>
        <v>1</v>
      </c>
      <c r="M219" t="str">
        <f t="shared" si="37"/>
        <v/>
      </c>
      <c r="O219" s="71">
        <f t="shared" si="38"/>
        <v>0</v>
      </c>
      <c r="AA219" t="str">
        <f t="shared" si="39"/>
        <v/>
      </c>
    </row>
    <row r="220" spans="2:27">
      <c r="B220" s="54" t="str">
        <f t="shared" si="30"/>
        <v/>
      </c>
      <c r="C220" t="str">
        <f>IFERROR(VLOOKUP(A220,Processor_DB_Intel!$A$1:'Processor_DB_Intel'!$D$422,4,FALSE),"")</f>
        <v/>
      </c>
      <c r="D220" t="str">
        <f>IFERROR(LEFT(VLOOKUP(A220,Processor_DB_Intel!$A$1:'Processor_DB_Intel'!$F$422,6,FALSE),3),"")</f>
        <v/>
      </c>
      <c r="E220" s="74" t="str">
        <f t="shared" si="31"/>
        <v/>
      </c>
      <c r="F220" s="56" t="str">
        <f t="shared" si="32"/>
        <v/>
      </c>
      <c r="G220" t="e">
        <f t="shared" si="33"/>
        <v>#VALUE!</v>
      </c>
      <c r="H220" t="e">
        <f t="shared" si="34"/>
        <v>#VALUE!</v>
      </c>
      <c r="I220" s="56" t="str">
        <f t="shared" si="35"/>
        <v/>
      </c>
      <c r="J220" s="58" t="str">
        <f t="shared" si="36"/>
        <v/>
      </c>
      <c r="L220">
        <f>MIN(SEARCH({0,1,2,3,4,5,6,7,8,9},K220&amp;"0123456789"))</f>
        <v>1</v>
      </c>
      <c r="M220" t="str">
        <f t="shared" si="37"/>
        <v/>
      </c>
      <c r="O220" s="71">
        <f t="shared" si="38"/>
        <v>0</v>
      </c>
      <c r="AA220" t="str">
        <f t="shared" si="39"/>
        <v/>
      </c>
    </row>
    <row r="221" spans="2:27">
      <c r="B221" s="54" t="str">
        <f t="shared" si="30"/>
        <v/>
      </c>
      <c r="C221" t="str">
        <f>IFERROR(VLOOKUP(A221,Processor_DB_Intel!$A$1:'Processor_DB_Intel'!$D$422,4,FALSE),"")</f>
        <v/>
      </c>
      <c r="D221" t="str">
        <f>IFERROR(LEFT(VLOOKUP(A221,Processor_DB_Intel!$A$1:'Processor_DB_Intel'!$F$422,6,FALSE),3),"")</f>
        <v/>
      </c>
      <c r="E221" s="74" t="str">
        <f t="shared" si="31"/>
        <v/>
      </c>
      <c r="F221" s="56" t="str">
        <f t="shared" si="32"/>
        <v/>
      </c>
      <c r="G221" t="e">
        <f t="shared" si="33"/>
        <v>#VALUE!</v>
      </c>
      <c r="H221" t="e">
        <f t="shared" si="34"/>
        <v>#VALUE!</v>
      </c>
      <c r="I221" s="56" t="str">
        <f t="shared" si="35"/>
        <v/>
      </c>
      <c r="J221" s="58" t="str">
        <f t="shared" si="36"/>
        <v/>
      </c>
      <c r="L221">
        <f>MIN(SEARCH({0,1,2,3,4,5,6,7,8,9},K221&amp;"0123456789"))</f>
        <v>1</v>
      </c>
      <c r="M221" t="str">
        <f t="shared" si="37"/>
        <v/>
      </c>
      <c r="O221" s="71">
        <f t="shared" si="38"/>
        <v>0</v>
      </c>
      <c r="AA221" t="str">
        <f t="shared" si="39"/>
        <v/>
      </c>
    </row>
    <row r="222" spans="2:27">
      <c r="B222" s="54" t="str">
        <f t="shared" si="30"/>
        <v/>
      </c>
      <c r="C222" t="str">
        <f>IFERROR(VLOOKUP(A222,Processor_DB_Intel!$A$1:'Processor_DB_Intel'!$D$422,4,FALSE),"")</f>
        <v/>
      </c>
      <c r="D222" t="str">
        <f>IFERROR(LEFT(VLOOKUP(A222,Processor_DB_Intel!$A$1:'Processor_DB_Intel'!$F$422,6,FALSE),3),"")</f>
        <v/>
      </c>
      <c r="E222" s="74" t="str">
        <f t="shared" si="31"/>
        <v/>
      </c>
      <c r="F222" s="56" t="str">
        <f t="shared" si="32"/>
        <v/>
      </c>
      <c r="G222" t="e">
        <f t="shared" si="33"/>
        <v>#VALUE!</v>
      </c>
      <c r="H222" t="e">
        <f t="shared" si="34"/>
        <v>#VALUE!</v>
      </c>
      <c r="I222" s="56" t="str">
        <f t="shared" si="35"/>
        <v/>
      </c>
      <c r="J222" s="58" t="str">
        <f t="shared" si="36"/>
        <v/>
      </c>
      <c r="L222">
        <f>MIN(SEARCH({0,1,2,3,4,5,6,7,8,9},K222&amp;"0123456789"))</f>
        <v>1</v>
      </c>
      <c r="M222" t="str">
        <f t="shared" si="37"/>
        <v/>
      </c>
      <c r="O222" s="71">
        <f t="shared" si="38"/>
        <v>0</v>
      </c>
      <c r="AA222" t="str">
        <f t="shared" si="39"/>
        <v/>
      </c>
    </row>
    <row r="223" spans="2:27">
      <c r="B223" s="54" t="str">
        <f t="shared" si="30"/>
        <v/>
      </c>
      <c r="C223" t="str">
        <f>IFERROR(VLOOKUP(A223,Processor_DB_Intel!$A$1:'Processor_DB_Intel'!$D$422,4,FALSE),"")</f>
        <v/>
      </c>
      <c r="D223" t="str">
        <f>IFERROR(LEFT(VLOOKUP(A223,Processor_DB_Intel!$A$1:'Processor_DB_Intel'!$F$422,6,FALSE),3),"")</f>
        <v/>
      </c>
      <c r="E223" s="74" t="str">
        <f t="shared" si="31"/>
        <v/>
      </c>
      <c r="F223" s="56" t="str">
        <f t="shared" si="32"/>
        <v/>
      </c>
      <c r="G223" t="e">
        <f t="shared" si="33"/>
        <v>#VALUE!</v>
      </c>
      <c r="H223" t="e">
        <f t="shared" si="34"/>
        <v>#VALUE!</v>
      </c>
      <c r="I223" s="56" t="str">
        <f t="shared" si="35"/>
        <v/>
      </c>
      <c r="J223" s="58" t="str">
        <f t="shared" si="36"/>
        <v/>
      </c>
      <c r="L223">
        <f>MIN(SEARCH({0,1,2,3,4,5,6,7,8,9},K223&amp;"0123456789"))</f>
        <v>1</v>
      </c>
      <c r="M223" t="str">
        <f t="shared" si="37"/>
        <v/>
      </c>
      <c r="O223" s="71">
        <f t="shared" si="38"/>
        <v>0</v>
      </c>
      <c r="AA223" t="str">
        <f t="shared" si="39"/>
        <v/>
      </c>
    </row>
    <row r="224" spans="2:27">
      <c r="B224" s="54" t="str">
        <f t="shared" si="30"/>
        <v/>
      </c>
      <c r="C224" t="str">
        <f>IFERROR(VLOOKUP(A224,Processor_DB_Intel!$A$1:'Processor_DB_Intel'!$D$422,4,FALSE),"")</f>
        <v/>
      </c>
      <c r="D224" t="str">
        <f>IFERROR(LEFT(VLOOKUP(A224,Processor_DB_Intel!$A$1:'Processor_DB_Intel'!$F$422,6,FALSE),3),"")</f>
        <v/>
      </c>
      <c r="E224" s="74" t="str">
        <f t="shared" si="31"/>
        <v/>
      </c>
      <c r="F224" s="56" t="str">
        <f t="shared" si="32"/>
        <v/>
      </c>
      <c r="G224" t="e">
        <f t="shared" si="33"/>
        <v>#VALUE!</v>
      </c>
      <c r="H224" t="e">
        <f t="shared" si="34"/>
        <v>#VALUE!</v>
      </c>
      <c r="I224" s="56" t="str">
        <f t="shared" si="35"/>
        <v/>
      </c>
      <c r="J224" s="58" t="str">
        <f t="shared" si="36"/>
        <v/>
      </c>
      <c r="L224">
        <f>MIN(SEARCH({0,1,2,3,4,5,6,7,8,9},K224&amp;"0123456789"))</f>
        <v>1</v>
      </c>
      <c r="M224" t="str">
        <f t="shared" si="37"/>
        <v/>
      </c>
      <c r="O224" s="71">
        <f t="shared" si="38"/>
        <v>0</v>
      </c>
      <c r="AA224" t="str">
        <f t="shared" si="39"/>
        <v/>
      </c>
    </row>
    <row r="225" spans="2:27">
      <c r="B225" s="54" t="str">
        <f t="shared" si="30"/>
        <v/>
      </c>
      <c r="C225" t="str">
        <f>IFERROR(VLOOKUP(A225,Processor_DB_Intel!$A$1:'Processor_DB_Intel'!$D$422,4,FALSE),"")</f>
        <v/>
      </c>
      <c r="D225" t="str">
        <f>IFERROR(LEFT(VLOOKUP(A225,Processor_DB_Intel!$A$1:'Processor_DB_Intel'!$F$422,6,FALSE),3),"")</f>
        <v/>
      </c>
      <c r="E225" s="74" t="str">
        <f t="shared" si="31"/>
        <v/>
      </c>
      <c r="F225" s="56" t="str">
        <f t="shared" si="32"/>
        <v/>
      </c>
      <c r="G225" t="e">
        <f t="shared" si="33"/>
        <v>#VALUE!</v>
      </c>
      <c r="H225" t="e">
        <f t="shared" si="34"/>
        <v>#VALUE!</v>
      </c>
      <c r="I225" s="56" t="str">
        <f t="shared" si="35"/>
        <v/>
      </c>
      <c r="J225" s="58" t="str">
        <f t="shared" si="36"/>
        <v/>
      </c>
      <c r="L225">
        <f>MIN(SEARCH({0,1,2,3,4,5,6,7,8,9},K225&amp;"0123456789"))</f>
        <v>1</v>
      </c>
      <c r="M225" t="str">
        <f t="shared" si="37"/>
        <v/>
      </c>
      <c r="O225" s="71">
        <f t="shared" si="38"/>
        <v>0</v>
      </c>
      <c r="AA225" t="str">
        <f t="shared" si="39"/>
        <v/>
      </c>
    </row>
    <row r="226" spans="2:27">
      <c r="B226" s="54" t="str">
        <f t="shared" si="30"/>
        <v/>
      </c>
      <c r="C226" t="str">
        <f>IFERROR(VLOOKUP(A226,Processor_DB_Intel!$A$1:'Processor_DB_Intel'!$D$422,4,FALSE),"")</f>
        <v/>
      </c>
      <c r="D226" t="str">
        <f>IFERROR(LEFT(VLOOKUP(A226,Processor_DB_Intel!$A$1:'Processor_DB_Intel'!$F$422,6,FALSE),3),"")</f>
        <v/>
      </c>
      <c r="E226" s="74" t="str">
        <f t="shared" si="31"/>
        <v/>
      </c>
      <c r="F226" s="56" t="str">
        <f t="shared" si="32"/>
        <v/>
      </c>
      <c r="G226" t="e">
        <f t="shared" si="33"/>
        <v>#VALUE!</v>
      </c>
      <c r="H226" t="e">
        <f t="shared" si="34"/>
        <v>#VALUE!</v>
      </c>
      <c r="I226" s="56" t="str">
        <f t="shared" si="35"/>
        <v/>
      </c>
      <c r="J226" s="58" t="str">
        <f t="shared" si="36"/>
        <v/>
      </c>
      <c r="L226">
        <f>MIN(SEARCH({0,1,2,3,4,5,6,7,8,9},K226&amp;"0123456789"))</f>
        <v>1</v>
      </c>
      <c r="M226" t="str">
        <f t="shared" si="37"/>
        <v/>
      </c>
      <c r="O226" s="71">
        <f t="shared" si="38"/>
        <v>0</v>
      </c>
      <c r="AA226" t="str">
        <f t="shared" si="39"/>
        <v/>
      </c>
    </row>
    <row r="227" spans="2:27">
      <c r="B227" s="54" t="str">
        <f t="shared" si="30"/>
        <v/>
      </c>
      <c r="C227" t="str">
        <f>IFERROR(VLOOKUP(A227,Processor_DB_Intel!$A$1:'Processor_DB_Intel'!$D$422,4,FALSE),"")</f>
        <v/>
      </c>
      <c r="D227" t="str">
        <f>IFERROR(LEFT(VLOOKUP(A227,Processor_DB_Intel!$A$1:'Processor_DB_Intel'!$F$422,6,FALSE),3),"")</f>
        <v/>
      </c>
      <c r="E227" s="74" t="str">
        <f t="shared" si="31"/>
        <v/>
      </c>
      <c r="F227" s="56" t="str">
        <f t="shared" si="32"/>
        <v/>
      </c>
      <c r="G227" t="e">
        <f t="shared" si="33"/>
        <v>#VALUE!</v>
      </c>
      <c r="H227" t="e">
        <f t="shared" si="34"/>
        <v>#VALUE!</v>
      </c>
      <c r="I227" s="56" t="str">
        <f t="shared" si="35"/>
        <v/>
      </c>
      <c r="J227" s="58" t="str">
        <f t="shared" si="36"/>
        <v/>
      </c>
      <c r="L227">
        <f>MIN(SEARCH({0,1,2,3,4,5,6,7,8,9},K227&amp;"0123456789"))</f>
        <v>1</v>
      </c>
      <c r="M227" t="str">
        <f t="shared" si="37"/>
        <v/>
      </c>
      <c r="O227" s="71">
        <f t="shared" si="38"/>
        <v>0</v>
      </c>
      <c r="AA227" t="str">
        <f t="shared" si="39"/>
        <v/>
      </c>
    </row>
    <row r="228" spans="2:27">
      <c r="B228" s="54" t="str">
        <f t="shared" si="30"/>
        <v/>
      </c>
      <c r="C228" t="str">
        <f>IFERROR(VLOOKUP(A228,Processor_DB_Intel!$A$1:'Processor_DB_Intel'!$D$422,4,FALSE),"")</f>
        <v/>
      </c>
      <c r="D228" t="str">
        <f>IFERROR(LEFT(VLOOKUP(A228,Processor_DB_Intel!$A$1:'Processor_DB_Intel'!$F$422,6,FALSE),3),"")</f>
        <v/>
      </c>
      <c r="E228" s="74" t="str">
        <f t="shared" si="31"/>
        <v/>
      </c>
      <c r="F228" s="56" t="str">
        <f t="shared" si="32"/>
        <v/>
      </c>
      <c r="G228" t="e">
        <f t="shared" si="33"/>
        <v>#VALUE!</v>
      </c>
      <c r="H228" t="e">
        <f t="shared" si="34"/>
        <v>#VALUE!</v>
      </c>
      <c r="I228" s="56" t="str">
        <f t="shared" si="35"/>
        <v/>
      </c>
      <c r="J228" s="58" t="str">
        <f t="shared" si="36"/>
        <v/>
      </c>
      <c r="L228">
        <f>MIN(SEARCH({0,1,2,3,4,5,6,7,8,9},K228&amp;"0123456789"))</f>
        <v>1</v>
      </c>
      <c r="M228" t="str">
        <f t="shared" si="37"/>
        <v/>
      </c>
      <c r="O228" s="71">
        <f t="shared" si="38"/>
        <v>0</v>
      </c>
      <c r="AA228" t="str">
        <f t="shared" si="39"/>
        <v/>
      </c>
    </row>
    <row r="229" spans="2:27">
      <c r="B229" s="54" t="str">
        <f t="shared" si="30"/>
        <v/>
      </c>
      <c r="C229" t="str">
        <f>IFERROR(VLOOKUP(A229,Processor_DB_Intel!$A$1:'Processor_DB_Intel'!$D$422,4,FALSE),"")</f>
        <v/>
      </c>
      <c r="D229" t="str">
        <f>IFERROR(LEFT(VLOOKUP(A229,Processor_DB_Intel!$A$1:'Processor_DB_Intel'!$F$422,6,FALSE),3),"")</f>
        <v/>
      </c>
      <c r="E229" s="74" t="str">
        <f t="shared" si="31"/>
        <v/>
      </c>
      <c r="F229" s="56" t="str">
        <f t="shared" si="32"/>
        <v/>
      </c>
      <c r="G229" t="e">
        <f t="shared" si="33"/>
        <v>#VALUE!</v>
      </c>
      <c r="H229" t="e">
        <f t="shared" si="34"/>
        <v>#VALUE!</v>
      </c>
      <c r="I229" s="56" t="str">
        <f t="shared" si="35"/>
        <v/>
      </c>
      <c r="J229" s="58" t="str">
        <f t="shared" si="36"/>
        <v/>
      </c>
      <c r="L229">
        <f>MIN(SEARCH({0,1,2,3,4,5,6,7,8,9},K229&amp;"0123456789"))</f>
        <v>1</v>
      </c>
      <c r="M229" t="str">
        <f t="shared" si="37"/>
        <v/>
      </c>
      <c r="O229" s="71">
        <f t="shared" si="38"/>
        <v>0</v>
      </c>
      <c r="AA229" t="str">
        <f t="shared" si="39"/>
        <v/>
      </c>
    </row>
    <row r="230" spans="2:27">
      <c r="B230" s="54" t="str">
        <f t="shared" si="30"/>
        <v/>
      </c>
      <c r="C230" t="str">
        <f>IFERROR(VLOOKUP(A230,Processor_DB_Intel!$A$1:'Processor_DB_Intel'!$D$422,4,FALSE),"")</f>
        <v/>
      </c>
      <c r="D230" t="str">
        <f>IFERROR(LEFT(VLOOKUP(A230,Processor_DB_Intel!$A$1:'Processor_DB_Intel'!$F$422,6,FALSE),3),"")</f>
        <v/>
      </c>
      <c r="E230" s="74" t="str">
        <f t="shared" si="31"/>
        <v/>
      </c>
      <c r="F230" s="56" t="str">
        <f t="shared" si="32"/>
        <v/>
      </c>
      <c r="G230" t="e">
        <f t="shared" si="33"/>
        <v>#VALUE!</v>
      </c>
      <c r="H230" t="e">
        <f t="shared" si="34"/>
        <v>#VALUE!</v>
      </c>
      <c r="I230" s="56" t="str">
        <f t="shared" si="35"/>
        <v/>
      </c>
      <c r="J230" s="58" t="str">
        <f t="shared" si="36"/>
        <v/>
      </c>
      <c r="L230">
        <f>MIN(SEARCH({0,1,2,3,4,5,6,7,8,9},K230&amp;"0123456789"))</f>
        <v>1</v>
      </c>
      <c r="M230" t="str">
        <f t="shared" si="37"/>
        <v/>
      </c>
      <c r="O230" s="71">
        <f t="shared" si="38"/>
        <v>0</v>
      </c>
      <c r="AA230" t="str">
        <f t="shared" si="39"/>
        <v/>
      </c>
    </row>
    <row r="231" spans="2:27">
      <c r="B231" s="54" t="str">
        <f t="shared" si="30"/>
        <v/>
      </c>
      <c r="C231" t="str">
        <f>IFERROR(VLOOKUP(A231,Processor_DB_Intel!$A$1:'Processor_DB_Intel'!$D$422,4,FALSE),"")</f>
        <v/>
      </c>
      <c r="D231" t="str">
        <f>IFERROR(LEFT(VLOOKUP(A231,Processor_DB_Intel!$A$1:'Processor_DB_Intel'!$F$422,6,FALSE),3),"")</f>
        <v/>
      </c>
      <c r="E231" s="74" t="str">
        <f t="shared" si="31"/>
        <v/>
      </c>
      <c r="F231" s="56" t="str">
        <f t="shared" si="32"/>
        <v/>
      </c>
      <c r="G231" t="e">
        <f t="shared" si="33"/>
        <v>#VALUE!</v>
      </c>
      <c r="H231" t="e">
        <f t="shared" si="34"/>
        <v>#VALUE!</v>
      </c>
      <c r="I231" s="56" t="str">
        <f t="shared" si="35"/>
        <v/>
      </c>
      <c r="J231" s="58" t="str">
        <f t="shared" si="36"/>
        <v/>
      </c>
      <c r="L231">
        <f>MIN(SEARCH({0,1,2,3,4,5,6,7,8,9},K231&amp;"0123456789"))</f>
        <v>1</v>
      </c>
      <c r="M231" t="str">
        <f t="shared" si="37"/>
        <v/>
      </c>
      <c r="O231" s="71">
        <f t="shared" si="38"/>
        <v>0</v>
      </c>
      <c r="AA231" t="str">
        <f t="shared" si="39"/>
        <v/>
      </c>
    </row>
    <row r="232" spans="2:27">
      <c r="B232" s="54" t="str">
        <f t="shared" si="30"/>
        <v/>
      </c>
      <c r="C232" t="str">
        <f>IFERROR(VLOOKUP(A232,Processor_DB_Intel!$A$1:'Processor_DB_Intel'!$D$422,4,FALSE),"")</f>
        <v/>
      </c>
      <c r="D232" t="str">
        <f>IFERROR(LEFT(VLOOKUP(A232,Processor_DB_Intel!$A$1:'Processor_DB_Intel'!$F$422,6,FALSE),3),"")</f>
        <v/>
      </c>
      <c r="E232" s="74" t="str">
        <f t="shared" si="31"/>
        <v/>
      </c>
      <c r="F232" s="56" t="str">
        <f t="shared" si="32"/>
        <v/>
      </c>
      <c r="G232" t="e">
        <f t="shared" si="33"/>
        <v>#VALUE!</v>
      </c>
      <c r="H232" t="e">
        <f t="shared" si="34"/>
        <v>#VALUE!</v>
      </c>
      <c r="I232" s="56" t="str">
        <f t="shared" si="35"/>
        <v/>
      </c>
      <c r="J232" s="58" t="str">
        <f t="shared" si="36"/>
        <v/>
      </c>
      <c r="L232">
        <f>MIN(SEARCH({0,1,2,3,4,5,6,7,8,9},K232&amp;"0123456789"))</f>
        <v>1</v>
      </c>
      <c r="M232" t="str">
        <f t="shared" si="37"/>
        <v/>
      </c>
      <c r="O232" s="71">
        <f t="shared" si="38"/>
        <v>0</v>
      </c>
      <c r="AA232" t="str">
        <f t="shared" si="39"/>
        <v/>
      </c>
    </row>
    <row r="233" spans="2:27">
      <c r="B233" s="54" t="str">
        <f t="shared" si="30"/>
        <v/>
      </c>
      <c r="C233" t="str">
        <f>IFERROR(VLOOKUP(A233,Processor_DB_Intel!$A$1:'Processor_DB_Intel'!$D$422,4,FALSE),"")</f>
        <v/>
      </c>
      <c r="D233" t="str">
        <f>IFERROR(LEFT(VLOOKUP(A233,Processor_DB_Intel!$A$1:'Processor_DB_Intel'!$F$422,6,FALSE),3),"")</f>
        <v/>
      </c>
      <c r="E233" s="74" t="str">
        <f t="shared" si="31"/>
        <v/>
      </c>
      <c r="F233" s="56" t="str">
        <f t="shared" si="32"/>
        <v/>
      </c>
      <c r="G233" t="e">
        <f t="shared" si="33"/>
        <v>#VALUE!</v>
      </c>
      <c r="H233" t="e">
        <f t="shared" si="34"/>
        <v>#VALUE!</v>
      </c>
      <c r="I233" s="56" t="str">
        <f t="shared" si="35"/>
        <v/>
      </c>
      <c r="J233" s="58" t="str">
        <f t="shared" si="36"/>
        <v/>
      </c>
      <c r="L233">
        <f>MIN(SEARCH({0,1,2,3,4,5,6,7,8,9},K233&amp;"0123456789"))</f>
        <v>1</v>
      </c>
      <c r="M233" t="str">
        <f t="shared" si="37"/>
        <v/>
      </c>
      <c r="O233" s="71">
        <f t="shared" si="38"/>
        <v>0</v>
      </c>
      <c r="AA233" t="str">
        <f t="shared" si="39"/>
        <v/>
      </c>
    </row>
    <row r="234" spans="2:27">
      <c r="B234" s="54" t="str">
        <f t="shared" si="30"/>
        <v/>
      </c>
      <c r="C234" t="str">
        <f>IFERROR(VLOOKUP(A234,Processor_DB_Intel!$A$1:'Processor_DB_Intel'!$D$422,4,FALSE),"")</f>
        <v/>
      </c>
      <c r="D234" t="str">
        <f>IFERROR(LEFT(VLOOKUP(A234,Processor_DB_Intel!$A$1:'Processor_DB_Intel'!$F$422,6,FALSE),3),"")</f>
        <v/>
      </c>
      <c r="E234" s="74" t="str">
        <f t="shared" si="31"/>
        <v/>
      </c>
      <c r="F234" s="56" t="str">
        <f t="shared" si="32"/>
        <v/>
      </c>
      <c r="G234" t="e">
        <f t="shared" si="33"/>
        <v>#VALUE!</v>
      </c>
      <c r="H234" t="e">
        <f t="shared" si="34"/>
        <v>#VALUE!</v>
      </c>
      <c r="I234" s="56" t="str">
        <f t="shared" si="35"/>
        <v/>
      </c>
      <c r="J234" s="58" t="str">
        <f t="shared" si="36"/>
        <v/>
      </c>
      <c r="L234">
        <f>MIN(SEARCH({0,1,2,3,4,5,6,7,8,9},K234&amp;"0123456789"))</f>
        <v>1</v>
      </c>
      <c r="M234" t="str">
        <f t="shared" si="37"/>
        <v/>
      </c>
      <c r="O234" s="71">
        <f t="shared" si="38"/>
        <v>0</v>
      </c>
      <c r="AA234" t="str">
        <f t="shared" si="39"/>
        <v/>
      </c>
    </row>
    <row r="235" spans="2:27">
      <c r="B235" s="54" t="str">
        <f t="shared" si="30"/>
        <v/>
      </c>
      <c r="C235" t="str">
        <f>IFERROR(VLOOKUP(A235,Processor_DB_Intel!$A$1:'Processor_DB_Intel'!$D$422,4,FALSE),"")</f>
        <v/>
      </c>
      <c r="D235" t="str">
        <f>IFERROR(LEFT(VLOOKUP(A235,Processor_DB_Intel!$A$1:'Processor_DB_Intel'!$F$422,6,FALSE),3),"")</f>
        <v/>
      </c>
      <c r="E235" s="74" t="str">
        <f t="shared" si="31"/>
        <v/>
      </c>
      <c r="F235" s="56" t="str">
        <f t="shared" si="32"/>
        <v/>
      </c>
      <c r="G235" t="e">
        <f t="shared" si="33"/>
        <v>#VALUE!</v>
      </c>
      <c r="H235" t="e">
        <f t="shared" si="34"/>
        <v>#VALUE!</v>
      </c>
      <c r="I235" s="56" t="str">
        <f t="shared" si="35"/>
        <v/>
      </c>
      <c r="J235" s="58" t="str">
        <f t="shared" si="36"/>
        <v/>
      </c>
      <c r="L235">
        <f>MIN(SEARCH({0,1,2,3,4,5,6,7,8,9},K235&amp;"0123456789"))</f>
        <v>1</v>
      </c>
      <c r="M235" t="str">
        <f t="shared" si="37"/>
        <v/>
      </c>
      <c r="O235" s="71">
        <f t="shared" si="38"/>
        <v>0</v>
      </c>
      <c r="AA235" t="str">
        <f t="shared" si="39"/>
        <v/>
      </c>
    </row>
    <row r="236" spans="2:27">
      <c r="B236" s="54" t="str">
        <f t="shared" si="30"/>
        <v/>
      </c>
      <c r="C236" t="str">
        <f>IFERROR(VLOOKUP(A236,Processor_DB_Intel!$A$1:'Processor_DB_Intel'!$D$422,4,FALSE),"")</f>
        <v/>
      </c>
      <c r="D236" t="str">
        <f>IFERROR(LEFT(VLOOKUP(A236,Processor_DB_Intel!$A$1:'Processor_DB_Intel'!$F$422,6,FALSE),3),"")</f>
        <v/>
      </c>
      <c r="E236" s="74" t="str">
        <f t="shared" si="31"/>
        <v/>
      </c>
      <c r="F236" s="56" t="str">
        <f t="shared" si="32"/>
        <v/>
      </c>
      <c r="G236" t="e">
        <f t="shared" si="33"/>
        <v>#VALUE!</v>
      </c>
      <c r="H236" t="e">
        <f t="shared" si="34"/>
        <v>#VALUE!</v>
      </c>
      <c r="I236" s="56" t="str">
        <f t="shared" si="35"/>
        <v/>
      </c>
      <c r="J236" s="58" t="str">
        <f t="shared" si="36"/>
        <v/>
      </c>
      <c r="L236">
        <f>MIN(SEARCH({0,1,2,3,4,5,6,7,8,9},K236&amp;"0123456789"))</f>
        <v>1</v>
      </c>
      <c r="M236" t="str">
        <f t="shared" si="37"/>
        <v/>
      </c>
      <c r="O236" s="71">
        <f t="shared" si="38"/>
        <v>0</v>
      </c>
      <c r="AA236" t="str">
        <f t="shared" si="39"/>
        <v/>
      </c>
    </row>
    <row r="237" spans="2:27">
      <c r="B237" s="54" t="str">
        <f t="shared" si="30"/>
        <v/>
      </c>
      <c r="C237" t="str">
        <f>IFERROR(VLOOKUP(A237,Processor_DB_Intel!$A$1:'Processor_DB_Intel'!$D$422,4,FALSE),"")</f>
        <v/>
      </c>
      <c r="D237" t="str">
        <f>IFERROR(LEFT(VLOOKUP(A237,Processor_DB_Intel!$A$1:'Processor_DB_Intel'!$F$422,6,FALSE),3),"")</f>
        <v/>
      </c>
      <c r="E237" s="74" t="str">
        <f t="shared" si="31"/>
        <v/>
      </c>
      <c r="F237" s="56" t="str">
        <f t="shared" si="32"/>
        <v/>
      </c>
      <c r="G237" t="e">
        <f t="shared" si="33"/>
        <v>#VALUE!</v>
      </c>
      <c r="H237" t="e">
        <f t="shared" si="34"/>
        <v>#VALUE!</v>
      </c>
      <c r="I237" s="56" t="str">
        <f t="shared" si="35"/>
        <v/>
      </c>
      <c r="J237" s="58" t="str">
        <f t="shared" si="36"/>
        <v/>
      </c>
      <c r="L237">
        <f>MIN(SEARCH({0,1,2,3,4,5,6,7,8,9},K237&amp;"0123456789"))</f>
        <v>1</v>
      </c>
      <c r="M237" t="str">
        <f t="shared" si="37"/>
        <v/>
      </c>
      <c r="O237" s="71">
        <f t="shared" si="38"/>
        <v>0</v>
      </c>
      <c r="AA237" t="str">
        <f t="shared" si="39"/>
        <v/>
      </c>
    </row>
    <row r="238" spans="2:27">
      <c r="B238" s="54" t="str">
        <f t="shared" si="30"/>
        <v/>
      </c>
      <c r="C238" t="str">
        <f>IFERROR(VLOOKUP(A238,Processor_DB_Intel!$A$1:'Processor_DB_Intel'!$D$422,4,FALSE),"")</f>
        <v/>
      </c>
      <c r="D238" t="str">
        <f>IFERROR(LEFT(VLOOKUP(A238,Processor_DB_Intel!$A$1:'Processor_DB_Intel'!$F$422,6,FALSE),3),"")</f>
        <v/>
      </c>
      <c r="E238" s="74" t="str">
        <f t="shared" si="31"/>
        <v/>
      </c>
      <c r="F238" s="56" t="str">
        <f t="shared" si="32"/>
        <v/>
      </c>
      <c r="G238" t="e">
        <f t="shared" si="33"/>
        <v>#VALUE!</v>
      </c>
      <c r="H238" t="e">
        <f t="shared" si="34"/>
        <v>#VALUE!</v>
      </c>
      <c r="I238" s="56" t="str">
        <f t="shared" si="35"/>
        <v/>
      </c>
      <c r="J238" s="58" t="str">
        <f t="shared" si="36"/>
        <v/>
      </c>
      <c r="L238">
        <f>MIN(SEARCH({0,1,2,3,4,5,6,7,8,9},K238&amp;"0123456789"))</f>
        <v>1</v>
      </c>
      <c r="M238" t="str">
        <f t="shared" si="37"/>
        <v/>
      </c>
      <c r="O238" s="71">
        <f t="shared" si="38"/>
        <v>0</v>
      </c>
      <c r="AA238" t="str">
        <f t="shared" si="39"/>
        <v/>
      </c>
    </row>
    <row r="239" spans="2:27">
      <c r="B239" s="54" t="str">
        <f t="shared" si="30"/>
        <v/>
      </c>
      <c r="C239" t="str">
        <f>IFERROR(VLOOKUP(A239,Processor_DB_Intel!$A$1:'Processor_DB_Intel'!$D$422,4,FALSE),"")</f>
        <v/>
      </c>
      <c r="D239" t="str">
        <f>IFERROR(LEFT(VLOOKUP(A239,Processor_DB_Intel!$A$1:'Processor_DB_Intel'!$F$422,6,FALSE),3),"")</f>
        <v/>
      </c>
      <c r="E239" s="74" t="str">
        <f t="shared" si="31"/>
        <v/>
      </c>
      <c r="F239" s="56" t="str">
        <f t="shared" si="32"/>
        <v/>
      </c>
      <c r="G239" t="e">
        <f t="shared" si="33"/>
        <v>#VALUE!</v>
      </c>
      <c r="H239" t="e">
        <f t="shared" si="34"/>
        <v>#VALUE!</v>
      </c>
      <c r="I239" s="56" t="str">
        <f t="shared" si="35"/>
        <v/>
      </c>
      <c r="J239" s="58" t="str">
        <f t="shared" si="36"/>
        <v/>
      </c>
      <c r="L239">
        <f>MIN(SEARCH({0,1,2,3,4,5,6,7,8,9},K239&amp;"0123456789"))</f>
        <v>1</v>
      </c>
      <c r="M239" t="str">
        <f t="shared" si="37"/>
        <v/>
      </c>
      <c r="O239" s="71">
        <f t="shared" si="38"/>
        <v>0</v>
      </c>
      <c r="AA239" t="str">
        <f t="shared" si="39"/>
        <v/>
      </c>
    </row>
    <row r="240" spans="2:27">
      <c r="B240" s="54" t="str">
        <f t="shared" si="30"/>
        <v/>
      </c>
      <c r="C240" t="str">
        <f>IFERROR(VLOOKUP(A240,Processor_DB_Intel!$A$1:'Processor_DB_Intel'!$D$422,4,FALSE),"")</f>
        <v/>
      </c>
      <c r="D240" t="str">
        <f>IFERROR(LEFT(VLOOKUP(A240,Processor_DB_Intel!$A$1:'Processor_DB_Intel'!$F$422,6,FALSE),3),"")</f>
        <v/>
      </c>
      <c r="E240" s="74" t="str">
        <f t="shared" si="31"/>
        <v/>
      </c>
      <c r="F240" s="56" t="str">
        <f t="shared" si="32"/>
        <v/>
      </c>
      <c r="G240" t="e">
        <f t="shared" si="33"/>
        <v>#VALUE!</v>
      </c>
      <c r="H240" t="e">
        <f t="shared" si="34"/>
        <v>#VALUE!</v>
      </c>
      <c r="I240" s="56" t="str">
        <f t="shared" si="35"/>
        <v/>
      </c>
      <c r="J240" s="58" t="str">
        <f t="shared" si="36"/>
        <v/>
      </c>
      <c r="L240">
        <f>MIN(SEARCH({0,1,2,3,4,5,6,7,8,9},K240&amp;"0123456789"))</f>
        <v>1</v>
      </c>
      <c r="M240" t="str">
        <f t="shared" si="37"/>
        <v/>
      </c>
      <c r="O240" s="71">
        <f t="shared" si="38"/>
        <v>0</v>
      </c>
      <c r="AA240" t="str">
        <f t="shared" si="39"/>
        <v/>
      </c>
    </row>
    <row r="241" spans="2:27">
      <c r="B241" s="54" t="str">
        <f t="shared" si="30"/>
        <v/>
      </c>
      <c r="C241" t="str">
        <f>IFERROR(VLOOKUP(A241,Processor_DB_Intel!$A$1:'Processor_DB_Intel'!$D$422,4,FALSE),"")</f>
        <v/>
      </c>
      <c r="D241" t="str">
        <f>IFERROR(LEFT(VLOOKUP(A241,Processor_DB_Intel!$A$1:'Processor_DB_Intel'!$F$422,6,FALSE),3),"")</f>
        <v/>
      </c>
      <c r="E241" s="74" t="str">
        <f t="shared" si="31"/>
        <v/>
      </c>
      <c r="F241" s="56" t="str">
        <f t="shared" si="32"/>
        <v/>
      </c>
      <c r="G241" t="e">
        <f t="shared" si="33"/>
        <v>#VALUE!</v>
      </c>
      <c r="H241" t="e">
        <f t="shared" si="34"/>
        <v>#VALUE!</v>
      </c>
      <c r="I241" s="56" t="str">
        <f t="shared" si="35"/>
        <v/>
      </c>
      <c r="J241" s="58" t="str">
        <f t="shared" si="36"/>
        <v/>
      </c>
      <c r="L241">
        <f>MIN(SEARCH({0,1,2,3,4,5,6,7,8,9},K241&amp;"0123456789"))</f>
        <v>1</v>
      </c>
      <c r="M241" t="str">
        <f t="shared" si="37"/>
        <v/>
      </c>
      <c r="O241" s="71">
        <f t="shared" si="38"/>
        <v>0</v>
      </c>
      <c r="AA241" t="str">
        <f t="shared" si="39"/>
        <v/>
      </c>
    </row>
    <row r="242" spans="2:27">
      <c r="B242" s="54" t="str">
        <f t="shared" si="30"/>
        <v/>
      </c>
      <c r="C242" t="str">
        <f>IFERROR(VLOOKUP(A242,Processor_DB_Intel!$A$1:'Processor_DB_Intel'!$D$422,4,FALSE),"")</f>
        <v/>
      </c>
      <c r="D242" t="str">
        <f>IFERROR(LEFT(VLOOKUP(A242,Processor_DB_Intel!$A$1:'Processor_DB_Intel'!$F$422,6,FALSE),3),"")</f>
        <v/>
      </c>
      <c r="E242" s="74" t="str">
        <f t="shared" si="31"/>
        <v/>
      </c>
      <c r="F242" s="56" t="str">
        <f t="shared" si="32"/>
        <v/>
      </c>
      <c r="G242" t="e">
        <f t="shared" si="33"/>
        <v>#VALUE!</v>
      </c>
      <c r="H242" t="e">
        <f t="shared" si="34"/>
        <v>#VALUE!</v>
      </c>
      <c r="I242" s="56" t="str">
        <f t="shared" si="35"/>
        <v/>
      </c>
      <c r="J242" s="58" t="str">
        <f t="shared" si="36"/>
        <v/>
      </c>
      <c r="L242">
        <f>MIN(SEARCH({0,1,2,3,4,5,6,7,8,9},K242&amp;"0123456789"))</f>
        <v>1</v>
      </c>
      <c r="M242" t="str">
        <f t="shared" si="37"/>
        <v/>
      </c>
      <c r="O242" s="71">
        <f t="shared" si="38"/>
        <v>0</v>
      </c>
      <c r="AA242" t="str">
        <f t="shared" si="39"/>
        <v/>
      </c>
    </row>
    <row r="243" spans="2:27">
      <c r="B243" s="54" t="str">
        <f t="shared" si="30"/>
        <v/>
      </c>
      <c r="C243" t="str">
        <f>IFERROR(VLOOKUP(A243,Processor_DB_Intel!$A$1:'Processor_DB_Intel'!$D$422,4,FALSE),"")</f>
        <v/>
      </c>
      <c r="D243" t="str">
        <f>IFERROR(LEFT(VLOOKUP(A243,Processor_DB_Intel!$A$1:'Processor_DB_Intel'!$F$422,6,FALSE),3),"")</f>
        <v/>
      </c>
      <c r="E243" s="74" t="str">
        <f t="shared" si="31"/>
        <v/>
      </c>
      <c r="F243" s="56" t="str">
        <f t="shared" si="32"/>
        <v/>
      </c>
      <c r="G243" t="e">
        <f t="shared" si="33"/>
        <v>#VALUE!</v>
      </c>
      <c r="H243" t="e">
        <f t="shared" si="34"/>
        <v>#VALUE!</v>
      </c>
      <c r="I243" s="56" t="str">
        <f t="shared" si="35"/>
        <v/>
      </c>
      <c r="J243" s="58" t="str">
        <f t="shared" si="36"/>
        <v/>
      </c>
      <c r="L243">
        <f>MIN(SEARCH({0,1,2,3,4,5,6,7,8,9},K243&amp;"0123456789"))</f>
        <v>1</v>
      </c>
      <c r="M243" t="str">
        <f t="shared" si="37"/>
        <v/>
      </c>
      <c r="O243" s="71">
        <f t="shared" si="38"/>
        <v>0</v>
      </c>
      <c r="AA243" t="str">
        <f t="shared" si="39"/>
        <v/>
      </c>
    </row>
    <row r="244" spans="2:27">
      <c r="B244" s="54" t="str">
        <f t="shared" si="30"/>
        <v/>
      </c>
      <c r="C244" t="str">
        <f>IFERROR(VLOOKUP(A244,Processor_DB_Intel!$A$1:'Processor_DB_Intel'!$D$422,4,FALSE),"")</f>
        <v/>
      </c>
      <c r="D244" t="str">
        <f>IFERROR(LEFT(VLOOKUP(A244,Processor_DB_Intel!$A$1:'Processor_DB_Intel'!$F$422,6,FALSE),3),"")</f>
        <v/>
      </c>
      <c r="E244" s="74" t="str">
        <f t="shared" si="31"/>
        <v/>
      </c>
      <c r="F244" s="56" t="str">
        <f t="shared" si="32"/>
        <v/>
      </c>
      <c r="G244" t="e">
        <f t="shared" si="33"/>
        <v>#VALUE!</v>
      </c>
      <c r="H244" t="e">
        <f t="shared" si="34"/>
        <v>#VALUE!</v>
      </c>
      <c r="I244" s="56" t="str">
        <f t="shared" si="35"/>
        <v/>
      </c>
      <c r="J244" s="58" t="str">
        <f t="shared" si="36"/>
        <v/>
      </c>
      <c r="L244">
        <f>MIN(SEARCH({0,1,2,3,4,5,6,7,8,9},K244&amp;"0123456789"))</f>
        <v>1</v>
      </c>
      <c r="M244" t="str">
        <f t="shared" si="37"/>
        <v/>
      </c>
      <c r="O244" s="71">
        <f t="shared" si="38"/>
        <v>0</v>
      </c>
      <c r="AA244" t="str">
        <f t="shared" si="39"/>
        <v/>
      </c>
    </row>
    <row r="245" spans="2:27">
      <c r="B245" s="54" t="str">
        <f t="shared" si="30"/>
        <v/>
      </c>
      <c r="C245" t="str">
        <f>IFERROR(VLOOKUP(A245,Processor_DB_Intel!$A$1:'Processor_DB_Intel'!$D$422,4,FALSE),"")</f>
        <v/>
      </c>
      <c r="D245" t="str">
        <f>IFERROR(LEFT(VLOOKUP(A245,Processor_DB_Intel!$A$1:'Processor_DB_Intel'!$F$422,6,FALSE),3),"")</f>
        <v/>
      </c>
      <c r="E245" s="74" t="str">
        <f t="shared" si="31"/>
        <v/>
      </c>
      <c r="F245" s="56" t="str">
        <f t="shared" si="32"/>
        <v/>
      </c>
      <c r="G245" t="e">
        <f t="shared" si="33"/>
        <v>#VALUE!</v>
      </c>
      <c r="H245" t="e">
        <f t="shared" si="34"/>
        <v>#VALUE!</v>
      </c>
      <c r="I245" s="56" t="str">
        <f t="shared" si="35"/>
        <v/>
      </c>
      <c r="J245" s="58" t="str">
        <f t="shared" si="36"/>
        <v/>
      </c>
      <c r="L245">
        <f>MIN(SEARCH({0,1,2,3,4,5,6,7,8,9},K245&amp;"0123456789"))</f>
        <v>1</v>
      </c>
      <c r="M245" t="str">
        <f t="shared" si="37"/>
        <v/>
      </c>
      <c r="O245" s="71">
        <f t="shared" si="38"/>
        <v>0</v>
      </c>
      <c r="AA245" t="str">
        <f t="shared" si="39"/>
        <v/>
      </c>
    </row>
    <row r="246" spans="2:27">
      <c r="B246" s="54" t="str">
        <f t="shared" si="30"/>
        <v/>
      </c>
      <c r="C246" t="str">
        <f>IFERROR(VLOOKUP(A246,Processor_DB_Intel!$A$1:'Processor_DB_Intel'!$D$422,4,FALSE),"")</f>
        <v/>
      </c>
      <c r="D246" t="str">
        <f>IFERROR(LEFT(VLOOKUP(A246,Processor_DB_Intel!$A$1:'Processor_DB_Intel'!$F$422,6,FALSE),3),"")</f>
        <v/>
      </c>
      <c r="E246" s="74" t="str">
        <f t="shared" si="31"/>
        <v/>
      </c>
      <c r="F246" s="56" t="str">
        <f t="shared" si="32"/>
        <v/>
      </c>
      <c r="G246" t="e">
        <f t="shared" si="33"/>
        <v>#VALUE!</v>
      </c>
      <c r="H246" t="e">
        <f t="shared" si="34"/>
        <v>#VALUE!</v>
      </c>
      <c r="I246" s="56" t="str">
        <f t="shared" si="35"/>
        <v/>
      </c>
      <c r="J246" s="58" t="str">
        <f t="shared" si="36"/>
        <v/>
      </c>
      <c r="L246">
        <f>MIN(SEARCH({0,1,2,3,4,5,6,7,8,9},K246&amp;"0123456789"))</f>
        <v>1</v>
      </c>
      <c r="M246" t="str">
        <f t="shared" si="37"/>
        <v/>
      </c>
      <c r="O246" s="71">
        <f t="shared" si="38"/>
        <v>0</v>
      </c>
      <c r="AA246" t="str">
        <f t="shared" si="39"/>
        <v/>
      </c>
    </row>
    <row r="247" spans="2:27">
      <c r="B247" s="54" t="str">
        <f t="shared" si="30"/>
        <v/>
      </c>
      <c r="C247" t="str">
        <f>IFERROR(VLOOKUP(A247,Processor_DB_Intel!$A$1:'Processor_DB_Intel'!$D$422,4,FALSE),"")</f>
        <v/>
      </c>
      <c r="D247" t="str">
        <f>IFERROR(LEFT(VLOOKUP(A247,Processor_DB_Intel!$A$1:'Processor_DB_Intel'!$F$422,6,FALSE),3),"")</f>
        <v/>
      </c>
      <c r="E247" s="74" t="str">
        <f t="shared" si="31"/>
        <v/>
      </c>
      <c r="F247" s="56" t="str">
        <f t="shared" si="32"/>
        <v/>
      </c>
      <c r="G247" t="e">
        <f t="shared" si="33"/>
        <v>#VALUE!</v>
      </c>
      <c r="H247" t="e">
        <f t="shared" si="34"/>
        <v>#VALUE!</v>
      </c>
      <c r="I247" s="56" t="str">
        <f t="shared" si="35"/>
        <v/>
      </c>
      <c r="J247" s="58" t="str">
        <f t="shared" si="36"/>
        <v/>
      </c>
      <c r="L247">
        <f>MIN(SEARCH({0,1,2,3,4,5,6,7,8,9},K247&amp;"0123456789"))</f>
        <v>1</v>
      </c>
      <c r="M247" t="str">
        <f t="shared" si="37"/>
        <v/>
      </c>
      <c r="O247" s="71">
        <f t="shared" si="38"/>
        <v>0</v>
      </c>
      <c r="AA247" t="str">
        <f t="shared" si="39"/>
        <v/>
      </c>
    </row>
    <row r="248" spans="2:27">
      <c r="B248" s="54" t="str">
        <f t="shared" si="30"/>
        <v/>
      </c>
      <c r="C248" t="str">
        <f>IFERROR(VLOOKUP(A248,Processor_DB_Intel!$A$1:'Processor_DB_Intel'!$D$422,4,FALSE),"")</f>
        <v/>
      </c>
      <c r="D248" t="str">
        <f>IFERROR(LEFT(VLOOKUP(A248,Processor_DB_Intel!$A$1:'Processor_DB_Intel'!$F$422,6,FALSE),3),"")</f>
        <v/>
      </c>
      <c r="E248" s="74" t="str">
        <f t="shared" si="31"/>
        <v/>
      </c>
      <c r="F248" s="56" t="str">
        <f t="shared" si="32"/>
        <v/>
      </c>
      <c r="G248" t="e">
        <f t="shared" si="33"/>
        <v>#VALUE!</v>
      </c>
      <c r="H248" t="e">
        <f t="shared" si="34"/>
        <v>#VALUE!</v>
      </c>
      <c r="I248" s="56" t="str">
        <f t="shared" si="35"/>
        <v/>
      </c>
      <c r="J248" s="58" t="str">
        <f t="shared" si="36"/>
        <v/>
      </c>
      <c r="L248">
        <f>MIN(SEARCH({0,1,2,3,4,5,6,7,8,9},K248&amp;"0123456789"))</f>
        <v>1</v>
      </c>
      <c r="M248" t="str">
        <f t="shared" si="37"/>
        <v/>
      </c>
      <c r="O248" s="71">
        <f t="shared" si="38"/>
        <v>0</v>
      </c>
      <c r="AA248" t="str">
        <f t="shared" si="39"/>
        <v/>
      </c>
    </row>
    <row r="249" spans="2:27">
      <c r="B249" s="54" t="str">
        <f t="shared" si="30"/>
        <v/>
      </c>
      <c r="C249" t="str">
        <f>IFERROR(VLOOKUP(A249,Processor_DB_Intel!$A$1:'Processor_DB_Intel'!$D$422,4,FALSE),"")</f>
        <v/>
      </c>
      <c r="D249" t="str">
        <f>IFERROR(LEFT(VLOOKUP(A249,Processor_DB_Intel!$A$1:'Processor_DB_Intel'!$F$422,6,FALSE),3),"")</f>
        <v/>
      </c>
      <c r="E249" s="74" t="str">
        <f t="shared" si="31"/>
        <v/>
      </c>
      <c r="F249" s="56" t="str">
        <f t="shared" si="32"/>
        <v/>
      </c>
      <c r="G249" t="e">
        <f t="shared" si="33"/>
        <v>#VALUE!</v>
      </c>
      <c r="H249" t="e">
        <f t="shared" si="34"/>
        <v>#VALUE!</v>
      </c>
      <c r="I249" s="56" t="str">
        <f t="shared" si="35"/>
        <v/>
      </c>
      <c r="J249" s="58" t="str">
        <f t="shared" si="36"/>
        <v/>
      </c>
      <c r="L249">
        <f>MIN(SEARCH({0,1,2,3,4,5,6,7,8,9},K249&amp;"0123456789"))</f>
        <v>1</v>
      </c>
      <c r="M249" t="str">
        <f t="shared" si="37"/>
        <v/>
      </c>
      <c r="O249" s="71">
        <f t="shared" si="38"/>
        <v>0</v>
      </c>
      <c r="AA249" t="str">
        <f t="shared" si="39"/>
        <v/>
      </c>
    </row>
    <row r="250" spans="2:27">
      <c r="B250" s="54" t="str">
        <f t="shared" si="30"/>
        <v/>
      </c>
      <c r="C250" t="str">
        <f>IFERROR(VLOOKUP(A250,Processor_DB_Intel!$A$1:'Processor_DB_Intel'!$D$422,4,FALSE),"")</f>
        <v/>
      </c>
      <c r="D250" t="str">
        <f>IFERROR(LEFT(VLOOKUP(A250,Processor_DB_Intel!$A$1:'Processor_DB_Intel'!$F$422,6,FALSE),3),"")</f>
        <v/>
      </c>
      <c r="E250" s="74" t="str">
        <f t="shared" si="31"/>
        <v/>
      </c>
      <c r="F250" s="56" t="str">
        <f t="shared" si="32"/>
        <v/>
      </c>
      <c r="G250" t="e">
        <f t="shared" si="33"/>
        <v>#VALUE!</v>
      </c>
      <c r="H250" t="e">
        <f t="shared" si="34"/>
        <v>#VALUE!</v>
      </c>
      <c r="I250" s="56" t="str">
        <f t="shared" si="35"/>
        <v/>
      </c>
      <c r="J250" s="58" t="str">
        <f t="shared" si="36"/>
        <v/>
      </c>
      <c r="L250">
        <f>MIN(SEARCH({0,1,2,3,4,5,6,7,8,9},K250&amp;"0123456789"))</f>
        <v>1</v>
      </c>
      <c r="M250" t="str">
        <f t="shared" si="37"/>
        <v/>
      </c>
      <c r="O250" s="71">
        <f t="shared" si="38"/>
        <v>0</v>
      </c>
      <c r="AA250" t="str">
        <f t="shared" si="39"/>
        <v/>
      </c>
    </row>
    <row r="251" spans="2:27">
      <c r="B251" s="54" t="str">
        <f t="shared" si="30"/>
        <v/>
      </c>
      <c r="C251" t="str">
        <f>IFERROR(VLOOKUP(A251,Processor_DB_Intel!$A$1:'Processor_DB_Intel'!$D$422,4,FALSE),"")</f>
        <v/>
      </c>
      <c r="D251" t="str">
        <f>IFERROR(LEFT(VLOOKUP(A251,Processor_DB_Intel!$A$1:'Processor_DB_Intel'!$F$422,6,FALSE),3),"")</f>
        <v/>
      </c>
      <c r="E251" s="74" t="str">
        <f t="shared" si="31"/>
        <v/>
      </c>
      <c r="F251" s="56" t="str">
        <f t="shared" si="32"/>
        <v/>
      </c>
      <c r="G251" t="e">
        <f t="shared" si="33"/>
        <v>#VALUE!</v>
      </c>
      <c r="H251" t="e">
        <f t="shared" si="34"/>
        <v>#VALUE!</v>
      </c>
      <c r="I251" s="56" t="str">
        <f t="shared" si="35"/>
        <v/>
      </c>
      <c r="J251" s="58" t="str">
        <f t="shared" si="36"/>
        <v/>
      </c>
      <c r="L251">
        <f>MIN(SEARCH({0,1,2,3,4,5,6,7,8,9},K251&amp;"0123456789"))</f>
        <v>1</v>
      </c>
      <c r="M251" t="str">
        <f t="shared" si="37"/>
        <v/>
      </c>
      <c r="O251" s="71">
        <f t="shared" si="38"/>
        <v>0</v>
      </c>
      <c r="AA251" t="str">
        <f t="shared" si="39"/>
        <v/>
      </c>
    </row>
    <row r="252" spans="2:27">
      <c r="B252" s="54" t="str">
        <f t="shared" si="30"/>
        <v/>
      </c>
      <c r="C252" t="str">
        <f>IFERROR(VLOOKUP(A252,Processor_DB_Intel!$A$1:'Processor_DB_Intel'!$D$422,4,FALSE),"")</f>
        <v/>
      </c>
      <c r="D252" t="str">
        <f>IFERROR(LEFT(VLOOKUP(A252,Processor_DB_Intel!$A$1:'Processor_DB_Intel'!$F$422,6,FALSE),3),"")</f>
        <v/>
      </c>
      <c r="E252" s="74" t="str">
        <f t="shared" si="31"/>
        <v/>
      </c>
      <c r="F252" s="56" t="str">
        <f t="shared" si="32"/>
        <v/>
      </c>
      <c r="G252" t="e">
        <f t="shared" si="33"/>
        <v>#VALUE!</v>
      </c>
      <c r="H252" t="e">
        <f t="shared" si="34"/>
        <v>#VALUE!</v>
      </c>
      <c r="I252" s="56" t="str">
        <f t="shared" si="35"/>
        <v/>
      </c>
      <c r="J252" s="58" t="str">
        <f t="shared" si="36"/>
        <v/>
      </c>
      <c r="L252">
        <f>MIN(SEARCH({0,1,2,3,4,5,6,7,8,9},K252&amp;"0123456789"))</f>
        <v>1</v>
      </c>
      <c r="M252" t="str">
        <f t="shared" si="37"/>
        <v/>
      </c>
      <c r="O252" s="71">
        <f t="shared" si="38"/>
        <v>0</v>
      </c>
      <c r="AA252" t="str">
        <f t="shared" si="39"/>
        <v/>
      </c>
    </row>
    <row r="253" spans="2:27">
      <c r="B253" s="54" t="str">
        <f t="shared" si="30"/>
        <v/>
      </c>
      <c r="C253" t="str">
        <f>IFERROR(VLOOKUP(A253,Processor_DB_Intel!$A$1:'Processor_DB_Intel'!$D$422,4,FALSE),"")</f>
        <v/>
      </c>
      <c r="D253" t="str">
        <f>IFERROR(LEFT(VLOOKUP(A253,Processor_DB_Intel!$A$1:'Processor_DB_Intel'!$F$422,6,FALSE),3),"")</f>
        <v/>
      </c>
      <c r="E253" s="74" t="str">
        <f t="shared" si="31"/>
        <v/>
      </c>
      <c r="F253" s="56" t="str">
        <f t="shared" si="32"/>
        <v/>
      </c>
      <c r="G253" t="e">
        <f t="shared" si="33"/>
        <v>#VALUE!</v>
      </c>
      <c r="H253" t="e">
        <f t="shared" si="34"/>
        <v>#VALUE!</v>
      </c>
      <c r="I253" s="56" t="str">
        <f t="shared" si="35"/>
        <v/>
      </c>
      <c r="J253" s="58" t="str">
        <f t="shared" si="36"/>
        <v/>
      </c>
      <c r="L253">
        <f>MIN(SEARCH({0,1,2,3,4,5,6,7,8,9},K253&amp;"0123456789"))</f>
        <v>1</v>
      </c>
      <c r="M253" t="str">
        <f t="shared" si="37"/>
        <v/>
      </c>
      <c r="O253" s="71">
        <f t="shared" si="38"/>
        <v>0</v>
      </c>
      <c r="AA253" t="str">
        <f t="shared" si="39"/>
        <v/>
      </c>
    </row>
    <row r="254" spans="2:27">
      <c r="B254" s="54" t="str">
        <f t="shared" si="30"/>
        <v/>
      </c>
      <c r="C254" t="str">
        <f>IFERROR(VLOOKUP(A254,Processor_DB_Intel!$A$1:'Processor_DB_Intel'!$D$422,4,FALSE),"")</f>
        <v/>
      </c>
      <c r="D254" t="str">
        <f>IFERROR(LEFT(VLOOKUP(A254,Processor_DB_Intel!$A$1:'Processor_DB_Intel'!$F$422,6,FALSE),3),"")</f>
        <v/>
      </c>
      <c r="E254" s="74" t="str">
        <f t="shared" si="31"/>
        <v/>
      </c>
      <c r="F254" s="56" t="str">
        <f t="shared" si="32"/>
        <v/>
      </c>
      <c r="G254" t="e">
        <f t="shared" si="33"/>
        <v>#VALUE!</v>
      </c>
      <c r="H254" t="e">
        <f t="shared" si="34"/>
        <v>#VALUE!</v>
      </c>
      <c r="I254" s="56" t="str">
        <f t="shared" si="35"/>
        <v/>
      </c>
      <c r="J254" s="58" t="str">
        <f t="shared" si="36"/>
        <v/>
      </c>
      <c r="L254">
        <f>MIN(SEARCH({0,1,2,3,4,5,6,7,8,9},K254&amp;"0123456789"))</f>
        <v>1</v>
      </c>
      <c r="M254" t="str">
        <f t="shared" si="37"/>
        <v/>
      </c>
      <c r="O254" s="71">
        <f t="shared" si="38"/>
        <v>0</v>
      </c>
      <c r="AA254" t="str">
        <f t="shared" si="39"/>
        <v/>
      </c>
    </row>
    <row r="255" spans="2:27">
      <c r="B255" s="54" t="str">
        <f t="shared" si="30"/>
        <v/>
      </c>
      <c r="C255" t="str">
        <f>IFERROR(VLOOKUP(A255,Processor_DB_Intel!$A$1:'Processor_DB_Intel'!$D$422,4,FALSE),"")</f>
        <v/>
      </c>
      <c r="D255" t="str">
        <f>IFERROR(LEFT(VLOOKUP(A255,Processor_DB_Intel!$A$1:'Processor_DB_Intel'!$F$422,6,FALSE),3),"")</f>
        <v/>
      </c>
      <c r="E255" s="74" t="str">
        <f t="shared" si="31"/>
        <v/>
      </c>
      <c r="F255" s="56" t="str">
        <f t="shared" si="32"/>
        <v/>
      </c>
      <c r="G255" t="e">
        <f t="shared" si="33"/>
        <v>#VALUE!</v>
      </c>
      <c r="H255" t="e">
        <f t="shared" si="34"/>
        <v>#VALUE!</v>
      </c>
      <c r="I255" s="56" t="str">
        <f t="shared" si="35"/>
        <v/>
      </c>
      <c r="J255" s="58" t="str">
        <f t="shared" si="36"/>
        <v/>
      </c>
      <c r="L255">
        <f>MIN(SEARCH({0,1,2,3,4,5,6,7,8,9},K255&amp;"0123456789"))</f>
        <v>1</v>
      </c>
      <c r="M255" t="str">
        <f t="shared" si="37"/>
        <v/>
      </c>
      <c r="O255" s="71">
        <f t="shared" si="38"/>
        <v>0</v>
      </c>
      <c r="AA255" t="str">
        <f t="shared" si="39"/>
        <v/>
      </c>
    </row>
    <row r="256" spans="2:27">
      <c r="B256" s="54" t="str">
        <f t="shared" si="30"/>
        <v/>
      </c>
      <c r="C256" t="str">
        <f>IFERROR(VLOOKUP(A256,Processor_DB_Intel!$A$1:'Processor_DB_Intel'!$D$422,4,FALSE),"")</f>
        <v/>
      </c>
      <c r="D256" t="str">
        <f>IFERROR(LEFT(VLOOKUP(A256,Processor_DB_Intel!$A$1:'Processor_DB_Intel'!$F$422,6,FALSE),3),"")</f>
        <v/>
      </c>
      <c r="E256" s="74" t="str">
        <f t="shared" si="31"/>
        <v/>
      </c>
      <c r="F256" s="56" t="str">
        <f t="shared" si="32"/>
        <v/>
      </c>
      <c r="G256" t="e">
        <f t="shared" si="33"/>
        <v>#VALUE!</v>
      </c>
      <c r="H256" t="e">
        <f t="shared" si="34"/>
        <v>#VALUE!</v>
      </c>
      <c r="I256" s="56" t="str">
        <f t="shared" si="35"/>
        <v/>
      </c>
      <c r="J256" s="58" t="str">
        <f t="shared" si="36"/>
        <v/>
      </c>
      <c r="L256">
        <f>MIN(SEARCH({0,1,2,3,4,5,6,7,8,9},K256&amp;"0123456789"))</f>
        <v>1</v>
      </c>
      <c r="M256" t="str">
        <f t="shared" si="37"/>
        <v/>
      </c>
      <c r="O256" s="71">
        <f t="shared" si="38"/>
        <v>0</v>
      </c>
      <c r="AA256" t="str">
        <f t="shared" si="39"/>
        <v/>
      </c>
    </row>
    <row r="257" spans="2:27">
      <c r="B257" s="54" t="str">
        <f t="shared" si="30"/>
        <v/>
      </c>
      <c r="C257" t="str">
        <f>IFERROR(VLOOKUP(A257,Processor_DB_Intel!$A$1:'Processor_DB_Intel'!$D$422,4,FALSE),"")</f>
        <v/>
      </c>
      <c r="D257" t="str">
        <f>IFERROR(LEFT(VLOOKUP(A257,Processor_DB_Intel!$A$1:'Processor_DB_Intel'!$F$422,6,FALSE),3),"")</f>
        <v/>
      </c>
      <c r="E257" s="74" t="str">
        <f t="shared" si="31"/>
        <v/>
      </c>
      <c r="F257" s="56" t="str">
        <f t="shared" si="32"/>
        <v/>
      </c>
      <c r="G257" t="e">
        <f t="shared" si="33"/>
        <v>#VALUE!</v>
      </c>
      <c r="H257" t="e">
        <f t="shared" si="34"/>
        <v>#VALUE!</v>
      </c>
      <c r="I257" s="56" t="str">
        <f t="shared" si="35"/>
        <v/>
      </c>
      <c r="J257" s="58" t="str">
        <f t="shared" si="36"/>
        <v/>
      </c>
      <c r="L257">
        <f>MIN(SEARCH({0,1,2,3,4,5,6,7,8,9},K257&amp;"0123456789"))</f>
        <v>1</v>
      </c>
      <c r="M257" t="str">
        <f t="shared" si="37"/>
        <v/>
      </c>
      <c r="O257" s="71">
        <f t="shared" si="38"/>
        <v>0</v>
      </c>
      <c r="AA257" t="str">
        <f t="shared" si="39"/>
        <v/>
      </c>
    </row>
    <row r="258" spans="2:27">
      <c r="B258" s="54" t="str">
        <f t="shared" si="30"/>
        <v/>
      </c>
      <c r="C258" t="str">
        <f>IFERROR(VLOOKUP(A258,Processor_DB_Intel!$A$1:'Processor_DB_Intel'!$D$422,4,FALSE),"")</f>
        <v/>
      </c>
      <c r="D258" t="str">
        <f>IFERROR(LEFT(VLOOKUP(A258,Processor_DB_Intel!$A$1:'Processor_DB_Intel'!$F$422,6,FALSE),3),"")</f>
        <v/>
      </c>
      <c r="E258" s="74" t="str">
        <f t="shared" si="31"/>
        <v/>
      </c>
      <c r="F258" s="56" t="str">
        <f t="shared" si="32"/>
        <v/>
      </c>
      <c r="G258" t="e">
        <f t="shared" si="33"/>
        <v>#VALUE!</v>
      </c>
      <c r="H258" t="e">
        <f t="shared" si="34"/>
        <v>#VALUE!</v>
      </c>
      <c r="I258" s="56" t="str">
        <f t="shared" si="35"/>
        <v/>
      </c>
      <c r="J258" s="58" t="str">
        <f t="shared" si="36"/>
        <v/>
      </c>
      <c r="L258">
        <f>MIN(SEARCH({0,1,2,3,4,5,6,7,8,9},K258&amp;"0123456789"))</f>
        <v>1</v>
      </c>
      <c r="M258" t="str">
        <f t="shared" si="37"/>
        <v/>
      </c>
      <c r="O258" s="71">
        <f t="shared" si="38"/>
        <v>0</v>
      </c>
      <c r="AA258" t="str">
        <f t="shared" si="39"/>
        <v/>
      </c>
    </row>
    <row r="259" spans="2:27">
      <c r="B259" s="54" t="str">
        <f t="shared" si="30"/>
        <v/>
      </c>
      <c r="C259" t="str">
        <f>IFERROR(VLOOKUP(A259,Processor_DB_Intel!$A$1:'Processor_DB_Intel'!$D$422,4,FALSE),"")</f>
        <v/>
      </c>
      <c r="D259" t="str">
        <f>IFERROR(LEFT(VLOOKUP(A259,Processor_DB_Intel!$A$1:'Processor_DB_Intel'!$F$422,6,FALSE),3),"")</f>
        <v/>
      </c>
      <c r="E259" s="74" t="str">
        <f t="shared" si="31"/>
        <v/>
      </c>
      <c r="F259" s="56" t="str">
        <f t="shared" si="32"/>
        <v/>
      </c>
      <c r="G259" t="e">
        <f t="shared" si="33"/>
        <v>#VALUE!</v>
      </c>
      <c r="H259" t="e">
        <f t="shared" si="34"/>
        <v>#VALUE!</v>
      </c>
      <c r="I259" s="56" t="str">
        <f t="shared" si="35"/>
        <v/>
      </c>
      <c r="J259" s="58" t="str">
        <f t="shared" si="36"/>
        <v/>
      </c>
      <c r="L259">
        <f>MIN(SEARCH({0,1,2,3,4,5,6,7,8,9},K259&amp;"0123456789"))</f>
        <v>1</v>
      </c>
      <c r="M259" t="str">
        <f t="shared" si="37"/>
        <v/>
      </c>
      <c r="O259" s="71">
        <f t="shared" si="38"/>
        <v>0</v>
      </c>
      <c r="AA259" t="str">
        <f t="shared" si="39"/>
        <v/>
      </c>
    </row>
    <row r="260" spans="2:27">
      <c r="B260" s="54" t="str">
        <f t="shared" si="30"/>
        <v/>
      </c>
      <c r="C260" t="str">
        <f>IFERROR(VLOOKUP(A260,Processor_DB_Intel!$A$1:'Processor_DB_Intel'!$D$422,4,FALSE),"")</f>
        <v/>
      </c>
      <c r="D260" t="str">
        <f>IFERROR(LEFT(VLOOKUP(A260,Processor_DB_Intel!$A$1:'Processor_DB_Intel'!$F$422,6,FALSE),3),"")</f>
        <v/>
      </c>
      <c r="E260" s="74" t="str">
        <f t="shared" si="31"/>
        <v/>
      </c>
      <c r="F260" s="56" t="str">
        <f t="shared" si="32"/>
        <v/>
      </c>
      <c r="G260" t="e">
        <f t="shared" si="33"/>
        <v>#VALUE!</v>
      </c>
      <c r="H260" t="e">
        <f t="shared" si="34"/>
        <v>#VALUE!</v>
      </c>
      <c r="I260" s="56" t="str">
        <f t="shared" si="35"/>
        <v/>
      </c>
      <c r="J260" s="58" t="str">
        <f t="shared" si="36"/>
        <v/>
      </c>
      <c r="L260">
        <f>MIN(SEARCH({0,1,2,3,4,5,6,7,8,9},K260&amp;"0123456789"))</f>
        <v>1</v>
      </c>
      <c r="M260" t="str">
        <f t="shared" si="37"/>
        <v/>
      </c>
      <c r="O260" s="71">
        <f t="shared" si="38"/>
        <v>0</v>
      </c>
      <c r="AA260" t="str">
        <f t="shared" si="39"/>
        <v/>
      </c>
    </row>
    <row r="261" spans="2:27">
      <c r="B261" s="54" t="str">
        <f t="shared" ref="B261:B324" si="40">TRIM(MID(SUBSTITUTE(A261," ",REPT(" ",LEN(A261))), (4-1)*LEN(A261)+1, LEN(A261)))</f>
        <v/>
      </c>
      <c r="C261" t="str">
        <f>IFERROR(VLOOKUP(A261,Processor_DB_Intel!$A$1:'Processor_DB_Intel'!$D$422,4,FALSE),"")</f>
        <v/>
      </c>
      <c r="D261" t="str">
        <f>IFERROR(LEFT(VLOOKUP(A261,Processor_DB_Intel!$A$1:'Processor_DB_Intel'!$F$422,6,FALSE),3),"")</f>
        <v/>
      </c>
      <c r="E261" s="74" t="str">
        <f t="shared" ref="E261:E324" si="41">IF(O261 = 0,"",O261)</f>
        <v/>
      </c>
      <c r="F261" s="56" t="str">
        <f t="shared" ref="F261:F324" si="42">IFERROR(E261/C261,"")</f>
        <v/>
      </c>
      <c r="G261" t="e">
        <f t="shared" ref="G261:G300" si="43">C261*D261</f>
        <v>#VALUE!</v>
      </c>
      <c r="H261" t="e">
        <f t="shared" ref="H261:H324" si="44">G261*2</f>
        <v>#VALUE!</v>
      </c>
      <c r="I261" s="56" t="str">
        <f t="shared" ref="I261:I300" si="45">IFERROR(E261/G261,"")</f>
        <v/>
      </c>
      <c r="J261" s="58" t="str">
        <f t="shared" ref="J261:J324" si="46">IFERROR(1-(I261/$AC$3),"")</f>
        <v/>
      </c>
      <c r="L261">
        <f>MIN(SEARCH({0,1,2,3,4,5,6,7,8,9},K261&amp;"0123456789"))</f>
        <v>1</v>
      </c>
      <c r="M261" t="str">
        <f t="shared" ref="M261:M324" si="47">LEFT(RIGHT(K261,LEN(K261)-L261+1),6)</f>
        <v/>
      </c>
      <c r="O261" s="71">
        <f t="shared" ref="O261:O324" si="48">IFERROR(RIGHT(SUBSTITUTE(N261,"$",CHAR(9),2),LEN(N261)-FIND(CHAR(9),SUBSTITUTE(N261,"$",CHAR(9),2),1) ),N261)</f>
        <v>0</v>
      </c>
      <c r="AA261" t="str">
        <f t="shared" si="39"/>
        <v/>
      </c>
    </row>
    <row r="262" spans="2:27">
      <c r="B262" s="54" t="str">
        <f t="shared" si="40"/>
        <v/>
      </c>
      <c r="C262" t="str">
        <f>IFERROR(VLOOKUP(A262,Processor_DB_Intel!$A$1:'Processor_DB_Intel'!$D$422,4,FALSE),"")</f>
        <v/>
      </c>
      <c r="D262" t="str">
        <f>IFERROR(LEFT(VLOOKUP(A262,Processor_DB_Intel!$A$1:'Processor_DB_Intel'!$F$422,6,FALSE),3),"")</f>
        <v/>
      </c>
      <c r="E262" s="74" t="str">
        <f t="shared" si="41"/>
        <v/>
      </c>
      <c r="F262" s="56" t="str">
        <f t="shared" si="42"/>
        <v/>
      </c>
      <c r="G262" t="e">
        <f t="shared" si="43"/>
        <v>#VALUE!</v>
      </c>
      <c r="H262" t="e">
        <f t="shared" si="44"/>
        <v>#VALUE!</v>
      </c>
      <c r="I262" s="56" t="str">
        <f t="shared" si="45"/>
        <v/>
      </c>
      <c r="J262" s="58" t="str">
        <f t="shared" si="46"/>
        <v/>
      </c>
      <c r="L262">
        <f>MIN(SEARCH({0,1,2,3,4,5,6,7,8,9},K262&amp;"0123456789"))</f>
        <v>1</v>
      </c>
      <c r="M262" t="str">
        <f t="shared" si="47"/>
        <v/>
      </c>
      <c r="O262" s="71">
        <f t="shared" si="48"/>
        <v>0</v>
      </c>
      <c r="AA262" t="str">
        <f t="shared" ref="AA262:AA300" si="49">_xlfn.IFNA(I262,0)</f>
        <v/>
      </c>
    </row>
    <row r="263" spans="2:27">
      <c r="B263" s="54" t="str">
        <f t="shared" si="40"/>
        <v/>
      </c>
      <c r="C263" t="str">
        <f>IFERROR(VLOOKUP(A263,Processor_DB_Intel!$A$1:'Processor_DB_Intel'!$D$422,4,FALSE),"")</f>
        <v/>
      </c>
      <c r="D263" t="str">
        <f>IFERROR(LEFT(VLOOKUP(A263,Processor_DB_Intel!$A$1:'Processor_DB_Intel'!$F$422,6,FALSE),3),"")</f>
        <v/>
      </c>
      <c r="E263" s="74" t="str">
        <f t="shared" si="41"/>
        <v/>
      </c>
      <c r="F263" s="56" t="str">
        <f t="shared" si="42"/>
        <v/>
      </c>
      <c r="G263" t="e">
        <f t="shared" si="43"/>
        <v>#VALUE!</v>
      </c>
      <c r="H263" t="e">
        <f t="shared" si="44"/>
        <v>#VALUE!</v>
      </c>
      <c r="I263" s="56" t="str">
        <f t="shared" si="45"/>
        <v/>
      </c>
      <c r="J263" s="58" t="str">
        <f t="shared" si="46"/>
        <v/>
      </c>
      <c r="L263">
        <f>MIN(SEARCH({0,1,2,3,4,5,6,7,8,9},K263&amp;"0123456789"))</f>
        <v>1</v>
      </c>
      <c r="M263" t="str">
        <f t="shared" si="47"/>
        <v/>
      </c>
      <c r="O263" s="71">
        <f t="shared" si="48"/>
        <v>0</v>
      </c>
      <c r="AA263" t="str">
        <f t="shared" si="49"/>
        <v/>
      </c>
    </row>
    <row r="264" spans="2:27">
      <c r="B264" s="54" t="str">
        <f t="shared" si="40"/>
        <v/>
      </c>
      <c r="C264" t="str">
        <f>IFERROR(VLOOKUP(A264,Processor_DB_Intel!$A$1:'Processor_DB_Intel'!$D$422,4,FALSE),"")</f>
        <v/>
      </c>
      <c r="D264" t="str">
        <f>IFERROR(LEFT(VLOOKUP(A264,Processor_DB_Intel!$A$1:'Processor_DB_Intel'!$F$422,6,FALSE),3),"")</f>
        <v/>
      </c>
      <c r="E264" s="74" t="str">
        <f t="shared" si="41"/>
        <v/>
      </c>
      <c r="F264" s="56" t="str">
        <f t="shared" si="42"/>
        <v/>
      </c>
      <c r="G264" t="e">
        <f t="shared" si="43"/>
        <v>#VALUE!</v>
      </c>
      <c r="H264" t="e">
        <f t="shared" si="44"/>
        <v>#VALUE!</v>
      </c>
      <c r="I264" s="56" t="str">
        <f t="shared" si="45"/>
        <v/>
      </c>
      <c r="J264" s="58" t="str">
        <f t="shared" si="46"/>
        <v/>
      </c>
      <c r="L264">
        <f>MIN(SEARCH({0,1,2,3,4,5,6,7,8,9},K264&amp;"0123456789"))</f>
        <v>1</v>
      </c>
      <c r="M264" t="str">
        <f t="shared" si="47"/>
        <v/>
      </c>
      <c r="O264" s="71">
        <f t="shared" si="48"/>
        <v>0</v>
      </c>
      <c r="AA264" t="str">
        <f t="shared" si="49"/>
        <v/>
      </c>
    </row>
    <row r="265" spans="2:27">
      <c r="B265" s="54" t="str">
        <f t="shared" si="40"/>
        <v/>
      </c>
      <c r="C265" t="str">
        <f>IFERROR(VLOOKUP(A265,Processor_DB_Intel!$A$1:'Processor_DB_Intel'!$D$422,4,FALSE),"")</f>
        <v/>
      </c>
      <c r="D265" t="str">
        <f>IFERROR(LEFT(VLOOKUP(A265,Processor_DB_Intel!$A$1:'Processor_DB_Intel'!$F$422,6,FALSE),3),"")</f>
        <v/>
      </c>
      <c r="E265" s="74" t="str">
        <f t="shared" si="41"/>
        <v/>
      </c>
      <c r="F265" s="56" t="str">
        <f t="shared" si="42"/>
        <v/>
      </c>
      <c r="G265" t="e">
        <f t="shared" si="43"/>
        <v>#VALUE!</v>
      </c>
      <c r="H265" t="e">
        <f t="shared" si="44"/>
        <v>#VALUE!</v>
      </c>
      <c r="I265" s="56" t="str">
        <f t="shared" si="45"/>
        <v/>
      </c>
      <c r="J265" s="58" t="str">
        <f t="shared" si="46"/>
        <v/>
      </c>
      <c r="L265">
        <f>MIN(SEARCH({0,1,2,3,4,5,6,7,8,9},K265&amp;"0123456789"))</f>
        <v>1</v>
      </c>
      <c r="M265" t="str">
        <f t="shared" si="47"/>
        <v/>
      </c>
      <c r="O265" s="71">
        <f t="shared" si="48"/>
        <v>0</v>
      </c>
      <c r="AA265" t="str">
        <f t="shared" si="49"/>
        <v/>
      </c>
    </row>
    <row r="266" spans="2:27">
      <c r="B266" s="54" t="str">
        <f t="shared" si="40"/>
        <v/>
      </c>
      <c r="C266" t="str">
        <f>IFERROR(VLOOKUP(A266,Processor_DB_Intel!$A$1:'Processor_DB_Intel'!$D$422,4,FALSE),"")</f>
        <v/>
      </c>
      <c r="D266" t="str">
        <f>IFERROR(LEFT(VLOOKUP(A266,Processor_DB_Intel!$A$1:'Processor_DB_Intel'!$F$422,6,FALSE),3),"")</f>
        <v/>
      </c>
      <c r="E266" s="74" t="str">
        <f t="shared" si="41"/>
        <v/>
      </c>
      <c r="F266" s="56" t="str">
        <f t="shared" si="42"/>
        <v/>
      </c>
      <c r="G266" t="e">
        <f t="shared" si="43"/>
        <v>#VALUE!</v>
      </c>
      <c r="H266" t="e">
        <f t="shared" si="44"/>
        <v>#VALUE!</v>
      </c>
      <c r="I266" s="56" t="str">
        <f t="shared" si="45"/>
        <v/>
      </c>
      <c r="J266" s="58" t="str">
        <f t="shared" si="46"/>
        <v/>
      </c>
      <c r="L266">
        <f>MIN(SEARCH({0,1,2,3,4,5,6,7,8,9},K266&amp;"0123456789"))</f>
        <v>1</v>
      </c>
      <c r="M266" t="str">
        <f t="shared" si="47"/>
        <v/>
      </c>
      <c r="O266" s="71">
        <f t="shared" si="48"/>
        <v>0</v>
      </c>
      <c r="AA266" t="str">
        <f t="shared" si="49"/>
        <v/>
      </c>
    </row>
    <row r="267" spans="2:27">
      <c r="B267" s="54" t="str">
        <f t="shared" si="40"/>
        <v/>
      </c>
      <c r="C267" t="str">
        <f>IFERROR(VLOOKUP(A267,Processor_DB_Intel!$A$1:'Processor_DB_Intel'!$D$422,4,FALSE),"")</f>
        <v/>
      </c>
      <c r="D267" t="str">
        <f>IFERROR(LEFT(VLOOKUP(A267,Processor_DB_Intel!$A$1:'Processor_DB_Intel'!$F$422,6,FALSE),3),"")</f>
        <v/>
      </c>
      <c r="E267" s="74" t="str">
        <f t="shared" si="41"/>
        <v/>
      </c>
      <c r="F267" s="56" t="str">
        <f t="shared" si="42"/>
        <v/>
      </c>
      <c r="G267" t="e">
        <f t="shared" si="43"/>
        <v>#VALUE!</v>
      </c>
      <c r="H267" t="e">
        <f t="shared" si="44"/>
        <v>#VALUE!</v>
      </c>
      <c r="I267" s="56" t="str">
        <f t="shared" si="45"/>
        <v/>
      </c>
      <c r="J267" s="58" t="str">
        <f t="shared" si="46"/>
        <v/>
      </c>
      <c r="L267">
        <f>MIN(SEARCH({0,1,2,3,4,5,6,7,8,9},K267&amp;"0123456789"))</f>
        <v>1</v>
      </c>
      <c r="M267" t="str">
        <f t="shared" si="47"/>
        <v/>
      </c>
      <c r="O267" s="71">
        <f t="shared" si="48"/>
        <v>0</v>
      </c>
      <c r="AA267" t="str">
        <f t="shared" si="49"/>
        <v/>
      </c>
    </row>
    <row r="268" spans="2:27">
      <c r="B268" s="54" t="str">
        <f t="shared" si="40"/>
        <v/>
      </c>
      <c r="C268" t="str">
        <f>IFERROR(VLOOKUP(A268,Processor_DB_Intel!$A$1:'Processor_DB_Intel'!$D$422,4,FALSE),"")</f>
        <v/>
      </c>
      <c r="D268" t="str">
        <f>IFERROR(LEFT(VLOOKUP(A268,Processor_DB_Intel!$A$1:'Processor_DB_Intel'!$F$422,6,FALSE),3),"")</f>
        <v/>
      </c>
      <c r="E268" s="74" t="str">
        <f t="shared" si="41"/>
        <v/>
      </c>
      <c r="F268" s="56" t="str">
        <f t="shared" si="42"/>
        <v/>
      </c>
      <c r="G268" t="e">
        <f t="shared" si="43"/>
        <v>#VALUE!</v>
      </c>
      <c r="H268" t="e">
        <f t="shared" si="44"/>
        <v>#VALUE!</v>
      </c>
      <c r="I268" s="56" t="str">
        <f t="shared" si="45"/>
        <v/>
      </c>
      <c r="J268" s="58" t="str">
        <f t="shared" si="46"/>
        <v/>
      </c>
      <c r="L268">
        <f>MIN(SEARCH({0,1,2,3,4,5,6,7,8,9},K268&amp;"0123456789"))</f>
        <v>1</v>
      </c>
      <c r="M268" t="str">
        <f t="shared" si="47"/>
        <v/>
      </c>
      <c r="O268" s="71">
        <f t="shared" si="48"/>
        <v>0</v>
      </c>
      <c r="AA268" t="str">
        <f t="shared" si="49"/>
        <v/>
      </c>
    </row>
    <row r="269" spans="2:27">
      <c r="B269" s="54" t="str">
        <f t="shared" si="40"/>
        <v/>
      </c>
      <c r="C269" t="str">
        <f>IFERROR(VLOOKUP(A269,Processor_DB_Intel!$A$1:'Processor_DB_Intel'!$D$422,4,FALSE),"")</f>
        <v/>
      </c>
      <c r="D269" t="str">
        <f>IFERROR(LEFT(VLOOKUP(A269,Processor_DB_Intel!$A$1:'Processor_DB_Intel'!$F$422,6,FALSE),3),"")</f>
        <v/>
      </c>
      <c r="E269" s="74" t="str">
        <f t="shared" si="41"/>
        <v/>
      </c>
      <c r="F269" s="56" t="str">
        <f t="shared" si="42"/>
        <v/>
      </c>
      <c r="G269" t="e">
        <f t="shared" si="43"/>
        <v>#VALUE!</v>
      </c>
      <c r="H269" t="e">
        <f t="shared" si="44"/>
        <v>#VALUE!</v>
      </c>
      <c r="I269" s="56" t="str">
        <f t="shared" si="45"/>
        <v/>
      </c>
      <c r="J269" s="58" t="str">
        <f t="shared" si="46"/>
        <v/>
      </c>
      <c r="L269">
        <f>MIN(SEARCH({0,1,2,3,4,5,6,7,8,9},K269&amp;"0123456789"))</f>
        <v>1</v>
      </c>
      <c r="M269" t="str">
        <f t="shared" si="47"/>
        <v/>
      </c>
      <c r="O269" s="71">
        <f t="shared" si="48"/>
        <v>0</v>
      </c>
      <c r="AA269" t="str">
        <f t="shared" si="49"/>
        <v/>
      </c>
    </row>
    <row r="270" spans="2:27">
      <c r="B270" s="54" t="str">
        <f t="shared" si="40"/>
        <v/>
      </c>
      <c r="C270" t="str">
        <f>IFERROR(VLOOKUP(A270,Processor_DB_Intel!$A$1:'Processor_DB_Intel'!$D$422,4,FALSE),"")</f>
        <v/>
      </c>
      <c r="D270" t="str">
        <f>IFERROR(LEFT(VLOOKUP(A270,Processor_DB_Intel!$A$1:'Processor_DB_Intel'!$F$422,6,FALSE),3),"")</f>
        <v/>
      </c>
      <c r="E270" s="74" t="str">
        <f t="shared" si="41"/>
        <v/>
      </c>
      <c r="F270" s="56" t="str">
        <f t="shared" si="42"/>
        <v/>
      </c>
      <c r="G270" t="e">
        <f t="shared" si="43"/>
        <v>#VALUE!</v>
      </c>
      <c r="H270" t="e">
        <f t="shared" si="44"/>
        <v>#VALUE!</v>
      </c>
      <c r="I270" s="56" t="str">
        <f t="shared" si="45"/>
        <v/>
      </c>
      <c r="J270" s="58" t="str">
        <f t="shared" si="46"/>
        <v/>
      </c>
      <c r="L270">
        <f>MIN(SEARCH({0,1,2,3,4,5,6,7,8,9},K270&amp;"0123456789"))</f>
        <v>1</v>
      </c>
      <c r="M270" t="str">
        <f t="shared" si="47"/>
        <v/>
      </c>
      <c r="O270" s="71">
        <f t="shared" si="48"/>
        <v>0</v>
      </c>
      <c r="AA270" t="str">
        <f t="shared" si="49"/>
        <v/>
      </c>
    </row>
    <row r="271" spans="2:27">
      <c r="B271" s="54" t="str">
        <f t="shared" si="40"/>
        <v/>
      </c>
      <c r="C271" t="str">
        <f>IFERROR(VLOOKUP(A271,Processor_DB_Intel!$A$1:'Processor_DB_Intel'!$D$422,4,FALSE),"")</f>
        <v/>
      </c>
      <c r="D271" t="str">
        <f>IFERROR(LEFT(VLOOKUP(A271,Processor_DB_Intel!$A$1:'Processor_DB_Intel'!$F$422,6,FALSE),3),"")</f>
        <v/>
      </c>
      <c r="E271" s="74" t="str">
        <f t="shared" si="41"/>
        <v/>
      </c>
      <c r="F271" s="56" t="str">
        <f t="shared" si="42"/>
        <v/>
      </c>
      <c r="G271" t="e">
        <f t="shared" si="43"/>
        <v>#VALUE!</v>
      </c>
      <c r="H271" t="e">
        <f t="shared" si="44"/>
        <v>#VALUE!</v>
      </c>
      <c r="I271" s="56" t="str">
        <f t="shared" si="45"/>
        <v/>
      </c>
      <c r="J271" s="58" t="str">
        <f t="shared" si="46"/>
        <v/>
      </c>
      <c r="L271">
        <f>MIN(SEARCH({0,1,2,3,4,5,6,7,8,9},K271&amp;"0123456789"))</f>
        <v>1</v>
      </c>
      <c r="M271" t="str">
        <f t="shared" si="47"/>
        <v/>
      </c>
      <c r="O271" s="71">
        <f t="shared" si="48"/>
        <v>0</v>
      </c>
      <c r="AA271" t="str">
        <f t="shared" si="49"/>
        <v/>
      </c>
    </row>
    <row r="272" spans="2:27">
      <c r="B272" s="54" t="str">
        <f t="shared" si="40"/>
        <v/>
      </c>
      <c r="C272" t="str">
        <f>IFERROR(VLOOKUP(A272,Processor_DB_Intel!$A$1:'Processor_DB_Intel'!$D$422,4,FALSE),"")</f>
        <v/>
      </c>
      <c r="D272" t="str">
        <f>IFERROR(LEFT(VLOOKUP(A272,Processor_DB_Intel!$A$1:'Processor_DB_Intel'!$F$422,6,FALSE),3),"")</f>
        <v/>
      </c>
      <c r="E272" s="74" t="str">
        <f t="shared" si="41"/>
        <v/>
      </c>
      <c r="F272" s="56" t="str">
        <f t="shared" si="42"/>
        <v/>
      </c>
      <c r="G272" t="e">
        <f t="shared" si="43"/>
        <v>#VALUE!</v>
      </c>
      <c r="H272" t="e">
        <f t="shared" si="44"/>
        <v>#VALUE!</v>
      </c>
      <c r="I272" s="56" t="str">
        <f t="shared" si="45"/>
        <v/>
      </c>
      <c r="J272" s="58" t="str">
        <f t="shared" si="46"/>
        <v/>
      </c>
      <c r="L272">
        <f>MIN(SEARCH({0,1,2,3,4,5,6,7,8,9},K272&amp;"0123456789"))</f>
        <v>1</v>
      </c>
      <c r="M272" t="str">
        <f t="shared" si="47"/>
        <v/>
      </c>
      <c r="O272" s="71">
        <f t="shared" si="48"/>
        <v>0</v>
      </c>
      <c r="AA272" t="str">
        <f t="shared" si="49"/>
        <v/>
      </c>
    </row>
    <row r="273" spans="2:27">
      <c r="B273" s="54" t="str">
        <f t="shared" si="40"/>
        <v/>
      </c>
      <c r="C273" t="str">
        <f>IFERROR(VLOOKUP(A273,Processor_DB_Intel!$A$1:'Processor_DB_Intel'!$D$422,4,FALSE),"")</f>
        <v/>
      </c>
      <c r="D273" t="str">
        <f>IFERROR(LEFT(VLOOKUP(A273,Processor_DB_Intel!$A$1:'Processor_DB_Intel'!$F$422,6,FALSE),3),"")</f>
        <v/>
      </c>
      <c r="E273" s="74" t="str">
        <f t="shared" si="41"/>
        <v/>
      </c>
      <c r="F273" s="56" t="str">
        <f t="shared" si="42"/>
        <v/>
      </c>
      <c r="G273" t="e">
        <f t="shared" si="43"/>
        <v>#VALUE!</v>
      </c>
      <c r="H273" t="e">
        <f t="shared" si="44"/>
        <v>#VALUE!</v>
      </c>
      <c r="I273" s="56" t="str">
        <f t="shared" si="45"/>
        <v/>
      </c>
      <c r="J273" s="58" t="str">
        <f t="shared" si="46"/>
        <v/>
      </c>
      <c r="L273">
        <f>MIN(SEARCH({0,1,2,3,4,5,6,7,8,9},K273&amp;"0123456789"))</f>
        <v>1</v>
      </c>
      <c r="M273" t="str">
        <f t="shared" si="47"/>
        <v/>
      </c>
      <c r="O273" s="71">
        <f t="shared" si="48"/>
        <v>0</v>
      </c>
      <c r="AA273" t="str">
        <f t="shared" si="49"/>
        <v/>
      </c>
    </row>
    <row r="274" spans="2:27">
      <c r="B274" s="54" t="str">
        <f t="shared" si="40"/>
        <v/>
      </c>
      <c r="C274" t="str">
        <f>IFERROR(VLOOKUP(A274,Processor_DB_Intel!$A$1:'Processor_DB_Intel'!$D$422,4,FALSE),"")</f>
        <v/>
      </c>
      <c r="D274" t="str">
        <f>IFERROR(LEFT(VLOOKUP(A274,Processor_DB_Intel!$A$1:'Processor_DB_Intel'!$F$422,6,FALSE),3),"")</f>
        <v/>
      </c>
      <c r="E274" s="74" t="str">
        <f t="shared" si="41"/>
        <v/>
      </c>
      <c r="F274" s="56" t="str">
        <f t="shared" si="42"/>
        <v/>
      </c>
      <c r="G274" t="e">
        <f t="shared" si="43"/>
        <v>#VALUE!</v>
      </c>
      <c r="H274" t="e">
        <f t="shared" si="44"/>
        <v>#VALUE!</v>
      </c>
      <c r="I274" s="56" t="str">
        <f t="shared" si="45"/>
        <v/>
      </c>
      <c r="J274" s="58" t="str">
        <f t="shared" si="46"/>
        <v/>
      </c>
      <c r="L274">
        <f>MIN(SEARCH({0,1,2,3,4,5,6,7,8,9},K274&amp;"0123456789"))</f>
        <v>1</v>
      </c>
      <c r="M274" t="str">
        <f t="shared" si="47"/>
        <v/>
      </c>
      <c r="O274" s="71">
        <f t="shared" si="48"/>
        <v>0</v>
      </c>
      <c r="AA274" t="str">
        <f t="shared" si="49"/>
        <v/>
      </c>
    </row>
    <row r="275" spans="2:27">
      <c r="B275" s="54" t="str">
        <f t="shared" si="40"/>
        <v/>
      </c>
      <c r="C275" t="str">
        <f>IFERROR(VLOOKUP(A275,Processor_DB_Intel!$A$1:'Processor_DB_Intel'!$D$422,4,FALSE),"")</f>
        <v/>
      </c>
      <c r="D275" t="str">
        <f>IFERROR(LEFT(VLOOKUP(A275,Processor_DB_Intel!$A$1:'Processor_DB_Intel'!$F$422,6,FALSE),3),"")</f>
        <v/>
      </c>
      <c r="E275" s="74" t="str">
        <f t="shared" si="41"/>
        <v/>
      </c>
      <c r="F275" s="56" t="str">
        <f t="shared" si="42"/>
        <v/>
      </c>
      <c r="G275" t="e">
        <f t="shared" si="43"/>
        <v>#VALUE!</v>
      </c>
      <c r="H275" t="e">
        <f t="shared" si="44"/>
        <v>#VALUE!</v>
      </c>
      <c r="I275" s="56" t="str">
        <f t="shared" si="45"/>
        <v/>
      </c>
      <c r="J275" s="58" t="str">
        <f t="shared" si="46"/>
        <v/>
      </c>
      <c r="L275">
        <f>MIN(SEARCH({0,1,2,3,4,5,6,7,8,9},K275&amp;"0123456789"))</f>
        <v>1</v>
      </c>
      <c r="M275" t="str">
        <f t="shared" si="47"/>
        <v/>
      </c>
      <c r="O275" s="71">
        <f t="shared" si="48"/>
        <v>0</v>
      </c>
      <c r="AA275" t="str">
        <f t="shared" si="49"/>
        <v/>
      </c>
    </row>
    <row r="276" spans="2:27">
      <c r="B276" s="54" t="str">
        <f t="shared" si="40"/>
        <v/>
      </c>
      <c r="C276" t="str">
        <f>IFERROR(VLOOKUP(A276,Processor_DB_Intel!$A$1:'Processor_DB_Intel'!$D$422,4,FALSE),"")</f>
        <v/>
      </c>
      <c r="D276" t="str">
        <f>IFERROR(LEFT(VLOOKUP(A276,Processor_DB_Intel!$A$1:'Processor_DB_Intel'!$F$422,6,FALSE),3),"")</f>
        <v/>
      </c>
      <c r="E276" s="74" t="str">
        <f t="shared" si="41"/>
        <v/>
      </c>
      <c r="F276" s="56" t="str">
        <f t="shared" si="42"/>
        <v/>
      </c>
      <c r="G276" t="e">
        <f t="shared" si="43"/>
        <v>#VALUE!</v>
      </c>
      <c r="H276" t="e">
        <f t="shared" si="44"/>
        <v>#VALUE!</v>
      </c>
      <c r="I276" s="56" t="str">
        <f t="shared" si="45"/>
        <v/>
      </c>
      <c r="J276" s="58" t="str">
        <f t="shared" si="46"/>
        <v/>
      </c>
      <c r="L276">
        <f>MIN(SEARCH({0,1,2,3,4,5,6,7,8,9},K276&amp;"0123456789"))</f>
        <v>1</v>
      </c>
      <c r="M276" t="str">
        <f t="shared" si="47"/>
        <v/>
      </c>
      <c r="O276" s="71">
        <f t="shared" si="48"/>
        <v>0</v>
      </c>
      <c r="AA276" t="str">
        <f t="shared" si="49"/>
        <v/>
      </c>
    </row>
    <row r="277" spans="2:27">
      <c r="B277" s="54" t="str">
        <f t="shared" si="40"/>
        <v/>
      </c>
      <c r="C277" t="str">
        <f>IFERROR(VLOOKUP(A277,Processor_DB_Intel!$A$1:'Processor_DB_Intel'!$D$422,4,FALSE),"")</f>
        <v/>
      </c>
      <c r="D277" t="str">
        <f>IFERROR(LEFT(VLOOKUP(A277,Processor_DB_Intel!$A$1:'Processor_DB_Intel'!$F$422,6,FALSE),3),"")</f>
        <v/>
      </c>
      <c r="E277" s="74" t="str">
        <f t="shared" si="41"/>
        <v/>
      </c>
      <c r="F277" s="56" t="str">
        <f t="shared" si="42"/>
        <v/>
      </c>
      <c r="G277" t="e">
        <f t="shared" si="43"/>
        <v>#VALUE!</v>
      </c>
      <c r="H277" t="e">
        <f t="shared" si="44"/>
        <v>#VALUE!</v>
      </c>
      <c r="I277" s="56" t="str">
        <f t="shared" si="45"/>
        <v/>
      </c>
      <c r="J277" s="58" t="str">
        <f t="shared" si="46"/>
        <v/>
      </c>
      <c r="L277">
        <f>MIN(SEARCH({0,1,2,3,4,5,6,7,8,9},K277&amp;"0123456789"))</f>
        <v>1</v>
      </c>
      <c r="M277" t="str">
        <f t="shared" si="47"/>
        <v/>
      </c>
      <c r="O277" s="71">
        <f t="shared" si="48"/>
        <v>0</v>
      </c>
      <c r="AA277" t="str">
        <f t="shared" si="49"/>
        <v/>
      </c>
    </row>
    <row r="278" spans="2:27">
      <c r="B278" s="54" t="str">
        <f t="shared" si="40"/>
        <v/>
      </c>
      <c r="C278" t="str">
        <f>IFERROR(VLOOKUP(A278,Processor_DB_Intel!$A$1:'Processor_DB_Intel'!$D$422,4,FALSE),"")</f>
        <v/>
      </c>
      <c r="D278" t="str">
        <f>IFERROR(LEFT(VLOOKUP(A278,Processor_DB_Intel!$A$1:'Processor_DB_Intel'!$F$422,6,FALSE),3),"")</f>
        <v/>
      </c>
      <c r="E278" s="74" t="str">
        <f t="shared" si="41"/>
        <v/>
      </c>
      <c r="F278" s="56" t="str">
        <f t="shared" si="42"/>
        <v/>
      </c>
      <c r="G278" t="e">
        <f t="shared" si="43"/>
        <v>#VALUE!</v>
      </c>
      <c r="H278" t="e">
        <f t="shared" si="44"/>
        <v>#VALUE!</v>
      </c>
      <c r="I278" s="56" t="str">
        <f t="shared" si="45"/>
        <v/>
      </c>
      <c r="J278" s="58" t="str">
        <f t="shared" si="46"/>
        <v/>
      </c>
      <c r="L278">
        <f>MIN(SEARCH({0,1,2,3,4,5,6,7,8,9},K278&amp;"0123456789"))</f>
        <v>1</v>
      </c>
      <c r="M278" t="str">
        <f t="shared" si="47"/>
        <v/>
      </c>
      <c r="O278" s="71">
        <f t="shared" si="48"/>
        <v>0</v>
      </c>
      <c r="AA278" t="str">
        <f t="shared" si="49"/>
        <v/>
      </c>
    </row>
    <row r="279" spans="2:27">
      <c r="B279" s="54" t="str">
        <f t="shared" si="40"/>
        <v/>
      </c>
      <c r="C279" t="str">
        <f>IFERROR(VLOOKUP(A279,Processor_DB_Intel!$A$1:'Processor_DB_Intel'!$D$422,4,FALSE),"")</f>
        <v/>
      </c>
      <c r="D279" t="str">
        <f>IFERROR(LEFT(VLOOKUP(A279,Processor_DB_Intel!$A$1:'Processor_DB_Intel'!$F$422,6,FALSE),3),"")</f>
        <v/>
      </c>
      <c r="E279" s="74" t="str">
        <f t="shared" si="41"/>
        <v/>
      </c>
      <c r="F279" s="56" t="str">
        <f t="shared" si="42"/>
        <v/>
      </c>
      <c r="G279" t="e">
        <f t="shared" si="43"/>
        <v>#VALUE!</v>
      </c>
      <c r="H279" t="e">
        <f t="shared" si="44"/>
        <v>#VALUE!</v>
      </c>
      <c r="I279" s="56" t="str">
        <f t="shared" si="45"/>
        <v/>
      </c>
      <c r="J279" s="58" t="str">
        <f t="shared" si="46"/>
        <v/>
      </c>
      <c r="L279">
        <f>MIN(SEARCH({0,1,2,3,4,5,6,7,8,9},K279&amp;"0123456789"))</f>
        <v>1</v>
      </c>
      <c r="M279" t="str">
        <f t="shared" si="47"/>
        <v/>
      </c>
      <c r="O279" s="71">
        <f t="shared" si="48"/>
        <v>0</v>
      </c>
      <c r="AA279" t="str">
        <f t="shared" si="49"/>
        <v/>
      </c>
    </row>
    <row r="280" spans="2:27">
      <c r="B280" s="54" t="str">
        <f t="shared" si="40"/>
        <v/>
      </c>
      <c r="C280" t="str">
        <f>IFERROR(VLOOKUP(A280,Processor_DB_Intel!$A$1:'Processor_DB_Intel'!$D$422,4,FALSE),"")</f>
        <v/>
      </c>
      <c r="D280" t="str">
        <f>IFERROR(LEFT(VLOOKUP(A280,Processor_DB_Intel!$A$1:'Processor_DB_Intel'!$F$422,6,FALSE),3),"")</f>
        <v/>
      </c>
      <c r="E280" s="74" t="str">
        <f t="shared" si="41"/>
        <v/>
      </c>
      <c r="F280" s="56" t="str">
        <f t="shared" si="42"/>
        <v/>
      </c>
      <c r="G280" t="e">
        <f t="shared" si="43"/>
        <v>#VALUE!</v>
      </c>
      <c r="H280" t="e">
        <f t="shared" si="44"/>
        <v>#VALUE!</v>
      </c>
      <c r="I280" s="56" t="str">
        <f t="shared" si="45"/>
        <v/>
      </c>
      <c r="J280" s="58" t="str">
        <f t="shared" si="46"/>
        <v/>
      </c>
      <c r="L280">
        <f>MIN(SEARCH({0,1,2,3,4,5,6,7,8,9},K280&amp;"0123456789"))</f>
        <v>1</v>
      </c>
      <c r="M280" t="str">
        <f t="shared" si="47"/>
        <v/>
      </c>
      <c r="O280" s="71">
        <f t="shared" si="48"/>
        <v>0</v>
      </c>
      <c r="AA280" t="str">
        <f t="shared" si="49"/>
        <v/>
      </c>
    </row>
    <row r="281" spans="2:27">
      <c r="B281" s="54" t="str">
        <f t="shared" si="40"/>
        <v/>
      </c>
      <c r="C281" t="str">
        <f>IFERROR(VLOOKUP(A281,Processor_DB_Intel!$A$1:'Processor_DB_Intel'!$D$422,4,FALSE),"")</f>
        <v/>
      </c>
      <c r="D281" t="str">
        <f>IFERROR(LEFT(VLOOKUP(A281,Processor_DB_Intel!$A$1:'Processor_DB_Intel'!$F$422,6,FALSE),3),"")</f>
        <v/>
      </c>
      <c r="E281" s="74" t="str">
        <f t="shared" si="41"/>
        <v/>
      </c>
      <c r="F281" s="56" t="str">
        <f t="shared" si="42"/>
        <v/>
      </c>
      <c r="G281" t="e">
        <f t="shared" si="43"/>
        <v>#VALUE!</v>
      </c>
      <c r="H281" t="e">
        <f t="shared" si="44"/>
        <v>#VALUE!</v>
      </c>
      <c r="I281" s="56" t="str">
        <f t="shared" si="45"/>
        <v/>
      </c>
      <c r="J281" s="58" t="str">
        <f t="shared" si="46"/>
        <v/>
      </c>
      <c r="L281">
        <f>MIN(SEARCH({0,1,2,3,4,5,6,7,8,9},K281&amp;"0123456789"))</f>
        <v>1</v>
      </c>
      <c r="M281" t="str">
        <f t="shared" si="47"/>
        <v/>
      </c>
      <c r="O281" s="71">
        <f t="shared" si="48"/>
        <v>0</v>
      </c>
      <c r="AA281" t="str">
        <f t="shared" si="49"/>
        <v/>
      </c>
    </row>
    <row r="282" spans="2:27">
      <c r="B282" s="54" t="str">
        <f t="shared" si="40"/>
        <v/>
      </c>
      <c r="C282" t="str">
        <f>IFERROR(VLOOKUP(A282,Processor_DB_Intel!$A$1:'Processor_DB_Intel'!$D$422,4,FALSE),"")</f>
        <v/>
      </c>
      <c r="D282" t="str">
        <f>IFERROR(LEFT(VLOOKUP(A282,Processor_DB_Intel!$A$1:'Processor_DB_Intel'!$F$422,6,FALSE),3),"")</f>
        <v/>
      </c>
      <c r="E282" s="74" t="str">
        <f t="shared" si="41"/>
        <v/>
      </c>
      <c r="F282" s="56" t="str">
        <f t="shared" si="42"/>
        <v/>
      </c>
      <c r="G282" t="e">
        <f t="shared" si="43"/>
        <v>#VALUE!</v>
      </c>
      <c r="H282" t="e">
        <f t="shared" si="44"/>
        <v>#VALUE!</v>
      </c>
      <c r="I282" s="56" t="str">
        <f t="shared" si="45"/>
        <v/>
      </c>
      <c r="J282" s="58" t="str">
        <f t="shared" si="46"/>
        <v/>
      </c>
      <c r="L282">
        <f>MIN(SEARCH({0,1,2,3,4,5,6,7,8,9},K282&amp;"0123456789"))</f>
        <v>1</v>
      </c>
      <c r="M282" t="str">
        <f t="shared" si="47"/>
        <v/>
      </c>
      <c r="O282" s="71">
        <f t="shared" si="48"/>
        <v>0</v>
      </c>
      <c r="AA282" t="str">
        <f t="shared" si="49"/>
        <v/>
      </c>
    </row>
    <row r="283" spans="2:27">
      <c r="B283" s="54" t="str">
        <f t="shared" si="40"/>
        <v/>
      </c>
      <c r="C283" t="str">
        <f>IFERROR(VLOOKUP(A283,Processor_DB_Intel!$A$1:'Processor_DB_Intel'!$D$422,4,FALSE),"")</f>
        <v/>
      </c>
      <c r="D283" t="str">
        <f>IFERROR(LEFT(VLOOKUP(A283,Processor_DB_Intel!$A$1:'Processor_DB_Intel'!$F$422,6,FALSE),3),"")</f>
        <v/>
      </c>
      <c r="E283" s="74" t="str">
        <f t="shared" si="41"/>
        <v/>
      </c>
      <c r="F283" s="56" t="str">
        <f t="shared" si="42"/>
        <v/>
      </c>
      <c r="G283" t="e">
        <f t="shared" si="43"/>
        <v>#VALUE!</v>
      </c>
      <c r="H283" t="e">
        <f t="shared" si="44"/>
        <v>#VALUE!</v>
      </c>
      <c r="I283" s="56" t="str">
        <f t="shared" si="45"/>
        <v/>
      </c>
      <c r="J283" s="58" t="str">
        <f t="shared" si="46"/>
        <v/>
      </c>
      <c r="L283">
        <f>MIN(SEARCH({0,1,2,3,4,5,6,7,8,9},K283&amp;"0123456789"))</f>
        <v>1</v>
      </c>
      <c r="M283" t="str">
        <f t="shared" si="47"/>
        <v/>
      </c>
      <c r="O283" s="71">
        <f t="shared" si="48"/>
        <v>0</v>
      </c>
      <c r="AA283" t="str">
        <f t="shared" si="49"/>
        <v/>
      </c>
    </row>
    <row r="284" spans="2:27">
      <c r="B284" s="54" t="str">
        <f t="shared" si="40"/>
        <v/>
      </c>
      <c r="C284" t="str">
        <f>IFERROR(VLOOKUP(A284,Processor_DB_Intel!$A$1:'Processor_DB_Intel'!$D$422,4,FALSE),"")</f>
        <v/>
      </c>
      <c r="D284" t="str">
        <f>IFERROR(LEFT(VLOOKUP(A284,Processor_DB_Intel!$A$1:'Processor_DB_Intel'!$F$422,6,FALSE),3),"")</f>
        <v/>
      </c>
      <c r="E284" s="74" t="str">
        <f t="shared" si="41"/>
        <v/>
      </c>
      <c r="F284" s="56" t="str">
        <f t="shared" si="42"/>
        <v/>
      </c>
      <c r="G284" t="e">
        <f t="shared" si="43"/>
        <v>#VALUE!</v>
      </c>
      <c r="H284" t="e">
        <f t="shared" si="44"/>
        <v>#VALUE!</v>
      </c>
      <c r="I284" s="56" t="str">
        <f t="shared" si="45"/>
        <v/>
      </c>
      <c r="J284" s="58" t="str">
        <f t="shared" si="46"/>
        <v/>
      </c>
      <c r="L284">
        <f>MIN(SEARCH({0,1,2,3,4,5,6,7,8,9},K284&amp;"0123456789"))</f>
        <v>1</v>
      </c>
      <c r="M284" t="str">
        <f t="shared" si="47"/>
        <v/>
      </c>
      <c r="O284" s="71">
        <f t="shared" si="48"/>
        <v>0</v>
      </c>
      <c r="AA284" t="str">
        <f t="shared" si="49"/>
        <v/>
      </c>
    </row>
    <row r="285" spans="2:27">
      <c r="B285" s="54" t="str">
        <f t="shared" si="40"/>
        <v/>
      </c>
      <c r="C285" t="str">
        <f>IFERROR(VLOOKUP(A285,Processor_DB_Intel!$A$1:'Processor_DB_Intel'!$D$422,4,FALSE),"")</f>
        <v/>
      </c>
      <c r="D285" t="str">
        <f>IFERROR(LEFT(VLOOKUP(A285,Processor_DB_Intel!$A$1:'Processor_DB_Intel'!$F$422,6,FALSE),3),"")</f>
        <v/>
      </c>
      <c r="E285" s="74" t="str">
        <f t="shared" si="41"/>
        <v/>
      </c>
      <c r="F285" s="56" t="str">
        <f t="shared" si="42"/>
        <v/>
      </c>
      <c r="G285" t="e">
        <f t="shared" si="43"/>
        <v>#VALUE!</v>
      </c>
      <c r="H285" t="e">
        <f t="shared" si="44"/>
        <v>#VALUE!</v>
      </c>
      <c r="I285" s="56" t="str">
        <f t="shared" si="45"/>
        <v/>
      </c>
      <c r="J285" s="58" t="str">
        <f t="shared" si="46"/>
        <v/>
      </c>
      <c r="L285">
        <f>MIN(SEARCH({0,1,2,3,4,5,6,7,8,9},K285&amp;"0123456789"))</f>
        <v>1</v>
      </c>
      <c r="M285" t="str">
        <f t="shared" si="47"/>
        <v/>
      </c>
      <c r="O285" s="71">
        <f t="shared" si="48"/>
        <v>0</v>
      </c>
      <c r="AA285" t="str">
        <f t="shared" si="49"/>
        <v/>
      </c>
    </row>
    <row r="286" spans="2:27">
      <c r="B286" s="54" t="str">
        <f t="shared" si="40"/>
        <v/>
      </c>
      <c r="C286" t="str">
        <f>IFERROR(VLOOKUP(A286,Processor_DB_Intel!$A$1:'Processor_DB_Intel'!$D$422,4,FALSE),"")</f>
        <v/>
      </c>
      <c r="D286" t="str">
        <f>IFERROR(LEFT(VLOOKUP(A286,Processor_DB_Intel!$A$1:'Processor_DB_Intel'!$F$422,6,FALSE),3),"")</f>
        <v/>
      </c>
      <c r="E286" s="74" t="str">
        <f t="shared" si="41"/>
        <v/>
      </c>
      <c r="F286" s="56" t="str">
        <f t="shared" si="42"/>
        <v/>
      </c>
      <c r="G286" t="e">
        <f t="shared" si="43"/>
        <v>#VALUE!</v>
      </c>
      <c r="H286" t="e">
        <f t="shared" si="44"/>
        <v>#VALUE!</v>
      </c>
      <c r="I286" s="56" t="str">
        <f t="shared" si="45"/>
        <v/>
      </c>
      <c r="J286" s="58" t="str">
        <f t="shared" si="46"/>
        <v/>
      </c>
      <c r="L286">
        <f>MIN(SEARCH({0,1,2,3,4,5,6,7,8,9},K286&amp;"0123456789"))</f>
        <v>1</v>
      </c>
      <c r="M286" t="str">
        <f t="shared" si="47"/>
        <v/>
      </c>
      <c r="O286" s="71">
        <f t="shared" si="48"/>
        <v>0</v>
      </c>
      <c r="AA286" t="str">
        <f t="shared" si="49"/>
        <v/>
      </c>
    </row>
    <row r="287" spans="2:27">
      <c r="B287" s="54" t="str">
        <f t="shared" si="40"/>
        <v/>
      </c>
      <c r="C287" t="str">
        <f>IFERROR(VLOOKUP(A287,Processor_DB_Intel!$A$1:'Processor_DB_Intel'!$D$422,4,FALSE),"")</f>
        <v/>
      </c>
      <c r="D287" t="str">
        <f>IFERROR(LEFT(VLOOKUP(A287,Processor_DB_Intel!$A$1:'Processor_DB_Intel'!$F$422,6,FALSE),3),"")</f>
        <v/>
      </c>
      <c r="E287" s="74" t="str">
        <f t="shared" si="41"/>
        <v/>
      </c>
      <c r="F287" s="56" t="str">
        <f t="shared" si="42"/>
        <v/>
      </c>
      <c r="G287" t="e">
        <f t="shared" si="43"/>
        <v>#VALUE!</v>
      </c>
      <c r="H287" t="e">
        <f t="shared" si="44"/>
        <v>#VALUE!</v>
      </c>
      <c r="I287" s="56" t="str">
        <f t="shared" si="45"/>
        <v/>
      </c>
      <c r="J287" s="58" t="str">
        <f t="shared" si="46"/>
        <v/>
      </c>
      <c r="L287">
        <f>MIN(SEARCH({0,1,2,3,4,5,6,7,8,9},K287&amp;"0123456789"))</f>
        <v>1</v>
      </c>
      <c r="M287" t="str">
        <f t="shared" si="47"/>
        <v/>
      </c>
      <c r="O287" s="71">
        <f t="shared" si="48"/>
        <v>0</v>
      </c>
      <c r="AA287" t="str">
        <f t="shared" si="49"/>
        <v/>
      </c>
    </row>
    <row r="288" spans="2:27">
      <c r="B288" s="54" t="str">
        <f t="shared" si="40"/>
        <v/>
      </c>
      <c r="C288" t="str">
        <f>IFERROR(VLOOKUP(A288,Processor_DB_Intel!$A$1:'Processor_DB_Intel'!$D$422,4,FALSE),"")</f>
        <v/>
      </c>
      <c r="D288" t="str">
        <f>IFERROR(LEFT(VLOOKUP(A288,Processor_DB_Intel!$A$1:'Processor_DB_Intel'!$F$422,6,FALSE),3),"")</f>
        <v/>
      </c>
      <c r="E288" s="74" t="str">
        <f t="shared" si="41"/>
        <v/>
      </c>
      <c r="F288" s="56" t="str">
        <f t="shared" si="42"/>
        <v/>
      </c>
      <c r="G288" t="e">
        <f t="shared" si="43"/>
        <v>#VALUE!</v>
      </c>
      <c r="H288" t="e">
        <f t="shared" si="44"/>
        <v>#VALUE!</v>
      </c>
      <c r="I288" s="56" t="str">
        <f t="shared" si="45"/>
        <v/>
      </c>
      <c r="J288" s="58" t="str">
        <f t="shared" si="46"/>
        <v/>
      </c>
      <c r="L288">
        <f>MIN(SEARCH({0,1,2,3,4,5,6,7,8,9},K288&amp;"0123456789"))</f>
        <v>1</v>
      </c>
      <c r="M288" t="str">
        <f t="shared" si="47"/>
        <v/>
      </c>
      <c r="O288" s="71">
        <f t="shared" si="48"/>
        <v>0</v>
      </c>
      <c r="AA288" t="str">
        <f t="shared" si="49"/>
        <v/>
      </c>
    </row>
    <row r="289" spans="2:27">
      <c r="B289" s="54" t="str">
        <f t="shared" si="40"/>
        <v/>
      </c>
      <c r="C289" t="str">
        <f>IFERROR(VLOOKUP(A289,Processor_DB_Intel!$A$1:'Processor_DB_Intel'!$D$422,4,FALSE),"")</f>
        <v/>
      </c>
      <c r="D289" t="str">
        <f>IFERROR(LEFT(VLOOKUP(A289,Processor_DB_Intel!$A$1:'Processor_DB_Intel'!$F$422,6,FALSE),3),"")</f>
        <v/>
      </c>
      <c r="E289" s="74" t="str">
        <f t="shared" si="41"/>
        <v/>
      </c>
      <c r="F289" s="56" t="str">
        <f t="shared" si="42"/>
        <v/>
      </c>
      <c r="G289" t="e">
        <f t="shared" si="43"/>
        <v>#VALUE!</v>
      </c>
      <c r="H289" t="e">
        <f t="shared" si="44"/>
        <v>#VALUE!</v>
      </c>
      <c r="I289" s="56" t="str">
        <f t="shared" si="45"/>
        <v/>
      </c>
      <c r="J289" s="58" t="str">
        <f t="shared" si="46"/>
        <v/>
      </c>
      <c r="L289">
        <f>MIN(SEARCH({0,1,2,3,4,5,6,7,8,9},K289&amp;"0123456789"))</f>
        <v>1</v>
      </c>
      <c r="M289" t="str">
        <f t="shared" si="47"/>
        <v/>
      </c>
      <c r="O289" s="71">
        <f t="shared" si="48"/>
        <v>0</v>
      </c>
      <c r="AA289" t="str">
        <f t="shared" si="49"/>
        <v/>
      </c>
    </row>
    <row r="290" spans="2:27">
      <c r="B290" s="54" t="str">
        <f t="shared" si="40"/>
        <v/>
      </c>
      <c r="C290" t="str">
        <f>IFERROR(VLOOKUP(A290,Processor_DB_Intel!$A$1:'Processor_DB_Intel'!$D$422,4,FALSE),"")</f>
        <v/>
      </c>
      <c r="D290" t="str">
        <f>IFERROR(LEFT(VLOOKUP(A290,Processor_DB_Intel!$A$1:'Processor_DB_Intel'!$F$422,6,FALSE),3),"")</f>
        <v/>
      </c>
      <c r="E290" s="74" t="str">
        <f t="shared" si="41"/>
        <v/>
      </c>
      <c r="F290" s="56" t="str">
        <f t="shared" si="42"/>
        <v/>
      </c>
      <c r="G290" t="e">
        <f t="shared" si="43"/>
        <v>#VALUE!</v>
      </c>
      <c r="H290" t="e">
        <f t="shared" si="44"/>
        <v>#VALUE!</v>
      </c>
      <c r="I290" s="56" t="str">
        <f t="shared" si="45"/>
        <v/>
      </c>
      <c r="J290" s="58" t="str">
        <f t="shared" si="46"/>
        <v/>
      </c>
      <c r="L290">
        <f>MIN(SEARCH({0,1,2,3,4,5,6,7,8,9},K290&amp;"0123456789"))</f>
        <v>1</v>
      </c>
      <c r="M290" t="str">
        <f t="shared" si="47"/>
        <v/>
      </c>
      <c r="O290" s="71">
        <f t="shared" si="48"/>
        <v>0</v>
      </c>
      <c r="AA290" t="str">
        <f t="shared" si="49"/>
        <v/>
      </c>
    </row>
    <row r="291" spans="2:27">
      <c r="B291" s="54" t="str">
        <f t="shared" si="40"/>
        <v/>
      </c>
      <c r="C291" t="str">
        <f>IFERROR(VLOOKUP(A291,Processor_DB_Intel!$A$1:'Processor_DB_Intel'!$D$422,4,FALSE),"")</f>
        <v/>
      </c>
      <c r="D291" t="str">
        <f>IFERROR(LEFT(VLOOKUP(A291,Processor_DB_Intel!$A$1:'Processor_DB_Intel'!$F$422,6,FALSE),3),"")</f>
        <v/>
      </c>
      <c r="E291" s="74" t="str">
        <f t="shared" si="41"/>
        <v/>
      </c>
      <c r="F291" s="56" t="str">
        <f t="shared" si="42"/>
        <v/>
      </c>
      <c r="G291" t="e">
        <f t="shared" si="43"/>
        <v>#VALUE!</v>
      </c>
      <c r="H291" t="e">
        <f t="shared" si="44"/>
        <v>#VALUE!</v>
      </c>
      <c r="I291" s="56" t="str">
        <f t="shared" si="45"/>
        <v/>
      </c>
      <c r="J291" s="58" t="str">
        <f t="shared" si="46"/>
        <v/>
      </c>
      <c r="L291">
        <f>MIN(SEARCH({0,1,2,3,4,5,6,7,8,9},K291&amp;"0123456789"))</f>
        <v>1</v>
      </c>
      <c r="M291" t="str">
        <f t="shared" si="47"/>
        <v/>
      </c>
      <c r="O291" s="71">
        <f t="shared" si="48"/>
        <v>0</v>
      </c>
      <c r="AA291" t="str">
        <f t="shared" si="49"/>
        <v/>
      </c>
    </row>
    <row r="292" spans="2:27">
      <c r="B292" s="54" t="str">
        <f t="shared" si="40"/>
        <v/>
      </c>
      <c r="C292" t="str">
        <f>IFERROR(VLOOKUP(A292,Processor_DB_Intel!$A$1:'Processor_DB_Intel'!$D$422,4,FALSE),"")</f>
        <v/>
      </c>
      <c r="D292" t="str">
        <f>IFERROR(LEFT(VLOOKUP(A292,Processor_DB_Intel!$A$1:'Processor_DB_Intel'!$F$422,6,FALSE),3),"")</f>
        <v/>
      </c>
      <c r="E292" s="74" t="str">
        <f t="shared" si="41"/>
        <v/>
      </c>
      <c r="F292" s="56" t="str">
        <f t="shared" si="42"/>
        <v/>
      </c>
      <c r="G292" t="e">
        <f t="shared" si="43"/>
        <v>#VALUE!</v>
      </c>
      <c r="H292" t="e">
        <f t="shared" si="44"/>
        <v>#VALUE!</v>
      </c>
      <c r="I292" s="56" t="str">
        <f t="shared" si="45"/>
        <v/>
      </c>
      <c r="J292" s="58" t="str">
        <f t="shared" si="46"/>
        <v/>
      </c>
      <c r="L292">
        <f>MIN(SEARCH({0,1,2,3,4,5,6,7,8,9},K292&amp;"0123456789"))</f>
        <v>1</v>
      </c>
      <c r="M292" t="str">
        <f t="shared" si="47"/>
        <v/>
      </c>
      <c r="O292" s="71">
        <f t="shared" si="48"/>
        <v>0</v>
      </c>
      <c r="AA292" t="str">
        <f t="shared" si="49"/>
        <v/>
      </c>
    </row>
    <row r="293" spans="2:27">
      <c r="B293" s="54" t="str">
        <f t="shared" si="40"/>
        <v/>
      </c>
      <c r="C293" t="str">
        <f>IFERROR(VLOOKUP(A293,Processor_DB_Intel!$A$1:'Processor_DB_Intel'!$D$422,4,FALSE),"")</f>
        <v/>
      </c>
      <c r="D293" t="str">
        <f>IFERROR(LEFT(VLOOKUP(A293,Processor_DB_Intel!$A$1:'Processor_DB_Intel'!$F$422,6,FALSE),3),"")</f>
        <v/>
      </c>
      <c r="E293" s="74" t="str">
        <f t="shared" si="41"/>
        <v/>
      </c>
      <c r="F293" s="56" t="str">
        <f t="shared" si="42"/>
        <v/>
      </c>
      <c r="G293" t="e">
        <f t="shared" si="43"/>
        <v>#VALUE!</v>
      </c>
      <c r="H293" t="e">
        <f t="shared" si="44"/>
        <v>#VALUE!</v>
      </c>
      <c r="I293" s="56" t="str">
        <f t="shared" si="45"/>
        <v/>
      </c>
      <c r="J293" s="58" t="str">
        <f t="shared" si="46"/>
        <v/>
      </c>
      <c r="L293">
        <f>MIN(SEARCH({0,1,2,3,4,5,6,7,8,9},K293&amp;"0123456789"))</f>
        <v>1</v>
      </c>
      <c r="M293" t="str">
        <f t="shared" si="47"/>
        <v/>
      </c>
      <c r="O293" s="71">
        <f t="shared" si="48"/>
        <v>0</v>
      </c>
      <c r="AA293" t="str">
        <f t="shared" si="49"/>
        <v/>
      </c>
    </row>
    <row r="294" spans="2:27">
      <c r="B294" s="54" t="str">
        <f t="shared" si="40"/>
        <v/>
      </c>
      <c r="C294" t="str">
        <f>IFERROR(VLOOKUP(A294,Processor_DB_Intel!$A$1:'Processor_DB_Intel'!$D$422,4,FALSE),"")</f>
        <v/>
      </c>
      <c r="D294" t="str">
        <f>IFERROR(LEFT(VLOOKUP(A294,Processor_DB_Intel!$A$1:'Processor_DB_Intel'!$F$422,6,FALSE),3),"")</f>
        <v/>
      </c>
      <c r="E294" s="74" t="str">
        <f t="shared" si="41"/>
        <v/>
      </c>
      <c r="F294" s="56" t="str">
        <f t="shared" si="42"/>
        <v/>
      </c>
      <c r="G294" t="e">
        <f t="shared" si="43"/>
        <v>#VALUE!</v>
      </c>
      <c r="H294" t="e">
        <f t="shared" si="44"/>
        <v>#VALUE!</v>
      </c>
      <c r="I294" s="56" t="str">
        <f t="shared" si="45"/>
        <v/>
      </c>
      <c r="J294" s="58" t="str">
        <f t="shared" si="46"/>
        <v/>
      </c>
      <c r="L294">
        <f>MIN(SEARCH({0,1,2,3,4,5,6,7,8,9},K294&amp;"0123456789"))</f>
        <v>1</v>
      </c>
      <c r="M294" t="str">
        <f t="shared" si="47"/>
        <v/>
      </c>
      <c r="O294" s="71">
        <f t="shared" si="48"/>
        <v>0</v>
      </c>
      <c r="AA294" t="str">
        <f t="shared" si="49"/>
        <v/>
      </c>
    </row>
    <row r="295" spans="2:27">
      <c r="B295" s="54" t="str">
        <f t="shared" si="40"/>
        <v/>
      </c>
      <c r="C295" t="str">
        <f>IFERROR(VLOOKUP(A295,Processor_DB_Intel!$A$1:'Processor_DB_Intel'!$D$422,4,FALSE),"")</f>
        <v/>
      </c>
      <c r="D295" t="str">
        <f>IFERROR(LEFT(VLOOKUP(A295,Processor_DB_Intel!$A$1:'Processor_DB_Intel'!$F$422,6,FALSE),3),"")</f>
        <v/>
      </c>
      <c r="E295" s="74" t="str">
        <f t="shared" si="41"/>
        <v/>
      </c>
      <c r="F295" s="56" t="str">
        <f t="shared" si="42"/>
        <v/>
      </c>
      <c r="G295" t="e">
        <f t="shared" si="43"/>
        <v>#VALUE!</v>
      </c>
      <c r="H295" t="e">
        <f t="shared" si="44"/>
        <v>#VALUE!</v>
      </c>
      <c r="I295" s="56" t="str">
        <f t="shared" si="45"/>
        <v/>
      </c>
      <c r="J295" s="58" t="str">
        <f t="shared" si="46"/>
        <v/>
      </c>
      <c r="L295">
        <f>MIN(SEARCH({0,1,2,3,4,5,6,7,8,9},K295&amp;"0123456789"))</f>
        <v>1</v>
      </c>
      <c r="M295" t="str">
        <f t="shared" si="47"/>
        <v/>
      </c>
      <c r="O295" s="71">
        <f t="shared" si="48"/>
        <v>0</v>
      </c>
      <c r="AA295" t="str">
        <f t="shared" si="49"/>
        <v/>
      </c>
    </row>
    <row r="296" spans="2:27">
      <c r="B296" s="54" t="str">
        <f t="shared" si="40"/>
        <v/>
      </c>
      <c r="C296" t="str">
        <f>IFERROR(VLOOKUP(A296,Processor_DB_Intel!$A$1:'Processor_DB_Intel'!$D$422,4,FALSE),"")</f>
        <v/>
      </c>
      <c r="D296" t="str">
        <f>IFERROR(LEFT(VLOOKUP(A296,Processor_DB_Intel!$A$1:'Processor_DB_Intel'!$F$422,6,FALSE),3),"")</f>
        <v/>
      </c>
      <c r="E296" s="74" t="str">
        <f t="shared" si="41"/>
        <v/>
      </c>
      <c r="F296" s="56" t="str">
        <f t="shared" si="42"/>
        <v/>
      </c>
      <c r="G296" t="e">
        <f t="shared" si="43"/>
        <v>#VALUE!</v>
      </c>
      <c r="H296" t="e">
        <f t="shared" si="44"/>
        <v>#VALUE!</v>
      </c>
      <c r="I296" s="56" t="str">
        <f t="shared" si="45"/>
        <v/>
      </c>
      <c r="J296" s="58" t="str">
        <f t="shared" si="46"/>
        <v/>
      </c>
      <c r="L296">
        <f>MIN(SEARCH({0,1,2,3,4,5,6,7,8,9},K296&amp;"0123456789"))</f>
        <v>1</v>
      </c>
      <c r="M296" t="str">
        <f t="shared" si="47"/>
        <v/>
      </c>
      <c r="O296" s="71">
        <f t="shared" si="48"/>
        <v>0</v>
      </c>
      <c r="AA296" t="str">
        <f t="shared" si="49"/>
        <v/>
      </c>
    </row>
    <row r="297" spans="2:27">
      <c r="B297" s="54" t="str">
        <f t="shared" si="40"/>
        <v/>
      </c>
      <c r="C297" t="str">
        <f>IFERROR(VLOOKUP(A297,Processor_DB_Intel!$A$1:'Processor_DB_Intel'!$D$422,4,FALSE),"")</f>
        <v/>
      </c>
      <c r="D297" t="str">
        <f>IFERROR(LEFT(VLOOKUP(A297,Processor_DB_Intel!$A$1:'Processor_DB_Intel'!$F$422,6,FALSE),3),"")</f>
        <v/>
      </c>
      <c r="E297" s="74" t="str">
        <f t="shared" si="41"/>
        <v/>
      </c>
      <c r="F297" s="56" t="str">
        <f t="shared" si="42"/>
        <v/>
      </c>
      <c r="G297" t="e">
        <f t="shared" si="43"/>
        <v>#VALUE!</v>
      </c>
      <c r="H297" t="e">
        <f t="shared" si="44"/>
        <v>#VALUE!</v>
      </c>
      <c r="I297" s="56" t="str">
        <f t="shared" si="45"/>
        <v/>
      </c>
      <c r="J297" s="58" t="str">
        <f t="shared" si="46"/>
        <v/>
      </c>
      <c r="L297">
        <f>MIN(SEARCH({0,1,2,3,4,5,6,7,8,9},K297&amp;"0123456789"))</f>
        <v>1</v>
      </c>
      <c r="M297" t="str">
        <f t="shared" si="47"/>
        <v/>
      </c>
      <c r="O297" s="71">
        <f t="shared" si="48"/>
        <v>0</v>
      </c>
      <c r="AA297" t="str">
        <f t="shared" si="49"/>
        <v/>
      </c>
    </row>
    <row r="298" spans="2:27">
      <c r="B298" s="54" t="str">
        <f t="shared" si="40"/>
        <v/>
      </c>
      <c r="C298" t="str">
        <f>IFERROR(VLOOKUP(A298,Processor_DB_Intel!$A$1:'Processor_DB_Intel'!$D$422,4,FALSE),"")</f>
        <v/>
      </c>
      <c r="D298" t="str">
        <f>IFERROR(LEFT(VLOOKUP(A298,Processor_DB_Intel!$A$1:'Processor_DB_Intel'!$F$422,6,FALSE),3),"")</f>
        <v/>
      </c>
      <c r="E298" s="74" t="str">
        <f t="shared" si="41"/>
        <v/>
      </c>
      <c r="F298" s="56" t="str">
        <f t="shared" si="42"/>
        <v/>
      </c>
      <c r="G298" t="e">
        <f t="shared" si="43"/>
        <v>#VALUE!</v>
      </c>
      <c r="H298" t="e">
        <f t="shared" si="44"/>
        <v>#VALUE!</v>
      </c>
      <c r="I298" s="56" t="str">
        <f t="shared" si="45"/>
        <v/>
      </c>
      <c r="J298" s="58" t="str">
        <f t="shared" si="46"/>
        <v/>
      </c>
      <c r="L298">
        <f>MIN(SEARCH({0,1,2,3,4,5,6,7,8,9},K298&amp;"0123456789"))</f>
        <v>1</v>
      </c>
      <c r="M298" t="str">
        <f t="shared" si="47"/>
        <v/>
      </c>
      <c r="O298" s="71">
        <f t="shared" si="48"/>
        <v>0</v>
      </c>
      <c r="AA298" t="str">
        <f t="shared" si="49"/>
        <v/>
      </c>
    </row>
    <row r="299" spans="2:27">
      <c r="B299" s="54" t="str">
        <f t="shared" si="40"/>
        <v/>
      </c>
      <c r="C299" t="str">
        <f>IFERROR(VLOOKUP(A299,Processor_DB_Intel!$A$1:'Processor_DB_Intel'!$D$422,4,FALSE),"")</f>
        <v/>
      </c>
      <c r="D299" t="str">
        <f>IFERROR(LEFT(VLOOKUP(A299,Processor_DB_Intel!$A$1:'Processor_DB_Intel'!$F$422,6,FALSE),3),"")</f>
        <v/>
      </c>
      <c r="E299" s="74" t="str">
        <f t="shared" si="41"/>
        <v/>
      </c>
      <c r="F299" s="56" t="str">
        <f t="shared" si="42"/>
        <v/>
      </c>
      <c r="G299" t="e">
        <f t="shared" si="43"/>
        <v>#VALUE!</v>
      </c>
      <c r="H299" t="e">
        <f t="shared" si="44"/>
        <v>#VALUE!</v>
      </c>
      <c r="I299" s="56" t="str">
        <f t="shared" si="45"/>
        <v/>
      </c>
      <c r="J299" s="58" t="str">
        <f t="shared" si="46"/>
        <v/>
      </c>
      <c r="L299">
        <f>MIN(SEARCH({0,1,2,3,4,5,6,7,8,9},K299&amp;"0123456789"))</f>
        <v>1</v>
      </c>
      <c r="M299" t="str">
        <f t="shared" si="47"/>
        <v/>
      </c>
      <c r="O299" s="71">
        <f t="shared" si="48"/>
        <v>0</v>
      </c>
      <c r="AA299" t="str">
        <f t="shared" si="49"/>
        <v/>
      </c>
    </row>
    <row r="300" spans="2:27">
      <c r="B300" s="54" t="str">
        <f t="shared" si="40"/>
        <v/>
      </c>
      <c r="C300" t="str">
        <f>IFERROR(VLOOKUP(A300,Processor_DB_Intel!$A$1:'Processor_DB_Intel'!$D$422,4,FALSE),"")</f>
        <v/>
      </c>
      <c r="D300" t="str">
        <f>IFERROR(LEFT(VLOOKUP(A300,Processor_DB_Intel!$A$1:'Processor_DB_Intel'!$F$422,6,FALSE),3),"")</f>
        <v/>
      </c>
      <c r="E300" s="74" t="str">
        <f t="shared" si="41"/>
        <v/>
      </c>
      <c r="F300" s="56" t="str">
        <f t="shared" si="42"/>
        <v/>
      </c>
      <c r="G300" t="e">
        <f t="shared" si="43"/>
        <v>#VALUE!</v>
      </c>
      <c r="H300" t="e">
        <f t="shared" si="44"/>
        <v>#VALUE!</v>
      </c>
      <c r="I300" s="56" t="str">
        <f t="shared" si="45"/>
        <v/>
      </c>
      <c r="J300" s="58" t="str">
        <f t="shared" si="46"/>
        <v/>
      </c>
      <c r="L300">
        <f>MIN(SEARCH({0,1,2,3,4,5,6,7,8,9},K300&amp;"0123456789"))</f>
        <v>1</v>
      </c>
      <c r="M300" t="str">
        <f t="shared" si="47"/>
        <v/>
      </c>
      <c r="O300" s="71">
        <f t="shared" si="48"/>
        <v>0</v>
      </c>
      <c r="AA300" t="str">
        <f t="shared" si="49"/>
        <v/>
      </c>
    </row>
    <row r="301" spans="2:27">
      <c r="B301" s="54"/>
      <c r="E301" s="74" t="str">
        <f t="shared" si="41"/>
        <v/>
      </c>
      <c r="F301" s="56"/>
      <c r="I301" s="56"/>
    </row>
    <row r="302" spans="2:27">
      <c r="B302" s="54"/>
      <c r="E302" s="74" t="str">
        <f t="shared" si="41"/>
        <v/>
      </c>
      <c r="F302" s="56"/>
      <c r="I302" s="56"/>
    </row>
    <row r="303" spans="2:27">
      <c r="B303" s="54"/>
      <c r="E303" s="74" t="str">
        <f t="shared" si="41"/>
        <v/>
      </c>
      <c r="F303" s="56"/>
      <c r="I303" s="56"/>
    </row>
    <row r="304" spans="2:27">
      <c r="B304" s="54"/>
      <c r="E304" s="74" t="str">
        <f t="shared" si="41"/>
        <v/>
      </c>
      <c r="F304" s="56"/>
      <c r="I304" s="56"/>
    </row>
    <row r="305" spans="2:9">
      <c r="B305" s="54"/>
      <c r="E305" s="74" t="str">
        <f t="shared" si="41"/>
        <v/>
      </c>
      <c r="F305" s="56"/>
      <c r="I305" s="56"/>
    </row>
    <row r="306" spans="2:9">
      <c r="B306" s="54"/>
      <c r="E306" s="74" t="str">
        <f t="shared" si="41"/>
        <v/>
      </c>
      <c r="F306" s="56"/>
      <c r="I306" s="56"/>
    </row>
    <row r="307" spans="2:9">
      <c r="B307" s="54"/>
      <c r="E307" s="74" t="str">
        <f t="shared" si="41"/>
        <v/>
      </c>
      <c r="F307" s="56"/>
      <c r="I307" s="56"/>
    </row>
    <row r="308" spans="2:9">
      <c r="B308" s="54"/>
      <c r="E308" s="74" t="str">
        <f t="shared" si="41"/>
        <v/>
      </c>
      <c r="F308" s="56"/>
      <c r="I308" s="56"/>
    </row>
    <row r="309" spans="2:9">
      <c r="B309" s="54"/>
      <c r="E309" s="74" t="str">
        <f t="shared" si="41"/>
        <v/>
      </c>
      <c r="F309" s="56"/>
      <c r="I309" s="56"/>
    </row>
    <row r="310" spans="2:9">
      <c r="B310" s="54"/>
      <c r="E310" s="74" t="str">
        <f t="shared" si="41"/>
        <v/>
      </c>
      <c r="F310" s="56"/>
      <c r="I310" s="56"/>
    </row>
    <row r="311" spans="2:9">
      <c r="B311" s="54"/>
      <c r="E311" s="74" t="str">
        <f t="shared" si="41"/>
        <v/>
      </c>
      <c r="F311" s="56"/>
      <c r="I311" s="56"/>
    </row>
    <row r="312" spans="2:9">
      <c r="B312" s="54"/>
      <c r="E312" s="74" t="str">
        <f t="shared" si="41"/>
        <v/>
      </c>
      <c r="F312" s="56"/>
      <c r="I312" s="56"/>
    </row>
    <row r="313" spans="2:9">
      <c r="B313" s="54"/>
      <c r="E313" s="74" t="str">
        <f t="shared" si="41"/>
        <v/>
      </c>
      <c r="F313" s="56"/>
      <c r="I313" s="56"/>
    </row>
    <row r="314" spans="2:9">
      <c r="B314" s="54"/>
      <c r="E314" s="74" t="str">
        <f t="shared" si="41"/>
        <v/>
      </c>
      <c r="F314" s="56"/>
      <c r="I314" s="56"/>
    </row>
    <row r="315" spans="2:9">
      <c r="B315" s="54"/>
      <c r="E315" s="74" t="str">
        <f t="shared" si="41"/>
        <v/>
      </c>
      <c r="F315" s="56"/>
      <c r="I315" s="56"/>
    </row>
    <row r="316" spans="2:9">
      <c r="B316" s="54"/>
      <c r="E316" s="74" t="str">
        <f t="shared" si="41"/>
        <v/>
      </c>
      <c r="F316" s="56"/>
      <c r="I316" s="56"/>
    </row>
    <row r="317" spans="2:9">
      <c r="B317" s="54"/>
      <c r="E317" s="74" t="str">
        <f t="shared" si="41"/>
        <v/>
      </c>
      <c r="F317" s="56"/>
      <c r="I317" s="56"/>
    </row>
    <row r="318" spans="2:9">
      <c r="B318" s="54"/>
      <c r="E318" s="74" t="str">
        <f t="shared" si="41"/>
        <v/>
      </c>
      <c r="F318" s="56"/>
      <c r="I318" s="56"/>
    </row>
    <row r="319" spans="2:9">
      <c r="B319" s="54"/>
      <c r="E319" s="74" t="str">
        <f t="shared" si="41"/>
        <v/>
      </c>
      <c r="F319" s="56"/>
      <c r="I319" s="56"/>
    </row>
    <row r="320" spans="2:9">
      <c r="B320" s="54"/>
      <c r="E320" s="74" t="str">
        <f t="shared" si="41"/>
        <v/>
      </c>
      <c r="F320" s="56"/>
      <c r="I320" s="56"/>
    </row>
    <row r="321" spans="2:9">
      <c r="B321" s="54"/>
      <c r="E321" s="74" t="str">
        <f t="shared" si="41"/>
        <v/>
      </c>
      <c r="F321" s="56"/>
      <c r="I321" s="56"/>
    </row>
    <row r="322" spans="2:9">
      <c r="B322" s="54"/>
      <c r="E322" s="74" t="str">
        <f t="shared" si="41"/>
        <v/>
      </c>
      <c r="F322" s="56"/>
      <c r="I322" s="56"/>
    </row>
    <row r="323" spans="2:9">
      <c r="B323" s="54"/>
      <c r="E323" s="74" t="str">
        <f t="shared" si="41"/>
        <v/>
      </c>
      <c r="F323" s="56"/>
      <c r="I323" s="56"/>
    </row>
    <row r="324" spans="2:9">
      <c r="B324" s="54"/>
      <c r="E324" s="74" t="str">
        <f t="shared" si="41"/>
        <v/>
      </c>
      <c r="F324" s="56"/>
      <c r="I324" s="56"/>
    </row>
    <row r="325" spans="2:9">
      <c r="B325" s="54"/>
      <c r="E325" s="74" t="str">
        <f t="shared" ref="E325:E388" si="50">IF(O325 = 0,"",O325)</f>
        <v/>
      </c>
      <c r="F325" s="56"/>
      <c r="I325" s="56"/>
    </row>
    <row r="326" spans="2:9">
      <c r="B326" s="54"/>
      <c r="E326" s="74" t="str">
        <f t="shared" si="50"/>
        <v/>
      </c>
      <c r="F326" s="56"/>
      <c r="I326" s="56"/>
    </row>
    <row r="327" spans="2:9">
      <c r="B327" s="54"/>
      <c r="E327" s="74" t="str">
        <f t="shared" si="50"/>
        <v/>
      </c>
      <c r="F327" s="56"/>
      <c r="I327" s="56"/>
    </row>
    <row r="328" spans="2:9">
      <c r="B328" s="54"/>
      <c r="E328" s="74" t="str">
        <f t="shared" si="50"/>
        <v/>
      </c>
      <c r="F328" s="56"/>
      <c r="I328" s="56"/>
    </row>
    <row r="329" spans="2:9">
      <c r="B329" s="54"/>
      <c r="E329" s="74" t="str">
        <f t="shared" si="50"/>
        <v/>
      </c>
      <c r="F329" s="56"/>
      <c r="I329" s="56"/>
    </row>
    <row r="330" spans="2:9">
      <c r="B330" s="54"/>
      <c r="E330" s="74" t="str">
        <f t="shared" si="50"/>
        <v/>
      </c>
      <c r="F330" s="56"/>
      <c r="I330" s="56"/>
    </row>
    <row r="331" spans="2:9">
      <c r="B331" s="54"/>
      <c r="E331" s="74" t="str">
        <f t="shared" si="50"/>
        <v/>
      </c>
      <c r="F331" s="56"/>
      <c r="I331" s="56"/>
    </row>
    <row r="332" spans="2:9">
      <c r="B332" s="54"/>
      <c r="E332" s="74" t="str">
        <f t="shared" si="50"/>
        <v/>
      </c>
      <c r="F332" s="56"/>
      <c r="I332" s="56"/>
    </row>
    <row r="333" spans="2:9">
      <c r="B333" s="54"/>
      <c r="E333" s="74" t="str">
        <f t="shared" si="50"/>
        <v/>
      </c>
      <c r="F333" s="56"/>
      <c r="I333" s="56"/>
    </row>
    <row r="334" spans="2:9">
      <c r="B334" s="54"/>
      <c r="E334" s="74" t="str">
        <f t="shared" si="50"/>
        <v/>
      </c>
      <c r="F334" s="56"/>
      <c r="I334" s="56"/>
    </row>
    <row r="335" spans="2:9">
      <c r="B335" s="54"/>
      <c r="E335" s="74" t="str">
        <f t="shared" si="50"/>
        <v/>
      </c>
      <c r="F335" s="56"/>
      <c r="I335" s="56"/>
    </row>
    <row r="336" spans="2:9">
      <c r="B336" s="54"/>
      <c r="E336" s="74" t="str">
        <f t="shared" si="50"/>
        <v/>
      </c>
      <c r="F336" s="56"/>
      <c r="I336" s="56"/>
    </row>
    <row r="337" spans="2:9">
      <c r="B337" s="54"/>
      <c r="E337" s="74" t="str">
        <f t="shared" si="50"/>
        <v/>
      </c>
      <c r="F337" s="56"/>
      <c r="I337" s="56"/>
    </row>
    <row r="338" spans="2:9">
      <c r="B338" s="54"/>
      <c r="E338" s="74" t="str">
        <f t="shared" si="50"/>
        <v/>
      </c>
      <c r="F338" s="56"/>
      <c r="I338" s="56"/>
    </row>
    <row r="339" spans="2:9">
      <c r="B339" s="54"/>
      <c r="E339" s="74" t="str">
        <f t="shared" si="50"/>
        <v/>
      </c>
      <c r="F339" s="56"/>
      <c r="I339" s="56"/>
    </row>
    <row r="340" spans="2:9">
      <c r="B340" s="54"/>
      <c r="E340" s="74" t="str">
        <f t="shared" si="50"/>
        <v/>
      </c>
      <c r="F340" s="56"/>
      <c r="I340" s="56"/>
    </row>
    <row r="341" spans="2:9">
      <c r="B341" s="54"/>
      <c r="E341" s="74" t="str">
        <f t="shared" si="50"/>
        <v/>
      </c>
      <c r="F341" s="56"/>
      <c r="I341" s="56"/>
    </row>
    <row r="342" spans="2:9">
      <c r="B342" s="54"/>
      <c r="E342" s="74" t="str">
        <f t="shared" si="50"/>
        <v/>
      </c>
      <c r="F342" s="56"/>
      <c r="I342" s="56"/>
    </row>
    <row r="343" spans="2:9">
      <c r="B343" s="54"/>
      <c r="E343" s="74" t="str">
        <f t="shared" si="50"/>
        <v/>
      </c>
      <c r="F343" s="56"/>
      <c r="I343" s="56"/>
    </row>
    <row r="344" spans="2:9">
      <c r="B344" s="54"/>
      <c r="E344" s="74" t="str">
        <f t="shared" si="50"/>
        <v/>
      </c>
      <c r="F344" s="56"/>
      <c r="I344" s="56"/>
    </row>
    <row r="345" spans="2:9">
      <c r="B345" s="54"/>
      <c r="E345" s="74" t="str">
        <f t="shared" si="50"/>
        <v/>
      </c>
      <c r="F345" s="56"/>
      <c r="I345" s="56"/>
    </row>
    <row r="346" spans="2:9">
      <c r="B346" s="54"/>
      <c r="E346" s="74" t="str">
        <f t="shared" si="50"/>
        <v/>
      </c>
      <c r="F346" s="56"/>
      <c r="I346" s="56"/>
    </row>
    <row r="347" spans="2:9">
      <c r="B347" s="54"/>
      <c r="E347" s="74" t="str">
        <f t="shared" si="50"/>
        <v/>
      </c>
      <c r="F347" s="56"/>
      <c r="I347" s="56"/>
    </row>
    <row r="348" spans="2:9">
      <c r="B348" s="54"/>
      <c r="E348" s="74" t="str">
        <f t="shared" si="50"/>
        <v/>
      </c>
      <c r="F348" s="56"/>
      <c r="I348" s="56"/>
    </row>
    <row r="349" spans="2:9">
      <c r="B349" s="54"/>
      <c r="E349" s="74" t="str">
        <f t="shared" si="50"/>
        <v/>
      </c>
      <c r="F349" s="56"/>
      <c r="I349" s="56"/>
    </row>
    <row r="350" spans="2:9">
      <c r="B350" s="54"/>
      <c r="E350" s="74" t="str">
        <f t="shared" si="50"/>
        <v/>
      </c>
      <c r="F350" s="56"/>
      <c r="I350" s="56"/>
    </row>
    <row r="351" spans="2:9">
      <c r="B351" s="54"/>
      <c r="E351" s="74" t="str">
        <f t="shared" si="50"/>
        <v/>
      </c>
      <c r="F351" s="56"/>
      <c r="I351" s="56"/>
    </row>
    <row r="352" spans="2:9">
      <c r="B352" s="54"/>
      <c r="E352" s="74" t="str">
        <f t="shared" si="50"/>
        <v/>
      </c>
      <c r="F352" s="56"/>
      <c r="I352" s="56"/>
    </row>
    <row r="353" spans="2:9">
      <c r="B353" s="54"/>
      <c r="E353" s="74" t="str">
        <f t="shared" si="50"/>
        <v/>
      </c>
      <c r="F353" s="56"/>
      <c r="I353" s="56"/>
    </row>
    <row r="354" spans="2:9">
      <c r="B354" s="54"/>
      <c r="E354" s="74" t="str">
        <f t="shared" si="50"/>
        <v/>
      </c>
      <c r="F354" s="56"/>
      <c r="I354" s="56"/>
    </row>
    <row r="355" spans="2:9">
      <c r="B355" s="54"/>
      <c r="E355" s="74" t="str">
        <f t="shared" si="50"/>
        <v/>
      </c>
      <c r="F355" s="56"/>
      <c r="I355" s="56"/>
    </row>
    <row r="356" spans="2:9">
      <c r="B356" s="54"/>
      <c r="E356" s="74" t="str">
        <f t="shared" si="50"/>
        <v/>
      </c>
      <c r="F356" s="56"/>
      <c r="I356" s="56"/>
    </row>
    <row r="357" spans="2:9">
      <c r="B357" s="54"/>
      <c r="E357" s="74" t="str">
        <f t="shared" si="50"/>
        <v/>
      </c>
      <c r="F357" s="56"/>
      <c r="I357" s="56"/>
    </row>
    <row r="358" spans="2:9">
      <c r="B358" s="54"/>
      <c r="E358" s="74" t="str">
        <f t="shared" si="50"/>
        <v/>
      </c>
      <c r="F358" s="56"/>
      <c r="I358" s="56"/>
    </row>
    <row r="359" spans="2:9">
      <c r="B359" s="54"/>
      <c r="E359" s="74" t="str">
        <f t="shared" si="50"/>
        <v/>
      </c>
      <c r="F359" s="56"/>
      <c r="I359" s="56"/>
    </row>
    <row r="360" spans="2:9">
      <c r="B360" s="54"/>
      <c r="E360" s="74" t="str">
        <f t="shared" si="50"/>
        <v/>
      </c>
      <c r="F360" s="56"/>
      <c r="I360" s="56"/>
    </row>
    <row r="361" spans="2:9">
      <c r="B361" s="54"/>
      <c r="E361" s="74" t="str">
        <f t="shared" si="50"/>
        <v/>
      </c>
      <c r="F361" s="56"/>
      <c r="I361" s="56"/>
    </row>
    <row r="362" spans="2:9">
      <c r="B362" s="54"/>
      <c r="E362" s="74" t="str">
        <f t="shared" si="50"/>
        <v/>
      </c>
      <c r="F362" s="56"/>
      <c r="I362" s="56"/>
    </row>
    <row r="363" spans="2:9">
      <c r="B363" s="54"/>
      <c r="E363" s="74" t="str">
        <f t="shared" si="50"/>
        <v/>
      </c>
      <c r="F363" s="56"/>
      <c r="I363" s="56"/>
    </row>
    <row r="364" spans="2:9">
      <c r="B364" s="54"/>
      <c r="E364" s="74" t="str">
        <f t="shared" si="50"/>
        <v/>
      </c>
      <c r="F364" s="56"/>
      <c r="I364" s="56"/>
    </row>
    <row r="365" spans="2:9">
      <c r="B365" s="54"/>
      <c r="E365" s="74" t="str">
        <f t="shared" si="50"/>
        <v/>
      </c>
      <c r="F365" s="56"/>
      <c r="I365" s="56"/>
    </row>
    <row r="366" spans="2:9">
      <c r="B366" s="54"/>
      <c r="E366" s="74" t="str">
        <f t="shared" si="50"/>
        <v/>
      </c>
      <c r="F366" s="56"/>
      <c r="I366" s="56"/>
    </row>
    <row r="367" spans="2:9">
      <c r="B367" s="54"/>
      <c r="E367" s="74" t="str">
        <f t="shared" si="50"/>
        <v/>
      </c>
      <c r="F367" s="56"/>
      <c r="I367" s="56"/>
    </row>
    <row r="368" spans="2:9">
      <c r="B368" s="54"/>
      <c r="E368" s="74" t="str">
        <f t="shared" si="50"/>
        <v/>
      </c>
      <c r="F368" s="56"/>
      <c r="I368" s="56"/>
    </row>
    <row r="369" spans="2:9">
      <c r="B369" s="54"/>
      <c r="E369" s="74" t="str">
        <f t="shared" si="50"/>
        <v/>
      </c>
      <c r="F369" s="56"/>
      <c r="I369" s="56"/>
    </row>
    <row r="370" spans="2:9">
      <c r="B370" s="54"/>
      <c r="E370" s="74" t="str">
        <f t="shared" si="50"/>
        <v/>
      </c>
      <c r="F370" s="56"/>
      <c r="I370" s="56"/>
    </row>
    <row r="371" spans="2:9">
      <c r="B371" s="54"/>
      <c r="E371" s="74" t="str">
        <f t="shared" si="50"/>
        <v/>
      </c>
      <c r="F371" s="56"/>
      <c r="I371" s="56"/>
    </row>
    <row r="372" spans="2:9">
      <c r="B372" s="54"/>
      <c r="E372" s="74" t="str">
        <f t="shared" si="50"/>
        <v/>
      </c>
      <c r="F372" s="56"/>
      <c r="I372" s="56"/>
    </row>
    <row r="373" spans="2:9">
      <c r="B373" s="54"/>
      <c r="E373" s="74" t="str">
        <f t="shared" si="50"/>
        <v/>
      </c>
      <c r="F373" s="56"/>
      <c r="I373" s="56"/>
    </row>
    <row r="374" spans="2:9">
      <c r="B374" s="54"/>
      <c r="E374" s="74" t="str">
        <f t="shared" si="50"/>
        <v/>
      </c>
      <c r="F374" s="56"/>
      <c r="I374" s="56"/>
    </row>
    <row r="375" spans="2:9">
      <c r="B375" s="54"/>
      <c r="E375" s="74" t="str">
        <f t="shared" si="50"/>
        <v/>
      </c>
      <c r="F375" s="56"/>
      <c r="I375" s="56"/>
    </row>
    <row r="376" spans="2:9">
      <c r="B376" s="54"/>
      <c r="E376" s="74" t="str">
        <f t="shared" si="50"/>
        <v/>
      </c>
      <c r="F376" s="56"/>
      <c r="I376" s="56"/>
    </row>
    <row r="377" spans="2:9">
      <c r="B377" s="54"/>
      <c r="E377" s="74" t="str">
        <f t="shared" si="50"/>
        <v/>
      </c>
      <c r="F377" s="56"/>
      <c r="I377" s="56"/>
    </row>
    <row r="378" spans="2:9">
      <c r="B378" s="54"/>
      <c r="E378" s="74" t="str">
        <f t="shared" si="50"/>
        <v/>
      </c>
      <c r="F378" s="56"/>
      <c r="I378" s="56"/>
    </row>
    <row r="379" spans="2:9">
      <c r="B379" s="54"/>
      <c r="E379" s="74" t="str">
        <f t="shared" si="50"/>
        <v/>
      </c>
      <c r="F379" s="56"/>
      <c r="I379" s="56"/>
    </row>
    <row r="380" spans="2:9">
      <c r="B380" s="54"/>
      <c r="E380" s="74" t="str">
        <f t="shared" si="50"/>
        <v/>
      </c>
      <c r="F380" s="56"/>
      <c r="I380" s="56"/>
    </row>
    <row r="381" spans="2:9">
      <c r="B381" s="54"/>
      <c r="E381" s="74" t="str">
        <f t="shared" si="50"/>
        <v/>
      </c>
      <c r="F381" s="56"/>
      <c r="I381" s="56"/>
    </row>
    <row r="382" spans="2:9">
      <c r="B382" s="54"/>
      <c r="E382" s="74" t="str">
        <f t="shared" si="50"/>
        <v/>
      </c>
      <c r="F382" s="56"/>
      <c r="I382" s="56"/>
    </row>
    <row r="383" spans="2:9">
      <c r="B383" s="54"/>
      <c r="E383" s="74" t="str">
        <f t="shared" si="50"/>
        <v/>
      </c>
      <c r="F383" s="56"/>
      <c r="I383" s="56"/>
    </row>
    <row r="384" spans="2:9">
      <c r="B384" s="54"/>
      <c r="E384" s="74" t="str">
        <f t="shared" si="50"/>
        <v/>
      </c>
      <c r="F384" s="56"/>
      <c r="I384" s="56"/>
    </row>
    <row r="385" spans="2:9">
      <c r="B385" s="54"/>
      <c r="E385" s="74" t="str">
        <f t="shared" si="50"/>
        <v/>
      </c>
      <c r="F385" s="56"/>
      <c r="I385" s="56"/>
    </row>
    <row r="386" spans="2:9">
      <c r="B386" s="54"/>
      <c r="E386" s="74" t="str">
        <f t="shared" si="50"/>
        <v/>
      </c>
      <c r="F386" s="56"/>
      <c r="I386" s="56"/>
    </row>
    <row r="387" spans="2:9">
      <c r="B387" s="54"/>
      <c r="E387" s="74" t="str">
        <f t="shared" si="50"/>
        <v/>
      </c>
      <c r="F387" s="56"/>
      <c r="I387" s="56"/>
    </row>
    <row r="388" spans="2:9">
      <c r="B388" s="54"/>
      <c r="E388" s="74" t="str">
        <f t="shared" si="50"/>
        <v/>
      </c>
      <c r="F388" s="56"/>
      <c r="I388" s="56"/>
    </row>
    <row r="389" spans="2:9">
      <c r="B389" s="54"/>
      <c r="E389" s="74" t="str">
        <f t="shared" ref="E389:E452" si="51">IF(O389 = 0,"",O389)</f>
        <v/>
      </c>
      <c r="F389" s="56"/>
      <c r="I389" s="56"/>
    </row>
    <row r="390" spans="2:9">
      <c r="B390" s="54"/>
      <c r="E390" s="74" t="str">
        <f t="shared" si="51"/>
        <v/>
      </c>
      <c r="F390" s="56"/>
      <c r="I390" s="56"/>
    </row>
    <row r="391" spans="2:9">
      <c r="B391" s="54"/>
      <c r="E391" s="74" t="str">
        <f t="shared" si="51"/>
        <v/>
      </c>
      <c r="F391" s="56"/>
      <c r="I391" s="56"/>
    </row>
    <row r="392" spans="2:9">
      <c r="B392" s="54"/>
      <c r="E392" s="74" t="str">
        <f t="shared" si="51"/>
        <v/>
      </c>
      <c r="F392" s="56"/>
      <c r="I392" s="56"/>
    </row>
    <row r="393" spans="2:9">
      <c r="B393" s="54"/>
      <c r="E393" s="74" t="str">
        <f t="shared" si="51"/>
        <v/>
      </c>
      <c r="F393" s="56"/>
      <c r="I393" s="56"/>
    </row>
    <row r="394" spans="2:9">
      <c r="B394" s="54"/>
      <c r="E394" s="74" t="str">
        <f t="shared" si="51"/>
        <v/>
      </c>
      <c r="F394" s="56"/>
      <c r="I394" s="56"/>
    </row>
    <row r="395" spans="2:9">
      <c r="B395" s="54"/>
      <c r="E395" s="74" t="str">
        <f t="shared" si="51"/>
        <v/>
      </c>
      <c r="F395" s="56"/>
      <c r="I395" s="56"/>
    </row>
    <row r="396" spans="2:9">
      <c r="B396" s="54"/>
      <c r="E396" s="74" t="str">
        <f t="shared" si="51"/>
        <v/>
      </c>
      <c r="F396" s="56"/>
      <c r="I396" s="56"/>
    </row>
    <row r="397" spans="2:9">
      <c r="B397" s="54"/>
      <c r="E397" s="74" t="str">
        <f t="shared" si="51"/>
        <v/>
      </c>
      <c r="F397" s="56"/>
      <c r="I397" s="56"/>
    </row>
    <row r="398" spans="2:9">
      <c r="B398" s="54"/>
      <c r="E398" s="74" t="str">
        <f t="shared" si="51"/>
        <v/>
      </c>
      <c r="F398" s="56"/>
      <c r="I398" s="56"/>
    </row>
    <row r="399" spans="2:9">
      <c r="B399" s="54"/>
      <c r="E399" s="74" t="str">
        <f t="shared" si="51"/>
        <v/>
      </c>
      <c r="F399" s="56"/>
      <c r="I399" s="56"/>
    </row>
    <row r="400" spans="2:9">
      <c r="B400" s="54"/>
      <c r="E400" s="74" t="str">
        <f t="shared" si="51"/>
        <v/>
      </c>
      <c r="F400" s="56"/>
      <c r="I400" s="56"/>
    </row>
    <row r="401" spans="2:9">
      <c r="B401" s="54"/>
      <c r="E401" s="74" t="str">
        <f t="shared" si="51"/>
        <v/>
      </c>
      <c r="F401" s="56"/>
      <c r="I401" s="56"/>
    </row>
    <row r="402" spans="2:9">
      <c r="B402" s="54"/>
      <c r="E402" s="74" t="str">
        <f t="shared" si="51"/>
        <v/>
      </c>
      <c r="F402" s="56"/>
      <c r="I402" s="56"/>
    </row>
    <row r="403" spans="2:9">
      <c r="B403" s="54"/>
      <c r="E403" s="74" t="str">
        <f t="shared" si="51"/>
        <v/>
      </c>
      <c r="F403" s="56"/>
      <c r="I403" s="56"/>
    </row>
    <row r="404" spans="2:9">
      <c r="B404" s="54"/>
      <c r="E404" s="74" t="str">
        <f t="shared" si="51"/>
        <v/>
      </c>
      <c r="F404" s="56"/>
      <c r="I404" s="56"/>
    </row>
    <row r="405" spans="2:9">
      <c r="B405" s="54"/>
      <c r="E405" s="74" t="str">
        <f t="shared" si="51"/>
        <v/>
      </c>
      <c r="F405" s="56"/>
      <c r="I405" s="56"/>
    </row>
    <row r="406" spans="2:9">
      <c r="B406" s="54"/>
      <c r="E406" s="74" t="str">
        <f t="shared" si="51"/>
        <v/>
      </c>
      <c r="F406" s="56"/>
      <c r="I406" s="56"/>
    </row>
    <row r="407" spans="2:9">
      <c r="B407" s="54"/>
      <c r="E407" s="74" t="str">
        <f t="shared" si="51"/>
        <v/>
      </c>
      <c r="F407" s="56"/>
      <c r="I407" s="56"/>
    </row>
    <row r="408" spans="2:9">
      <c r="B408" s="54"/>
      <c r="E408" s="74" t="str">
        <f t="shared" si="51"/>
        <v/>
      </c>
      <c r="F408" s="56"/>
      <c r="I408" s="56"/>
    </row>
    <row r="409" spans="2:9">
      <c r="B409" s="54"/>
      <c r="E409" s="74" t="str">
        <f t="shared" si="51"/>
        <v/>
      </c>
      <c r="F409" s="56"/>
      <c r="I409" s="56"/>
    </row>
    <row r="410" spans="2:9">
      <c r="B410" s="54"/>
      <c r="E410" s="74" t="str">
        <f t="shared" si="51"/>
        <v/>
      </c>
      <c r="F410" s="56"/>
      <c r="I410" s="56"/>
    </row>
    <row r="411" spans="2:9">
      <c r="B411" s="54"/>
      <c r="E411" s="74" t="str">
        <f t="shared" si="51"/>
        <v/>
      </c>
      <c r="F411" s="56"/>
      <c r="I411" s="56"/>
    </row>
    <row r="412" spans="2:9">
      <c r="B412" s="54"/>
      <c r="E412" s="74" t="str">
        <f t="shared" si="51"/>
        <v/>
      </c>
      <c r="F412" s="56"/>
      <c r="I412" s="56"/>
    </row>
    <row r="413" spans="2:9">
      <c r="B413" s="54"/>
      <c r="E413" s="74" t="str">
        <f t="shared" si="51"/>
        <v/>
      </c>
      <c r="F413" s="56"/>
      <c r="I413" s="56"/>
    </row>
    <row r="414" spans="2:9">
      <c r="B414" s="54"/>
      <c r="E414" s="74" t="str">
        <f t="shared" si="51"/>
        <v/>
      </c>
      <c r="F414" s="56"/>
      <c r="I414" s="56"/>
    </row>
    <row r="415" spans="2:9">
      <c r="B415" s="54"/>
      <c r="E415" s="74" t="str">
        <f t="shared" si="51"/>
        <v/>
      </c>
      <c r="F415" s="56"/>
      <c r="I415" s="56"/>
    </row>
    <row r="416" spans="2:9">
      <c r="B416" s="54"/>
      <c r="E416" s="74" t="str">
        <f t="shared" si="51"/>
        <v/>
      </c>
      <c r="F416" s="56"/>
      <c r="I416" s="56"/>
    </row>
    <row r="417" spans="2:9">
      <c r="B417" s="54"/>
      <c r="E417" s="74" t="str">
        <f t="shared" si="51"/>
        <v/>
      </c>
      <c r="F417" s="56"/>
      <c r="I417" s="56"/>
    </row>
    <row r="418" spans="2:9">
      <c r="B418" s="54"/>
      <c r="E418" s="74" t="str">
        <f t="shared" si="51"/>
        <v/>
      </c>
      <c r="F418" s="56"/>
      <c r="I418" s="56"/>
    </row>
    <row r="419" spans="2:9">
      <c r="B419" s="54"/>
      <c r="E419" s="74" t="str">
        <f t="shared" si="51"/>
        <v/>
      </c>
      <c r="F419" s="56"/>
      <c r="I419" s="56"/>
    </row>
    <row r="420" spans="2:9">
      <c r="B420" s="54"/>
      <c r="E420" s="74" t="str">
        <f t="shared" si="51"/>
        <v/>
      </c>
      <c r="F420" s="56"/>
      <c r="I420" s="56"/>
    </row>
    <row r="421" spans="2:9">
      <c r="B421" s="54"/>
      <c r="E421" s="74" t="str">
        <f t="shared" si="51"/>
        <v/>
      </c>
      <c r="F421" s="56"/>
      <c r="I421" s="56"/>
    </row>
    <row r="422" spans="2:9">
      <c r="B422" s="54"/>
      <c r="E422" s="74" t="str">
        <f t="shared" si="51"/>
        <v/>
      </c>
      <c r="F422" s="56"/>
      <c r="I422" s="56"/>
    </row>
    <row r="423" spans="2:9">
      <c r="B423" s="54"/>
      <c r="E423" s="74" t="str">
        <f t="shared" si="51"/>
        <v/>
      </c>
      <c r="F423" s="56"/>
      <c r="I423" s="56"/>
    </row>
    <row r="424" spans="2:9">
      <c r="B424" s="54"/>
      <c r="E424" s="74" t="str">
        <f t="shared" si="51"/>
        <v/>
      </c>
      <c r="F424" s="56"/>
      <c r="I424" s="56"/>
    </row>
    <row r="425" spans="2:9">
      <c r="B425" s="54"/>
      <c r="E425" s="74" t="str">
        <f t="shared" si="51"/>
        <v/>
      </c>
      <c r="F425" s="56"/>
      <c r="I425" s="56"/>
    </row>
    <row r="426" spans="2:9">
      <c r="B426" s="54"/>
      <c r="E426" s="74" t="str">
        <f t="shared" si="51"/>
        <v/>
      </c>
      <c r="F426" s="56"/>
      <c r="I426" s="56"/>
    </row>
    <row r="427" spans="2:9">
      <c r="B427" s="54"/>
      <c r="E427" s="74" t="str">
        <f t="shared" si="51"/>
        <v/>
      </c>
      <c r="F427" s="56"/>
      <c r="I427" s="56"/>
    </row>
    <row r="428" spans="2:9">
      <c r="B428" s="54"/>
      <c r="E428" s="74" t="str">
        <f t="shared" si="51"/>
        <v/>
      </c>
      <c r="F428" s="56"/>
      <c r="I428" s="56"/>
    </row>
    <row r="429" spans="2:9">
      <c r="B429" s="54"/>
      <c r="E429" s="74" t="str">
        <f t="shared" si="51"/>
        <v/>
      </c>
      <c r="F429" s="56"/>
      <c r="I429" s="56"/>
    </row>
    <row r="430" spans="2:9">
      <c r="B430" s="54"/>
      <c r="E430" s="74" t="str">
        <f t="shared" si="51"/>
        <v/>
      </c>
      <c r="F430" s="56"/>
      <c r="I430" s="56"/>
    </row>
    <row r="431" spans="2:9">
      <c r="B431" s="54"/>
      <c r="E431" s="74" t="str">
        <f t="shared" si="51"/>
        <v/>
      </c>
      <c r="F431" s="56"/>
      <c r="I431" s="56"/>
    </row>
    <row r="432" spans="2:9">
      <c r="B432" s="54"/>
      <c r="E432" s="74" t="str">
        <f t="shared" si="51"/>
        <v/>
      </c>
      <c r="F432" s="56"/>
      <c r="I432" s="56"/>
    </row>
    <row r="433" spans="2:9">
      <c r="B433" s="54"/>
      <c r="E433" s="74" t="str">
        <f t="shared" si="51"/>
        <v/>
      </c>
      <c r="F433" s="56"/>
      <c r="I433" s="56"/>
    </row>
    <row r="434" spans="2:9">
      <c r="B434" s="54"/>
      <c r="E434" s="74" t="str">
        <f t="shared" si="51"/>
        <v/>
      </c>
      <c r="F434" s="56"/>
      <c r="I434" s="56"/>
    </row>
    <row r="435" spans="2:9">
      <c r="B435" s="54"/>
      <c r="E435" s="74" t="str">
        <f t="shared" si="51"/>
        <v/>
      </c>
      <c r="F435" s="56"/>
      <c r="I435" s="56"/>
    </row>
    <row r="436" spans="2:9">
      <c r="B436" s="54"/>
      <c r="E436" s="74" t="str">
        <f t="shared" si="51"/>
        <v/>
      </c>
      <c r="F436" s="56"/>
      <c r="I436" s="56"/>
    </row>
    <row r="437" spans="2:9">
      <c r="B437" s="54"/>
      <c r="E437" s="74" t="str">
        <f t="shared" si="51"/>
        <v/>
      </c>
      <c r="F437" s="56"/>
      <c r="I437" s="56"/>
    </row>
    <row r="438" spans="2:9">
      <c r="B438" s="54"/>
      <c r="E438" s="74" t="str">
        <f t="shared" si="51"/>
        <v/>
      </c>
      <c r="F438" s="56"/>
      <c r="I438" s="56"/>
    </row>
    <row r="439" spans="2:9">
      <c r="B439" s="54"/>
      <c r="E439" s="74" t="str">
        <f t="shared" si="51"/>
        <v/>
      </c>
      <c r="F439" s="56"/>
      <c r="I439" s="56"/>
    </row>
    <row r="440" spans="2:9">
      <c r="B440" s="54"/>
      <c r="E440" s="74" t="str">
        <f t="shared" si="51"/>
        <v/>
      </c>
      <c r="F440" s="56"/>
      <c r="I440" s="56"/>
    </row>
    <row r="441" spans="2:9">
      <c r="B441" s="54"/>
      <c r="E441" s="74" t="str">
        <f t="shared" si="51"/>
        <v/>
      </c>
      <c r="F441" s="56"/>
      <c r="I441" s="56"/>
    </row>
    <row r="442" spans="2:9">
      <c r="B442" s="54"/>
      <c r="E442" s="74" t="str">
        <f t="shared" si="51"/>
        <v/>
      </c>
      <c r="F442" s="56"/>
      <c r="I442" s="56"/>
    </row>
    <row r="443" spans="2:9">
      <c r="B443" s="54"/>
      <c r="E443" s="74" t="str">
        <f t="shared" si="51"/>
        <v/>
      </c>
      <c r="F443" s="56"/>
      <c r="I443" s="56"/>
    </row>
    <row r="444" spans="2:9">
      <c r="B444" s="54"/>
      <c r="E444" s="74" t="str">
        <f t="shared" si="51"/>
        <v/>
      </c>
      <c r="F444" s="56"/>
      <c r="I444" s="56"/>
    </row>
    <row r="445" spans="2:9">
      <c r="B445" s="54"/>
      <c r="E445" s="74" t="str">
        <f t="shared" si="51"/>
        <v/>
      </c>
      <c r="F445" s="56"/>
      <c r="I445" s="56"/>
    </row>
    <row r="446" spans="2:9">
      <c r="B446" s="54"/>
      <c r="E446" s="74" t="str">
        <f t="shared" si="51"/>
        <v/>
      </c>
      <c r="F446" s="56"/>
      <c r="I446" s="56"/>
    </row>
    <row r="447" spans="2:9">
      <c r="B447" s="54"/>
      <c r="E447" s="74" t="str">
        <f t="shared" si="51"/>
        <v/>
      </c>
      <c r="F447" s="56"/>
      <c r="I447" s="56"/>
    </row>
    <row r="448" spans="2:9">
      <c r="B448" s="54"/>
      <c r="E448" s="74" t="str">
        <f t="shared" si="51"/>
        <v/>
      </c>
      <c r="F448" s="56"/>
      <c r="I448" s="56"/>
    </row>
    <row r="449" spans="2:9">
      <c r="B449" s="54"/>
      <c r="E449" s="74" t="str">
        <f t="shared" si="51"/>
        <v/>
      </c>
      <c r="F449" s="56"/>
      <c r="I449" s="56"/>
    </row>
    <row r="450" spans="2:9">
      <c r="B450" s="54"/>
      <c r="E450" s="74" t="str">
        <f t="shared" si="51"/>
        <v/>
      </c>
      <c r="F450" s="56"/>
      <c r="I450" s="56"/>
    </row>
    <row r="451" spans="2:9">
      <c r="B451" s="54"/>
      <c r="E451" s="74" t="str">
        <f t="shared" si="51"/>
        <v/>
      </c>
      <c r="F451" s="56"/>
      <c r="I451" s="56"/>
    </row>
    <row r="452" spans="2:9">
      <c r="B452" s="54"/>
      <c r="E452" s="74" t="str">
        <f t="shared" si="51"/>
        <v/>
      </c>
      <c r="F452" s="56"/>
      <c r="I452" s="56"/>
    </row>
    <row r="453" spans="2:9">
      <c r="B453" s="54"/>
      <c r="E453" s="74" t="str">
        <f t="shared" ref="E453:E516" si="52">IF(O453 = 0,"",O453)</f>
        <v/>
      </c>
      <c r="F453" s="56"/>
      <c r="I453" s="56"/>
    </row>
    <row r="454" spans="2:9">
      <c r="B454" s="54"/>
      <c r="E454" s="74" t="str">
        <f t="shared" si="52"/>
        <v/>
      </c>
      <c r="F454" s="56"/>
      <c r="I454" s="56"/>
    </row>
    <row r="455" spans="2:9">
      <c r="B455" s="54"/>
      <c r="E455" s="74" t="str">
        <f t="shared" si="52"/>
        <v/>
      </c>
      <c r="F455" s="56"/>
      <c r="I455" s="56"/>
    </row>
    <row r="456" spans="2:9">
      <c r="B456" s="54"/>
      <c r="E456" s="74" t="str">
        <f t="shared" si="52"/>
        <v/>
      </c>
      <c r="F456" s="56"/>
      <c r="I456" s="56"/>
    </row>
    <row r="457" spans="2:9">
      <c r="B457" s="54"/>
      <c r="E457" s="74" t="str">
        <f t="shared" si="52"/>
        <v/>
      </c>
      <c r="F457" s="56"/>
      <c r="I457" s="56"/>
    </row>
    <row r="458" spans="2:9">
      <c r="B458" s="54"/>
      <c r="E458" s="74" t="str">
        <f t="shared" si="52"/>
        <v/>
      </c>
      <c r="F458" s="56"/>
      <c r="I458" s="56"/>
    </row>
    <row r="459" spans="2:9">
      <c r="B459" s="54"/>
      <c r="E459" s="74" t="str">
        <f t="shared" si="52"/>
        <v/>
      </c>
      <c r="F459" s="56"/>
      <c r="I459" s="56"/>
    </row>
    <row r="460" spans="2:9">
      <c r="B460" s="54"/>
      <c r="E460" s="74" t="str">
        <f t="shared" si="52"/>
        <v/>
      </c>
      <c r="F460" s="56"/>
      <c r="I460" s="56"/>
    </row>
    <row r="461" spans="2:9">
      <c r="B461" s="54"/>
      <c r="E461" s="74" t="str">
        <f t="shared" si="52"/>
        <v/>
      </c>
      <c r="F461" s="56"/>
      <c r="I461" s="56"/>
    </row>
    <row r="462" spans="2:9">
      <c r="B462" s="54"/>
      <c r="E462" s="74" t="str">
        <f t="shared" si="52"/>
        <v/>
      </c>
      <c r="F462" s="56"/>
      <c r="I462" s="56"/>
    </row>
    <row r="463" spans="2:9">
      <c r="B463" s="54"/>
      <c r="E463" s="74" t="str">
        <f t="shared" si="52"/>
        <v/>
      </c>
      <c r="F463" s="56"/>
      <c r="I463" s="56"/>
    </row>
    <row r="464" spans="2:9">
      <c r="B464" s="54"/>
      <c r="E464" s="74" t="str">
        <f t="shared" si="52"/>
        <v/>
      </c>
      <c r="F464" s="56"/>
      <c r="I464" s="56"/>
    </row>
    <row r="465" spans="2:9">
      <c r="B465" s="54"/>
      <c r="E465" s="74" t="str">
        <f t="shared" si="52"/>
        <v/>
      </c>
      <c r="F465" s="56"/>
      <c r="I465" s="56"/>
    </row>
    <row r="466" spans="2:9">
      <c r="B466" s="54"/>
      <c r="E466" s="74" t="str">
        <f t="shared" si="52"/>
        <v/>
      </c>
      <c r="F466" s="56"/>
      <c r="I466" s="56"/>
    </row>
    <row r="467" spans="2:9">
      <c r="B467" s="54"/>
      <c r="E467" s="74" t="str">
        <f t="shared" si="52"/>
        <v/>
      </c>
      <c r="F467" s="56"/>
      <c r="I467" s="56"/>
    </row>
    <row r="468" spans="2:9">
      <c r="B468" s="54"/>
      <c r="E468" s="74" t="str">
        <f t="shared" si="52"/>
        <v/>
      </c>
      <c r="F468" s="56"/>
      <c r="I468" s="56"/>
    </row>
    <row r="469" spans="2:9">
      <c r="B469" s="54"/>
      <c r="E469" s="74" t="str">
        <f t="shared" si="52"/>
        <v/>
      </c>
      <c r="F469" s="56"/>
      <c r="I469" s="56"/>
    </row>
    <row r="470" spans="2:9">
      <c r="B470" s="54"/>
      <c r="E470" s="74" t="str">
        <f t="shared" si="52"/>
        <v/>
      </c>
      <c r="F470" s="56"/>
      <c r="I470" s="56"/>
    </row>
    <row r="471" spans="2:9">
      <c r="B471" s="54"/>
      <c r="E471" s="74" t="str">
        <f t="shared" si="52"/>
        <v/>
      </c>
      <c r="F471" s="56"/>
      <c r="I471" s="56"/>
    </row>
    <row r="472" spans="2:9">
      <c r="B472" s="54"/>
      <c r="E472" s="74" t="str">
        <f t="shared" si="52"/>
        <v/>
      </c>
      <c r="F472" s="56"/>
      <c r="I472" s="56"/>
    </row>
    <row r="473" spans="2:9">
      <c r="B473" s="54"/>
      <c r="E473" s="74" t="str">
        <f t="shared" si="52"/>
        <v/>
      </c>
      <c r="F473" s="56"/>
      <c r="I473" s="56"/>
    </row>
    <row r="474" spans="2:9">
      <c r="B474" s="54"/>
      <c r="E474" s="74" t="str">
        <f t="shared" si="52"/>
        <v/>
      </c>
      <c r="F474" s="56"/>
      <c r="I474" s="56"/>
    </row>
    <row r="475" spans="2:9">
      <c r="B475" s="54"/>
      <c r="E475" s="74" t="str">
        <f t="shared" si="52"/>
        <v/>
      </c>
      <c r="F475" s="56"/>
      <c r="I475" s="56"/>
    </row>
    <row r="476" spans="2:9">
      <c r="B476" s="54"/>
      <c r="E476" s="74" t="str">
        <f t="shared" si="52"/>
        <v/>
      </c>
      <c r="F476" s="56"/>
      <c r="I476" s="56"/>
    </row>
    <row r="477" spans="2:9">
      <c r="B477" s="54"/>
      <c r="E477" s="74" t="str">
        <f t="shared" si="52"/>
        <v/>
      </c>
      <c r="F477" s="56"/>
      <c r="I477" s="56"/>
    </row>
    <row r="478" spans="2:9">
      <c r="B478" s="54"/>
      <c r="E478" s="74" t="str">
        <f t="shared" si="52"/>
        <v/>
      </c>
      <c r="F478" s="56"/>
      <c r="I478" s="56"/>
    </row>
    <row r="479" spans="2:9">
      <c r="B479" s="54"/>
      <c r="E479" s="74" t="str">
        <f t="shared" si="52"/>
        <v/>
      </c>
      <c r="F479" s="56"/>
      <c r="I479" s="56"/>
    </row>
    <row r="480" spans="2:9">
      <c r="B480" s="54"/>
      <c r="E480" s="74" t="str">
        <f t="shared" si="52"/>
        <v/>
      </c>
      <c r="F480" s="56"/>
      <c r="I480" s="56"/>
    </row>
    <row r="481" spans="2:9">
      <c r="B481" s="54"/>
      <c r="E481" s="74" t="str">
        <f t="shared" si="52"/>
        <v/>
      </c>
      <c r="F481" s="56"/>
      <c r="I481" s="56"/>
    </row>
    <row r="482" spans="2:9">
      <c r="B482" s="54"/>
      <c r="E482" s="74" t="str">
        <f t="shared" si="52"/>
        <v/>
      </c>
      <c r="F482" s="56"/>
      <c r="I482" s="56"/>
    </row>
    <row r="483" spans="2:9">
      <c r="B483" s="54"/>
      <c r="E483" s="74" t="str">
        <f t="shared" si="52"/>
        <v/>
      </c>
      <c r="F483" s="56"/>
      <c r="I483" s="56"/>
    </row>
    <row r="484" spans="2:9">
      <c r="B484" s="54"/>
      <c r="E484" s="74" t="str">
        <f t="shared" si="52"/>
        <v/>
      </c>
      <c r="F484" s="56"/>
      <c r="I484" s="56"/>
    </row>
    <row r="485" spans="2:9">
      <c r="B485" s="54"/>
      <c r="E485" s="74" t="str">
        <f t="shared" si="52"/>
        <v/>
      </c>
      <c r="F485" s="56"/>
      <c r="I485" s="56"/>
    </row>
    <row r="486" spans="2:9">
      <c r="B486" s="54"/>
      <c r="E486" s="74" t="str">
        <f t="shared" si="52"/>
        <v/>
      </c>
      <c r="F486" s="56"/>
      <c r="I486" s="56"/>
    </row>
    <row r="487" spans="2:9">
      <c r="B487" s="54"/>
      <c r="E487" s="74" t="str">
        <f t="shared" si="52"/>
        <v/>
      </c>
      <c r="F487" s="56"/>
      <c r="I487" s="56"/>
    </row>
    <row r="488" spans="2:9">
      <c r="B488" s="54"/>
      <c r="E488" s="74" t="str">
        <f t="shared" si="52"/>
        <v/>
      </c>
      <c r="F488" s="56"/>
      <c r="I488" s="56"/>
    </row>
    <row r="489" spans="2:9">
      <c r="B489" s="54"/>
      <c r="E489" s="74" t="str">
        <f t="shared" si="52"/>
        <v/>
      </c>
      <c r="F489" s="56"/>
      <c r="I489" s="56"/>
    </row>
    <row r="490" spans="2:9">
      <c r="B490" s="54"/>
      <c r="E490" s="74" t="str">
        <f t="shared" si="52"/>
        <v/>
      </c>
      <c r="F490" s="56"/>
      <c r="I490" s="56"/>
    </row>
    <row r="491" spans="2:9">
      <c r="B491" s="54"/>
      <c r="E491" s="74" t="str">
        <f t="shared" si="52"/>
        <v/>
      </c>
      <c r="F491" s="56"/>
      <c r="I491" s="56"/>
    </row>
    <row r="492" spans="2:9">
      <c r="B492" s="54"/>
      <c r="E492" s="74" t="str">
        <f t="shared" si="52"/>
        <v/>
      </c>
      <c r="F492" s="56"/>
      <c r="I492" s="56"/>
    </row>
    <row r="493" spans="2:9">
      <c r="B493" s="54"/>
      <c r="E493" s="74" t="str">
        <f t="shared" si="52"/>
        <v/>
      </c>
      <c r="F493" s="56"/>
      <c r="I493" s="56"/>
    </row>
    <row r="494" spans="2:9">
      <c r="B494" s="54"/>
      <c r="E494" s="74" t="str">
        <f t="shared" si="52"/>
        <v/>
      </c>
      <c r="F494" s="56"/>
      <c r="I494" s="56"/>
    </row>
    <row r="495" spans="2:9">
      <c r="B495" s="54"/>
      <c r="E495" s="74" t="str">
        <f t="shared" si="52"/>
        <v/>
      </c>
      <c r="F495" s="56"/>
      <c r="I495" s="56"/>
    </row>
    <row r="496" spans="2:9">
      <c r="B496" s="54"/>
      <c r="E496" s="74" t="str">
        <f t="shared" si="52"/>
        <v/>
      </c>
      <c r="F496" s="56"/>
      <c r="I496" s="56"/>
    </row>
    <row r="497" spans="2:9">
      <c r="B497" s="54"/>
      <c r="E497" s="74" t="str">
        <f t="shared" si="52"/>
        <v/>
      </c>
      <c r="F497" s="56"/>
      <c r="I497" s="56"/>
    </row>
    <row r="498" spans="2:9">
      <c r="B498" s="54"/>
      <c r="E498" s="74" t="str">
        <f t="shared" si="52"/>
        <v/>
      </c>
      <c r="F498" s="56"/>
      <c r="I498" s="56"/>
    </row>
    <row r="499" spans="2:9">
      <c r="B499" s="54"/>
      <c r="E499" s="74" t="str">
        <f t="shared" si="52"/>
        <v/>
      </c>
      <c r="F499" s="56"/>
      <c r="I499" s="56"/>
    </row>
    <row r="500" spans="2:9">
      <c r="B500" s="54"/>
      <c r="E500" s="74" t="str">
        <f t="shared" si="52"/>
        <v/>
      </c>
      <c r="F500" s="56"/>
      <c r="I500" s="56"/>
    </row>
    <row r="501" spans="2:9">
      <c r="B501" s="54"/>
      <c r="E501" s="74" t="str">
        <f t="shared" si="52"/>
        <v/>
      </c>
      <c r="F501" s="56"/>
      <c r="I501" s="56"/>
    </row>
    <row r="502" spans="2:9">
      <c r="B502" s="54"/>
      <c r="E502" s="74" t="str">
        <f t="shared" si="52"/>
        <v/>
      </c>
      <c r="F502" s="56"/>
      <c r="I502" s="56"/>
    </row>
    <row r="503" spans="2:9">
      <c r="B503" s="54"/>
      <c r="E503" s="74" t="str">
        <f t="shared" si="52"/>
        <v/>
      </c>
      <c r="F503" s="56"/>
      <c r="I503" s="56"/>
    </row>
    <row r="504" spans="2:9">
      <c r="B504" s="54"/>
      <c r="E504" s="74" t="str">
        <f t="shared" si="52"/>
        <v/>
      </c>
      <c r="F504" s="56"/>
      <c r="I504" s="56"/>
    </row>
    <row r="505" spans="2:9">
      <c r="B505" s="54"/>
      <c r="E505" s="74" t="str">
        <f t="shared" si="52"/>
        <v/>
      </c>
      <c r="F505" s="56"/>
      <c r="I505" s="56"/>
    </row>
    <row r="506" spans="2:9">
      <c r="B506" s="54"/>
      <c r="E506" s="74" t="str">
        <f t="shared" si="52"/>
        <v/>
      </c>
      <c r="F506" s="56"/>
      <c r="I506" s="56"/>
    </row>
    <row r="507" spans="2:9">
      <c r="B507" s="54"/>
      <c r="E507" s="74" t="str">
        <f t="shared" si="52"/>
        <v/>
      </c>
      <c r="F507" s="56"/>
      <c r="I507" s="56"/>
    </row>
    <row r="508" spans="2:9">
      <c r="B508" s="54"/>
      <c r="E508" s="74" t="str">
        <f t="shared" si="52"/>
        <v/>
      </c>
      <c r="F508" s="56"/>
      <c r="I508" s="56"/>
    </row>
    <row r="509" spans="2:9">
      <c r="B509" s="54"/>
      <c r="E509" s="74" t="str">
        <f t="shared" si="52"/>
        <v/>
      </c>
      <c r="F509" s="56"/>
      <c r="I509" s="56"/>
    </row>
    <row r="510" spans="2:9">
      <c r="B510" s="54"/>
      <c r="E510" s="74" t="str">
        <f t="shared" si="52"/>
        <v/>
      </c>
      <c r="F510" s="56"/>
      <c r="I510" s="56"/>
    </row>
    <row r="511" spans="2:9">
      <c r="B511" s="54"/>
      <c r="E511" s="74" t="str">
        <f t="shared" si="52"/>
        <v/>
      </c>
      <c r="F511" s="56"/>
      <c r="I511" s="56"/>
    </row>
    <row r="512" spans="2:9">
      <c r="B512" s="54"/>
      <c r="E512" s="74" t="str">
        <f t="shared" si="52"/>
        <v/>
      </c>
      <c r="F512" s="56"/>
      <c r="I512" s="56"/>
    </row>
    <row r="513" spans="2:9">
      <c r="B513" s="54"/>
      <c r="E513" s="74" t="str">
        <f t="shared" si="52"/>
        <v/>
      </c>
      <c r="F513" s="56"/>
      <c r="I513" s="56"/>
    </row>
    <row r="514" spans="2:9">
      <c r="B514" s="54"/>
      <c r="E514" s="74" t="str">
        <f t="shared" si="52"/>
        <v/>
      </c>
      <c r="F514" s="56"/>
      <c r="I514" s="56"/>
    </row>
    <row r="515" spans="2:9">
      <c r="B515" s="54"/>
      <c r="E515" s="74" t="str">
        <f t="shared" si="52"/>
        <v/>
      </c>
      <c r="F515" s="56"/>
      <c r="I515" s="56"/>
    </row>
    <row r="516" spans="2:9">
      <c r="B516" s="54"/>
      <c r="E516" s="74" t="str">
        <f t="shared" si="52"/>
        <v/>
      </c>
      <c r="F516" s="56"/>
      <c r="I516" s="56"/>
    </row>
    <row r="517" spans="2:9">
      <c r="B517" s="54"/>
      <c r="E517" s="74" t="str">
        <f t="shared" ref="E517:E580" si="53">IF(O517 = 0,"",O517)</f>
        <v/>
      </c>
      <c r="F517" s="56"/>
      <c r="I517" s="56"/>
    </row>
    <row r="518" spans="2:9">
      <c r="B518" s="54"/>
      <c r="E518" s="74" t="str">
        <f t="shared" si="53"/>
        <v/>
      </c>
      <c r="F518" s="56"/>
      <c r="I518" s="56"/>
    </row>
    <row r="519" spans="2:9">
      <c r="B519" s="54"/>
      <c r="E519" s="74" t="str">
        <f t="shared" si="53"/>
        <v/>
      </c>
      <c r="F519" s="56"/>
      <c r="I519" s="56"/>
    </row>
    <row r="520" spans="2:9">
      <c r="B520" s="54"/>
      <c r="E520" s="74" t="str">
        <f t="shared" si="53"/>
        <v/>
      </c>
      <c r="F520" s="56"/>
      <c r="I520" s="56"/>
    </row>
    <row r="521" spans="2:9">
      <c r="B521" s="54"/>
      <c r="E521" s="74" t="str">
        <f t="shared" si="53"/>
        <v/>
      </c>
      <c r="F521" s="56"/>
      <c r="I521" s="56"/>
    </row>
    <row r="522" spans="2:9">
      <c r="B522" s="54"/>
      <c r="E522" s="74" t="str">
        <f t="shared" si="53"/>
        <v/>
      </c>
      <c r="F522" s="56"/>
      <c r="I522" s="56"/>
    </row>
    <row r="523" spans="2:9">
      <c r="B523" s="54"/>
      <c r="E523" s="74" t="str">
        <f t="shared" si="53"/>
        <v/>
      </c>
      <c r="F523" s="56"/>
      <c r="I523" s="56"/>
    </row>
    <row r="524" spans="2:9">
      <c r="B524" s="54"/>
      <c r="E524" s="74" t="str">
        <f t="shared" si="53"/>
        <v/>
      </c>
      <c r="F524" s="56"/>
      <c r="I524" s="56"/>
    </row>
    <row r="525" spans="2:9">
      <c r="B525" s="54"/>
      <c r="E525" s="74" t="str">
        <f t="shared" si="53"/>
        <v/>
      </c>
      <c r="F525" s="56"/>
      <c r="I525" s="56"/>
    </row>
    <row r="526" spans="2:9">
      <c r="B526" s="54"/>
      <c r="E526" s="74" t="str">
        <f t="shared" si="53"/>
        <v/>
      </c>
      <c r="F526" s="56"/>
      <c r="I526" s="56"/>
    </row>
    <row r="527" spans="2:9">
      <c r="B527" s="54"/>
      <c r="E527" s="74" t="str">
        <f t="shared" si="53"/>
        <v/>
      </c>
      <c r="F527" s="56"/>
      <c r="I527" s="56"/>
    </row>
    <row r="528" spans="2:9">
      <c r="B528" s="54"/>
      <c r="E528" s="74" t="str">
        <f t="shared" si="53"/>
        <v/>
      </c>
      <c r="F528" s="56"/>
      <c r="I528" s="56"/>
    </row>
    <row r="529" spans="2:9">
      <c r="B529" s="54"/>
      <c r="E529" s="74" t="str">
        <f t="shared" si="53"/>
        <v/>
      </c>
      <c r="F529" s="56"/>
      <c r="I529" s="56"/>
    </row>
    <row r="530" spans="2:9">
      <c r="B530" s="54"/>
      <c r="E530" s="74" t="str">
        <f t="shared" si="53"/>
        <v/>
      </c>
      <c r="F530" s="56"/>
      <c r="I530" s="56"/>
    </row>
    <row r="531" spans="2:9">
      <c r="B531" s="54"/>
      <c r="E531" s="74" t="str">
        <f t="shared" si="53"/>
        <v/>
      </c>
      <c r="F531" s="56"/>
      <c r="I531" s="56"/>
    </row>
    <row r="532" spans="2:9">
      <c r="B532" s="54"/>
      <c r="E532" s="74" t="str">
        <f t="shared" si="53"/>
        <v/>
      </c>
      <c r="F532" s="56"/>
      <c r="I532" s="56"/>
    </row>
    <row r="533" spans="2:9">
      <c r="B533" s="54"/>
      <c r="E533" s="74" t="str">
        <f t="shared" si="53"/>
        <v/>
      </c>
      <c r="F533" s="56"/>
      <c r="I533" s="56"/>
    </row>
    <row r="534" spans="2:9">
      <c r="B534" s="54"/>
      <c r="E534" s="74" t="str">
        <f t="shared" si="53"/>
        <v/>
      </c>
      <c r="F534" s="56"/>
      <c r="I534" s="56"/>
    </row>
    <row r="535" spans="2:9">
      <c r="B535" s="54"/>
      <c r="E535" s="74" t="str">
        <f t="shared" si="53"/>
        <v/>
      </c>
      <c r="F535" s="56"/>
      <c r="I535" s="56"/>
    </row>
    <row r="536" spans="2:9">
      <c r="B536" s="54"/>
      <c r="E536" s="74" t="str">
        <f t="shared" si="53"/>
        <v/>
      </c>
      <c r="F536" s="56"/>
      <c r="I536" s="56"/>
    </row>
    <row r="537" spans="2:9">
      <c r="B537" s="54"/>
      <c r="E537" s="74" t="str">
        <f t="shared" si="53"/>
        <v/>
      </c>
      <c r="F537" s="56"/>
      <c r="I537" s="56"/>
    </row>
    <row r="538" spans="2:9">
      <c r="B538" s="54"/>
      <c r="E538" s="74" t="str">
        <f t="shared" si="53"/>
        <v/>
      </c>
      <c r="F538" s="56"/>
      <c r="I538" s="56"/>
    </row>
    <row r="539" spans="2:9">
      <c r="B539" s="54"/>
      <c r="E539" s="74" t="str">
        <f t="shared" si="53"/>
        <v/>
      </c>
      <c r="F539" s="56"/>
      <c r="I539" s="56"/>
    </row>
    <row r="540" spans="2:9">
      <c r="B540" s="54"/>
      <c r="E540" s="74" t="str">
        <f t="shared" si="53"/>
        <v/>
      </c>
      <c r="F540" s="56"/>
      <c r="I540" s="56"/>
    </row>
    <row r="541" spans="2:9">
      <c r="B541" s="54"/>
      <c r="E541" s="74" t="str">
        <f t="shared" si="53"/>
        <v/>
      </c>
      <c r="F541" s="56"/>
      <c r="I541" s="56"/>
    </row>
    <row r="542" spans="2:9">
      <c r="B542" s="54"/>
      <c r="E542" s="74" t="str">
        <f t="shared" si="53"/>
        <v/>
      </c>
      <c r="F542" s="56"/>
      <c r="I542" s="56"/>
    </row>
    <row r="543" spans="2:9">
      <c r="B543" s="54"/>
      <c r="E543" s="74" t="str">
        <f t="shared" si="53"/>
        <v/>
      </c>
      <c r="F543" s="56"/>
      <c r="I543" s="56"/>
    </row>
    <row r="544" spans="2:9">
      <c r="B544" s="54"/>
      <c r="E544" s="74" t="str">
        <f t="shared" si="53"/>
        <v/>
      </c>
      <c r="F544" s="56"/>
      <c r="I544" s="56"/>
    </row>
    <row r="545" spans="2:9">
      <c r="B545" s="54"/>
      <c r="E545" s="74" t="str">
        <f t="shared" si="53"/>
        <v/>
      </c>
      <c r="F545" s="56"/>
      <c r="I545" s="56"/>
    </row>
    <row r="546" spans="2:9">
      <c r="B546" s="54"/>
      <c r="E546" s="74" t="str">
        <f t="shared" si="53"/>
        <v/>
      </c>
      <c r="F546" s="56"/>
      <c r="I546" s="56"/>
    </row>
    <row r="547" spans="2:9">
      <c r="B547" s="54"/>
      <c r="E547" s="74" t="str">
        <f t="shared" si="53"/>
        <v/>
      </c>
      <c r="F547" s="56"/>
      <c r="I547" s="56"/>
    </row>
    <row r="548" spans="2:9">
      <c r="B548" s="54"/>
      <c r="E548" s="74" t="str">
        <f t="shared" si="53"/>
        <v/>
      </c>
      <c r="F548" s="56"/>
      <c r="I548" s="56"/>
    </row>
    <row r="549" spans="2:9">
      <c r="B549" s="54"/>
      <c r="E549" s="74" t="str">
        <f t="shared" si="53"/>
        <v/>
      </c>
      <c r="F549" s="56"/>
      <c r="I549" s="56"/>
    </row>
    <row r="550" spans="2:9">
      <c r="B550" s="54"/>
      <c r="E550" s="74" t="str">
        <f t="shared" si="53"/>
        <v/>
      </c>
      <c r="F550" s="56"/>
      <c r="I550" s="56"/>
    </row>
    <row r="551" spans="2:9">
      <c r="B551" s="54"/>
      <c r="E551" s="74" t="str">
        <f t="shared" si="53"/>
        <v/>
      </c>
      <c r="F551" s="56"/>
      <c r="I551" s="56"/>
    </row>
    <row r="552" spans="2:9">
      <c r="B552" s="54"/>
      <c r="E552" s="74" t="str">
        <f t="shared" si="53"/>
        <v/>
      </c>
      <c r="F552" s="56"/>
      <c r="I552" s="56"/>
    </row>
    <row r="553" spans="2:9">
      <c r="B553" s="54"/>
      <c r="E553" s="74" t="str">
        <f t="shared" si="53"/>
        <v/>
      </c>
      <c r="F553" s="56"/>
      <c r="I553" s="56"/>
    </row>
    <row r="554" spans="2:9">
      <c r="B554" s="54"/>
      <c r="E554" s="74" t="str">
        <f t="shared" si="53"/>
        <v/>
      </c>
      <c r="F554" s="56"/>
      <c r="I554" s="56"/>
    </row>
    <row r="555" spans="2:9">
      <c r="B555" s="54"/>
      <c r="E555" s="74" t="str">
        <f t="shared" si="53"/>
        <v/>
      </c>
      <c r="F555" s="56"/>
      <c r="I555" s="56"/>
    </row>
    <row r="556" spans="2:9">
      <c r="B556" s="54"/>
      <c r="E556" s="74" t="str">
        <f t="shared" si="53"/>
        <v/>
      </c>
      <c r="F556" s="56"/>
      <c r="I556" s="56"/>
    </row>
    <row r="557" spans="2:9">
      <c r="B557" s="54"/>
      <c r="E557" s="74" t="str">
        <f t="shared" si="53"/>
        <v/>
      </c>
      <c r="F557" s="56"/>
      <c r="I557" s="56"/>
    </row>
    <row r="558" spans="2:9">
      <c r="B558" s="54"/>
      <c r="E558" s="74" t="str">
        <f t="shared" si="53"/>
        <v/>
      </c>
      <c r="F558" s="56"/>
      <c r="I558" s="56"/>
    </row>
    <row r="559" spans="2:9">
      <c r="B559" s="54"/>
      <c r="E559" s="74" t="str">
        <f t="shared" si="53"/>
        <v/>
      </c>
      <c r="F559" s="56"/>
      <c r="I559" s="56"/>
    </row>
    <row r="560" spans="2:9">
      <c r="B560" s="54"/>
      <c r="E560" s="74" t="str">
        <f t="shared" si="53"/>
        <v/>
      </c>
      <c r="F560" s="56"/>
      <c r="I560" s="56"/>
    </row>
    <row r="561" spans="2:9">
      <c r="B561" s="54"/>
      <c r="E561" s="74" t="str">
        <f t="shared" si="53"/>
        <v/>
      </c>
      <c r="F561" s="56"/>
      <c r="I561" s="56"/>
    </row>
    <row r="562" spans="2:9">
      <c r="B562" s="54"/>
      <c r="E562" s="74" t="str">
        <f t="shared" si="53"/>
        <v/>
      </c>
      <c r="F562" s="56"/>
      <c r="I562" s="56"/>
    </row>
    <row r="563" spans="2:9">
      <c r="B563" s="54"/>
      <c r="E563" s="74" t="str">
        <f t="shared" si="53"/>
        <v/>
      </c>
      <c r="F563" s="56"/>
      <c r="I563" s="56"/>
    </row>
    <row r="564" spans="2:9">
      <c r="B564" s="54"/>
      <c r="E564" s="74" t="str">
        <f t="shared" si="53"/>
        <v/>
      </c>
      <c r="F564" s="56"/>
      <c r="I564" s="56"/>
    </row>
    <row r="565" spans="2:9">
      <c r="B565" s="54"/>
      <c r="E565" s="74" t="str">
        <f t="shared" si="53"/>
        <v/>
      </c>
      <c r="F565" s="56"/>
      <c r="I565" s="56"/>
    </row>
    <row r="566" spans="2:9">
      <c r="B566" s="54"/>
      <c r="E566" s="74" t="str">
        <f t="shared" si="53"/>
        <v/>
      </c>
      <c r="F566" s="56"/>
      <c r="I566" s="56"/>
    </row>
    <row r="567" spans="2:9">
      <c r="B567" s="54"/>
      <c r="E567" s="74" t="str">
        <f t="shared" si="53"/>
        <v/>
      </c>
      <c r="F567" s="56"/>
      <c r="I567" s="56"/>
    </row>
    <row r="568" spans="2:9">
      <c r="B568" s="54"/>
      <c r="E568" s="74" t="str">
        <f t="shared" si="53"/>
        <v/>
      </c>
      <c r="F568" s="56"/>
      <c r="I568" s="56"/>
    </row>
    <row r="569" spans="2:9">
      <c r="B569" s="54"/>
      <c r="E569" s="74" t="str">
        <f t="shared" si="53"/>
        <v/>
      </c>
      <c r="F569" s="56"/>
      <c r="I569" s="56"/>
    </row>
    <row r="570" spans="2:9">
      <c r="B570" s="54"/>
      <c r="E570" s="74" t="str">
        <f t="shared" si="53"/>
        <v/>
      </c>
      <c r="F570" s="56"/>
      <c r="I570" s="56"/>
    </row>
    <row r="571" spans="2:9">
      <c r="B571" s="54"/>
      <c r="E571" s="74" t="str">
        <f t="shared" si="53"/>
        <v/>
      </c>
      <c r="F571" s="56"/>
      <c r="I571" s="56"/>
    </row>
    <row r="572" spans="2:9">
      <c r="B572" s="54"/>
      <c r="E572" s="74" t="str">
        <f t="shared" si="53"/>
        <v/>
      </c>
      <c r="F572" s="56"/>
      <c r="I572" s="56"/>
    </row>
    <row r="573" spans="2:9">
      <c r="B573" s="54"/>
      <c r="E573" s="74" t="str">
        <f t="shared" si="53"/>
        <v/>
      </c>
      <c r="F573" s="56"/>
      <c r="I573" s="56"/>
    </row>
    <row r="574" spans="2:9">
      <c r="B574" s="54"/>
      <c r="E574" s="74" t="str">
        <f t="shared" si="53"/>
        <v/>
      </c>
      <c r="F574" s="56"/>
      <c r="I574" s="56"/>
    </row>
    <row r="575" spans="2:9">
      <c r="B575" s="54"/>
      <c r="E575" s="74" t="str">
        <f t="shared" si="53"/>
        <v/>
      </c>
      <c r="F575" s="56"/>
      <c r="I575" s="56"/>
    </row>
    <row r="576" spans="2:9">
      <c r="B576" s="54"/>
      <c r="E576" s="74" t="str">
        <f t="shared" si="53"/>
        <v/>
      </c>
      <c r="F576" s="56"/>
      <c r="I576" s="56"/>
    </row>
    <row r="577" spans="2:9">
      <c r="B577" s="54"/>
      <c r="E577" s="74" t="str">
        <f t="shared" si="53"/>
        <v/>
      </c>
      <c r="F577" s="56"/>
      <c r="I577" s="56"/>
    </row>
    <row r="578" spans="2:9">
      <c r="B578" s="54"/>
      <c r="E578" s="74" t="str">
        <f t="shared" si="53"/>
        <v/>
      </c>
      <c r="F578" s="56"/>
      <c r="I578" s="56"/>
    </row>
    <row r="579" spans="2:9">
      <c r="B579" s="54"/>
      <c r="E579" s="74" t="str">
        <f t="shared" si="53"/>
        <v/>
      </c>
      <c r="F579" s="56"/>
      <c r="I579" s="56"/>
    </row>
    <row r="580" spans="2:9">
      <c r="B580" s="54"/>
      <c r="E580" s="74" t="str">
        <f t="shared" si="53"/>
        <v/>
      </c>
      <c r="F580" s="56"/>
      <c r="I580" s="56"/>
    </row>
    <row r="581" spans="2:9">
      <c r="B581" s="54"/>
      <c r="E581" s="74" t="str">
        <f t="shared" ref="E581:E644" si="54">IF(O581 = 0,"",O581)</f>
        <v/>
      </c>
      <c r="F581" s="56"/>
      <c r="I581" s="56"/>
    </row>
    <row r="582" spans="2:9">
      <c r="B582" s="54"/>
      <c r="E582" s="74" t="str">
        <f t="shared" si="54"/>
        <v/>
      </c>
      <c r="F582" s="56"/>
      <c r="I582" s="56"/>
    </row>
    <row r="583" spans="2:9">
      <c r="B583" s="54"/>
      <c r="E583" s="74" t="str">
        <f t="shared" si="54"/>
        <v/>
      </c>
      <c r="F583" s="56"/>
      <c r="I583" s="56"/>
    </row>
    <row r="584" spans="2:9">
      <c r="B584" s="54"/>
      <c r="E584" s="74" t="str">
        <f t="shared" si="54"/>
        <v/>
      </c>
      <c r="F584" s="56"/>
      <c r="I584" s="56"/>
    </row>
    <row r="585" spans="2:9">
      <c r="B585" s="54"/>
      <c r="E585" s="74" t="str">
        <f t="shared" si="54"/>
        <v/>
      </c>
      <c r="F585" s="56"/>
      <c r="I585" s="56"/>
    </row>
    <row r="586" spans="2:9">
      <c r="B586" s="54"/>
      <c r="E586" s="74" t="str">
        <f t="shared" si="54"/>
        <v/>
      </c>
      <c r="F586" s="56"/>
      <c r="I586" s="56"/>
    </row>
    <row r="587" spans="2:9">
      <c r="B587" s="54"/>
      <c r="E587" s="74" t="str">
        <f t="shared" si="54"/>
        <v/>
      </c>
      <c r="F587" s="56"/>
      <c r="I587" s="56"/>
    </row>
    <row r="588" spans="2:9">
      <c r="B588" s="54"/>
      <c r="E588" s="74" t="str">
        <f t="shared" si="54"/>
        <v/>
      </c>
      <c r="F588" s="56"/>
      <c r="I588" s="56"/>
    </row>
    <row r="589" spans="2:9">
      <c r="B589" s="54"/>
      <c r="E589" s="74" t="str">
        <f t="shared" si="54"/>
        <v/>
      </c>
      <c r="F589" s="56"/>
      <c r="I589" s="56"/>
    </row>
    <row r="590" spans="2:9">
      <c r="B590" s="54"/>
      <c r="E590" s="74" t="str">
        <f t="shared" si="54"/>
        <v/>
      </c>
      <c r="F590" s="56"/>
      <c r="I590" s="56"/>
    </row>
    <row r="591" spans="2:9">
      <c r="B591" s="54"/>
      <c r="E591" s="74" t="str">
        <f t="shared" si="54"/>
        <v/>
      </c>
      <c r="F591" s="56"/>
      <c r="I591" s="56"/>
    </row>
    <row r="592" spans="2:9">
      <c r="B592" s="54"/>
      <c r="E592" s="74" t="str">
        <f t="shared" si="54"/>
        <v/>
      </c>
      <c r="F592" s="56"/>
      <c r="I592" s="56"/>
    </row>
    <row r="593" spans="2:9">
      <c r="B593" s="54"/>
      <c r="E593" s="74" t="str">
        <f t="shared" si="54"/>
        <v/>
      </c>
      <c r="F593" s="56"/>
      <c r="I593" s="56"/>
    </row>
    <row r="594" spans="2:9">
      <c r="B594" s="54"/>
      <c r="E594" s="74" t="str">
        <f t="shared" si="54"/>
        <v/>
      </c>
      <c r="F594" s="56"/>
      <c r="I594" s="56"/>
    </row>
    <row r="595" spans="2:9">
      <c r="B595" s="54"/>
      <c r="E595" s="74" t="str">
        <f t="shared" si="54"/>
        <v/>
      </c>
      <c r="F595" s="56"/>
      <c r="I595" s="56"/>
    </row>
    <row r="596" spans="2:9">
      <c r="B596" s="54"/>
      <c r="E596" s="74" t="str">
        <f t="shared" si="54"/>
        <v/>
      </c>
      <c r="F596" s="56"/>
      <c r="I596" s="56"/>
    </row>
    <row r="597" spans="2:9">
      <c r="B597" s="54"/>
      <c r="E597" s="74" t="str">
        <f t="shared" si="54"/>
        <v/>
      </c>
      <c r="F597" s="56"/>
      <c r="I597" s="56"/>
    </row>
    <row r="598" spans="2:9">
      <c r="B598" s="54"/>
      <c r="E598" s="74" t="str">
        <f t="shared" si="54"/>
        <v/>
      </c>
      <c r="F598" s="56"/>
      <c r="I598" s="56"/>
    </row>
    <row r="599" spans="2:9">
      <c r="B599" s="54"/>
      <c r="E599" s="74" t="str">
        <f t="shared" si="54"/>
        <v/>
      </c>
      <c r="F599" s="56"/>
      <c r="I599" s="56"/>
    </row>
    <row r="600" spans="2:9">
      <c r="B600" s="54"/>
      <c r="E600" s="74" t="str">
        <f t="shared" si="54"/>
        <v/>
      </c>
      <c r="F600" s="56"/>
      <c r="I600" s="56"/>
    </row>
    <row r="601" spans="2:9">
      <c r="B601" s="54"/>
      <c r="E601" s="74" t="str">
        <f t="shared" si="54"/>
        <v/>
      </c>
      <c r="F601" s="56"/>
      <c r="I601" s="56"/>
    </row>
    <row r="602" spans="2:9">
      <c r="B602" s="54"/>
      <c r="E602" s="74" t="str">
        <f t="shared" si="54"/>
        <v/>
      </c>
      <c r="F602" s="56"/>
      <c r="I602" s="56"/>
    </row>
    <row r="603" spans="2:9">
      <c r="B603" s="54"/>
      <c r="E603" s="74" t="str">
        <f t="shared" si="54"/>
        <v/>
      </c>
      <c r="F603" s="56"/>
      <c r="I603" s="56"/>
    </row>
    <row r="604" spans="2:9">
      <c r="B604" s="54"/>
      <c r="E604" s="74" t="str">
        <f t="shared" si="54"/>
        <v/>
      </c>
      <c r="F604" s="56"/>
      <c r="I604" s="56"/>
    </row>
    <row r="605" spans="2:9">
      <c r="B605" s="54"/>
      <c r="E605" s="74" t="str">
        <f t="shared" si="54"/>
        <v/>
      </c>
      <c r="F605" s="56"/>
      <c r="I605" s="56"/>
    </row>
    <row r="606" spans="2:9">
      <c r="B606" s="54"/>
      <c r="E606" s="74" t="str">
        <f t="shared" si="54"/>
        <v/>
      </c>
      <c r="F606" s="56"/>
      <c r="I606" s="56"/>
    </row>
    <row r="607" spans="2:9">
      <c r="B607" s="54"/>
      <c r="E607" s="74" t="str">
        <f t="shared" si="54"/>
        <v/>
      </c>
      <c r="F607" s="56"/>
      <c r="I607" s="56"/>
    </row>
    <row r="608" spans="2:9">
      <c r="B608" s="54"/>
      <c r="E608" s="74" t="str">
        <f t="shared" si="54"/>
        <v/>
      </c>
      <c r="F608" s="56"/>
      <c r="I608" s="56"/>
    </row>
    <row r="609" spans="2:9">
      <c r="B609" s="54"/>
      <c r="E609" s="74" t="str">
        <f t="shared" si="54"/>
        <v/>
      </c>
      <c r="F609" s="56"/>
      <c r="I609" s="56"/>
    </row>
    <row r="610" spans="2:9">
      <c r="B610" s="54"/>
      <c r="E610" s="74" t="str">
        <f t="shared" si="54"/>
        <v/>
      </c>
      <c r="F610" s="56"/>
      <c r="I610" s="56"/>
    </row>
    <row r="611" spans="2:9">
      <c r="B611" s="54"/>
      <c r="E611" s="74" t="str">
        <f t="shared" si="54"/>
        <v/>
      </c>
      <c r="F611" s="56"/>
      <c r="I611" s="56"/>
    </row>
    <row r="612" spans="2:9">
      <c r="B612" s="54"/>
      <c r="E612" s="74" t="str">
        <f t="shared" si="54"/>
        <v/>
      </c>
      <c r="F612" s="56"/>
      <c r="I612" s="56"/>
    </row>
    <row r="613" spans="2:9">
      <c r="B613" s="54"/>
      <c r="E613" s="74" t="str">
        <f t="shared" si="54"/>
        <v/>
      </c>
      <c r="F613" s="56"/>
      <c r="I613" s="56"/>
    </row>
    <row r="614" spans="2:9">
      <c r="B614" s="54"/>
      <c r="E614" s="74" t="str">
        <f t="shared" si="54"/>
        <v/>
      </c>
      <c r="F614" s="56"/>
      <c r="I614" s="56"/>
    </row>
    <row r="615" spans="2:9">
      <c r="B615" s="54"/>
      <c r="E615" s="74" t="str">
        <f t="shared" si="54"/>
        <v/>
      </c>
      <c r="F615" s="56"/>
      <c r="I615" s="56"/>
    </row>
    <row r="616" spans="2:9">
      <c r="B616" s="54"/>
      <c r="E616" s="74" t="str">
        <f t="shared" si="54"/>
        <v/>
      </c>
      <c r="F616" s="56"/>
      <c r="I616" s="56"/>
    </row>
    <row r="617" spans="2:9">
      <c r="B617" s="54"/>
      <c r="E617" s="74" t="str">
        <f t="shared" si="54"/>
        <v/>
      </c>
      <c r="F617" s="56"/>
      <c r="I617" s="56"/>
    </row>
    <row r="618" spans="2:9">
      <c r="B618" s="54"/>
      <c r="E618" s="74" t="str">
        <f t="shared" si="54"/>
        <v/>
      </c>
      <c r="F618" s="56"/>
      <c r="I618" s="56"/>
    </row>
    <row r="619" spans="2:9">
      <c r="B619" s="54"/>
      <c r="E619" s="74" t="str">
        <f t="shared" si="54"/>
        <v/>
      </c>
      <c r="F619" s="56"/>
      <c r="I619" s="56"/>
    </row>
    <row r="620" spans="2:9">
      <c r="B620" s="54"/>
      <c r="E620" s="74" t="str">
        <f t="shared" si="54"/>
        <v/>
      </c>
      <c r="F620" s="56"/>
      <c r="I620" s="56"/>
    </row>
    <row r="621" spans="2:9">
      <c r="B621" s="54"/>
      <c r="E621" s="74" t="str">
        <f t="shared" si="54"/>
        <v/>
      </c>
      <c r="F621" s="56"/>
      <c r="I621" s="56"/>
    </row>
    <row r="622" spans="2:9">
      <c r="B622" s="54"/>
      <c r="E622" s="74" t="str">
        <f t="shared" si="54"/>
        <v/>
      </c>
      <c r="F622" s="56"/>
      <c r="I622" s="56"/>
    </row>
    <row r="623" spans="2:9">
      <c r="B623" s="54"/>
      <c r="E623" s="74" t="str">
        <f t="shared" si="54"/>
        <v/>
      </c>
      <c r="F623" s="56"/>
      <c r="I623" s="56"/>
    </row>
    <row r="624" spans="2:9">
      <c r="B624" s="54"/>
      <c r="E624" s="74" t="str">
        <f t="shared" si="54"/>
        <v/>
      </c>
      <c r="F624" s="56"/>
      <c r="I624" s="56"/>
    </row>
    <row r="625" spans="2:9">
      <c r="B625" s="54"/>
      <c r="E625" s="74" t="str">
        <f t="shared" si="54"/>
        <v/>
      </c>
      <c r="F625" s="56"/>
      <c r="I625" s="56"/>
    </row>
    <row r="626" spans="2:9">
      <c r="B626" s="54"/>
      <c r="E626" s="74" t="str">
        <f t="shared" si="54"/>
        <v/>
      </c>
      <c r="F626" s="56"/>
      <c r="I626" s="56"/>
    </row>
    <row r="627" spans="2:9">
      <c r="B627" s="54"/>
      <c r="E627" s="74" t="str">
        <f t="shared" si="54"/>
        <v/>
      </c>
      <c r="F627" s="56"/>
      <c r="I627" s="56"/>
    </row>
    <row r="628" spans="2:9">
      <c r="B628" s="54"/>
      <c r="E628" s="74" t="str">
        <f t="shared" si="54"/>
        <v/>
      </c>
      <c r="F628" s="56"/>
      <c r="I628" s="56"/>
    </row>
    <row r="629" spans="2:9">
      <c r="B629" s="54"/>
      <c r="E629" s="74" t="str">
        <f t="shared" si="54"/>
        <v/>
      </c>
      <c r="F629" s="56"/>
      <c r="I629" s="56"/>
    </row>
    <row r="630" spans="2:9">
      <c r="B630" s="54"/>
      <c r="E630" s="74" t="str">
        <f t="shared" si="54"/>
        <v/>
      </c>
      <c r="F630" s="56"/>
      <c r="I630" s="56"/>
    </row>
    <row r="631" spans="2:9">
      <c r="B631" s="54"/>
      <c r="E631" s="74" t="str">
        <f t="shared" si="54"/>
        <v/>
      </c>
      <c r="F631" s="56"/>
      <c r="I631" s="56"/>
    </row>
    <row r="632" spans="2:9">
      <c r="B632" s="54"/>
      <c r="E632" s="74" t="str">
        <f t="shared" si="54"/>
        <v/>
      </c>
      <c r="F632" s="56"/>
      <c r="I632" s="56"/>
    </row>
    <row r="633" spans="2:9">
      <c r="B633" s="54"/>
      <c r="E633" s="74" t="str">
        <f t="shared" si="54"/>
        <v/>
      </c>
      <c r="F633" s="56"/>
      <c r="I633" s="56"/>
    </row>
    <row r="634" spans="2:9">
      <c r="B634" s="54"/>
      <c r="E634" s="74" t="str">
        <f t="shared" si="54"/>
        <v/>
      </c>
      <c r="F634" s="56"/>
      <c r="I634" s="56"/>
    </row>
    <row r="635" spans="2:9">
      <c r="B635" s="54"/>
      <c r="E635" s="74" t="str">
        <f t="shared" si="54"/>
        <v/>
      </c>
      <c r="F635" s="56"/>
      <c r="I635" s="56"/>
    </row>
    <row r="636" spans="2:9">
      <c r="B636" s="54"/>
      <c r="E636" s="74" t="str">
        <f t="shared" si="54"/>
        <v/>
      </c>
      <c r="F636" s="56"/>
      <c r="I636" s="56"/>
    </row>
    <row r="637" spans="2:9">
      <c r="B637" s="54"/>
      <c r="E637" s="74" t="str">
        <f t="shared" si="54"/>
        <v/>
      </c>
      <c r="F637" s="56"/>
      <c r="I637" s="56"/>
    </row>
    <row r="638" spans="2:9">
      <c r="B638" s="54"/>
      <c r="E638" s="74" t="str">
        <f t="shared" si="54"/>
        <v/>
      </c>
      <c r="F638" s="56"/>
      <c r="I638" s="56"/>
    </row>
    <row r="639" spans="2:9">
      <c r="B639" s="54"/>
      <c r="E639" s="74" t="str">
        <f t="shared" si="54"/>
        <v/>
      </c>
      <c r="F639" s="56"/>
      <c r="I639" s="56"/>
    </row>
    <row r="640" spans="2:9">
      <c r="B640" s="54"/>
      <c r="E640" s="74" t="str">
        <f t="shared" si="54"/>
        <v/>
      </c>
      <c r="F640" s="56"/>
      <c r="I640" s="56"/>
    </row>
    <row r="641" spans="2:9">
      <c r="B641" s="54"/>
      <c r="E641" s="74" t="str">
        <f t="shared" si="54"/>
        <v/>
      </c>
      <c r="F641" s="56"/>
      <c r="I641" s="56"/>
    </row>
    <row r="642" spans="2:9">
      <c r="B642" s="54"/>
      <c r="E642" s="74" t="str">
        <f t="shared" si="54"/>
        <v/>
      </c>
      <c r="F642" s="56"/>
      <c r="I642" s="56"/>
    </row>
    <row r="643" spans="2:9">
      <c r="B643" s="54"/>
      <c r="E643" s="74" t="str">
        <f t="shared" si="54"/>
        <v/>
      </c>
      <c r="F643" s="56"/>
      <c r="I643" s="56"/>
    </row>
    <row r="644" spans="2:9">
      <c r="B644" s="54"/>
      <c r="E644" s="74" t="str">
        <f t="shared" si="54"/>
        <v/>
      </c>
      <c r="F644" s="56"/>
      <c r="I644" s="56"/>
    </row>
    <row r="645" spans="2:9">
      <c r="B645" s="54"/>
      <c r="E645" s="74" t="str">
        <f t="shared" ref="E645:E708" si="55">IF(O645 = 0,"",O645)</f>
        <v/>
      </c>
      <c r="F645" s="56"/>
      <c r="I645" s="56"/>
    </row>
    <row r="646" spans="2:9">
      <c r="B646" s="54"/>
      <c r="E646" s="74" t="str">
        <f t="shared" si="55"/>
        <v/>
      </c>
      <c r="F646" s="56"/>
      <c r="I646" s="56"/>
    </row>
    <row r="647" spans="2:9">
      <c r="B647" s="54"/>
      <c r="E647" s="74" t="str">
        <f t="shared" si="55"/>
        <v/>
      </c>
      <c r="F647" s="56"/>
      <c r="I647" s="56"/>
    </row>
    <row r="648" spans="2:9">
      <c r="B648" s="54"/>
      <c r="E648" s="74" t="str">
        <f t="shared" si="55"/>
        <v/>
      </c>
      <c r="F648" s="56"/>
      <c r="I648" s="56"/>
    </row>
    <row r="649" spans="2:9">
      <c r="B649" s="54"/>
      <c r="E649" s="74" t="str">
        <f t="shared" si="55"/>
        <v/>
      </c>
      <c r="F649" s="56"/>
      <c r="I649" s="56"/>
    </row>
    <row r="650" spans="2:9">
      <c r="B650" s="54"/>
      <c r="E650" s="74" t="str">
        <f t="shared" si="55"/>
        <v/>
      </c>
      <c r="F650" s="56"/>
      <c r="I650" s="56"/>
    </row>
    <row r="651" spans="2:9">
      <c r="B651" s="54"/>
      <c r="E651" s="74" t="str">
        <f t="shared" si="55"/>
        <v/>
      </c>
      <c r="F651" s="56"/>
      <c r="I651" s="56"/>
    </row>
    <row r="652" spans="2:9">
      <c r="B652" s="54"/>
      <c r="E652" s="74" t="str">
        <f t="shared" si="55"/>
        <v/>
      </c>
      <c r="F652" s="56"/>
      <c r="I652" s="56"/>
    </row>
    <row r="653" spans="2:9">
      <c r="B653" s="54"/>
      <c r="E653" s="74" t="str">
        <f t="shared" si="55"/>
        <v/>
      </c>
      <c r="F653" s="56"/>
      <c r="I653" s="56"/>
    </row>
    <row r="654" spans="2:9">
      <c r="B654" s="54"/>
      <c r="E654" s="74" t="str">
        <f t="shared" si="55"/>
        <v/>
      </c>
      <c r="F654" s="56"/>
      <c r="I654" s="56"/>
    </row>
    <row r="655" spans="2:9">
      <c r="B655" s="54"/>
      <c r="E655" s="74" t="str">
        <f t="shared" si="55"/>
        <v/>
      </c>
      <c r="F655" s="56"/>
      <c r="I655" s="56"/>
    </row>
    <row r="656" spans="2:9">
      <c r="B656" s="54"/>
      <c r="E656" s="74" t="str">
        <f t="shared" si="55"/>
        <v/>
      </c>
      <c r="F656" s="56"/>
      <c r="I656" s="56"/>
    </row>
    <row r="657" spans="2:9">
      <c r="B657" s="54"/>
      <c r="E657" s="74" t="str">
        <f t="shared" si="55"/>
        <v/>
      </c>
      <c r="F657" s="56"/>
      <c r="I657" s="56"/>
    </row>
    <row r="658" spans="2:9">
      <c r="B658" s="54"/>
      <c r="E658" s="74" t="str">
        <f t="shared" si="55"/>
        <v/>
      </c>
      <c r="F658" s="56"/>
      <c r="I658" s="56"/>
    </row>
    <row r="659" spans="2:9">
      <c r="B659" s="54"/>
      <c r="E659" s="74" t="str">
        <f t="shared" si="55"/>
        <v/>
      </c>
      <c r="F659" s="56"/>
      <c r="I659" s="56"/>
    </row>
    <row r="660" spans="2:9">
      <c r="B660" s="54"/>
      <c r="E660" s="74" t="str">
        <f t="shared" si="55"/>
        <v/>
      </c>
      <c r="F660" s="56"/>
      <c r="I660" s="56"/>
    </row>
    <row r="661" spans="2:9">
      <c r="B661" s="54"/>
      <c r="E661" s="74" t="str">
        <f t="shared" si="55"/>
        <v/>
      </c>
      <c r="F661" s="56"/>
      <c r="I661" s="56"/>
    </row>
    <row r="662" spans="2:9">
      <c r="B662" s="54"/>
      <c r="E662" s="74" t="str">
        <f t="shared" si="55"/>
        <v/>
      </c>
      <c r="F662" s="56"/>
      <c r="I662" s="56"/>
    </row>
    <row r="663" spans="2:9">
      <c r="B663" s="54"/>
      <c r="E663" s="74" t="str">
        <f t="shared" si="55"/>
        <v/>
      </c>
      <c r="F663" s="56"/>
      <c r="I663" s="56"/>
    </row>
    <row r="664" spans="2:9">
      <c r="B664" s="54"/>
      <c r="E664" s="74" t="str">
        <f t="shared" si="55"/>
        <v/>
      </c>
      <c r="F664" s="56"/>
      <c r="I664" s="56"/>
    </row>
    <row r="665" spans="2:9">
      <c r="B665" s="54"/>
      <c r="E665" s="74" t="str">
        <f t="shared" si="55"/>
        <v/>
      </c>
      <c r="F665" s="56"/>
      <c r="I665" s="56"/>
    </row>
    <row r="666" spans="2:9">
      <c r="B666" s="54"/>
      <c r="E666" s="74" t="str">
        <f t="shared" si="55"/>
        <v/>
      </c>
      <c r="F666" s="56"/>
      <c r="I666" s="56"/>
    </row>
    <row r="667" spans="2:9">
      <c r="B667" s="54"/>
      <c r="E667" s="74" t="str">
        <f t="shared" si="55"/>
        <v/>
      </c>
      <c r="F667" s="56"/>
      <c r="I667" s="56"/>
    </row>
    <row r="668" spans="2:9">
      <c r="B668" s="54"/>
      <c r="E668" s="74" t="str">
        <f t="shared" si="55"/>
        <v/>
      </c>
      <c r="F668" s="56"/>
      <c r="I668" s="56"/>
    </row>
    <row r="669" spans="2:9">
      <c r="B669" s="54"/>
      <c r="E669" s="74" t="str">
        <f t="shared" si="55"/>
        <v/>
      </c>
      <c r="F669" s="56"/>
      <c r="I669" s="56"/>
    </row>
    <row r="670" spans="2:9">
      <c r="B670" s="54"/>
      <c r="E670" s="74" t="str">
        <f t="shared" si="55"/>
        <v/>
      </c>
      <c r="F670" s="56"/>
      <c r="I670" s="56"/>
    </row>
    <row r="671" spans="2:9">
      <c r="B671" s="54"/>
      <c r="E671" s="74" t="str">
        <f t="shared" si="55"/>
        <v/>
      </c>
      <c r="F671" s="56"/>
      <c r="I671" s="56"/>
    </row>
    <row r="672" spans="2:9">
      <c r="B672" s="54"/>
      <c r="E672" s="74" t="str">
        <f t="shared" si="55"/>
        <v/>
      </c>
      <c r="F672" s="56"/>
      <c r="I672" s="56"/>
    </row>
    <row r="673" spans="2:9">
      <c r="B673" s="54"/>
      <c r="E673" s="74" t="str">
        <f t="shared" si="55"/>
        <v/>
      </c>
      <c r="F673" s="56"/>
      <c r="I673" s="56"/>
    </row>
    <row r="674" spans="2:9">
      <c r="B674" s="54"/>
      <c r="E674" s="74" t="str">
        <f t="shared" si="55"/>
        <v/>
      </c>
      <c r="F674" s="56"/>
      <c r="I674" s="56"/>
    </row>
    <row r="675" spans="2:9">
      <c r="B675" s="54"/>
      <c r="E675" s="74" t="str">
        <f t="shared" si="55"/>
        <v/>
      </c>
      <c r="F675" s="56"/>
      <c r="I675" s="56"/>
    </row>
    <row r="676" spans="2:9">
      <c r="B676" s="54"/>
      <c r="E676" s="74" t="str">
        <f t="shared" si="55"/>
        <v/>
      </c>
      <c r="F676" s="56"/>
      <c r="I676" s="56"/>
    </row>
    <row r="677" spans="2:9">
      <c r="B677" s="54"/>
      <c r="E677" s="74" t="str">
        <f t="shared" si="55"/>
        <v/>
      </c>
      <c r="F677" s="56"/>
      <c r="I677" s="56"/>
    </row>
    <row r="678" spans="2:9">
      <c r="B678" s="54"/>
      <c r="E678" s="74" t="str">
        <f t="shared" si="55"/>
        <v/>
      </c>
      <c r="F678" s="56"/>
      <c r="I678" s="56"/>
    </row>
    <row r="679" spans="2:9">
      <c r="B679" s="54"/>
      <c r="E679" s="74" t="str">
        <f t="shared" si="55"/>
        <v/>
      </c>
      <c r="F679" s="56"/>
      <c r="I679" s="56"/>
    </row>
    <row r="680" spans="2:9">
      <c r="B680" s="54"/>
      <c r="E680" s="74" t="str">
        <f t="shared" si="55"/>
        <v/>
      </c>
      <c r="F680" s="56"/>
      <c r="I680" s="56"/>
    </row>
    <row r="681" spans="2:9">
      <c r="B681" s="54"/>
      <c r="E681" s="74" t="str">
        <f t="shared" si="55"/>
        <v/>
      </c>
      <c r="F681" s="56"/>
      <c r="I681" s="56"/>
    </row>
    <row r="682" spans="2:9">
      <c r="B682" s="54"/>
      <c r="E682" s="74" t="str">
        <f t="shared" si="55"/>
        <v/>
      </c>
      <c r="F682" s="56"/>
      <c r="I682" s="56"/>
    </row>
    <row r="683" spans="2:9">
      <c r="B683" s="54"/>
      <c r="E683" s="74" t="str">
        <f t="shared" si="55"/>
        <v/>
      </c>
      <c r="F683" s="56"/>
      <c r="I683" s="56"/>
    </row>
    <row r="684" spans="2:9">
      <c r="B684" s="54"/>
      <c r="E684" s="74" t="str">
        <f t="shared" si="55"/>
        <v/>
      </c>
      <c r="F684" s="56"/>
      <c r="I684" s="56"/>
    </row>
    <row r="685" spans="2:9">
      <c r="B685" s="54"/>
      <c r="E685" s="74" t="str">
        <f t="shared" si="55"/>
        <v/>
      </c>
      <c r="F685" s="56"/>
      <c r="I685" s="56"/>
    </row>
    <row r="686" spans="2:9">
      <c r="B686" s="54"/>
      <c r="E686" s="74" t="str">
        <f t="shared" si="55"/>
        <v/>
      </c>
      <c r="F686" s="56"/>
      <c r="I686" s="56"/>
    </row>
    <row r="687" spans="2:9">
      <c r="B687" s="54"/>
      <c r="E687" s="74" t="str">
        <f t="shared" si="55"/>
        <v/>
      </c>
      <c r="F687" s="56"/>
      <c r="I687" s="56"/>
    </row>
    <row r="688" spans="2:9">
      <c r="B688" s="54"/>
      <c r="E688" s="74" t="str">
        <f t="shared" si="55"/>
        <v/>
      </c>
      <c r="F688" s="56"/>
      <c r="I688" s="56"/>
    </row>
    <row r="689" spans="2:9">
      <c r="B689" s="54"/>
      <c r="E689" s="74" t="str">
        <f t="shared" si="55"/>
        <v/>
      </c>
      <c r="F689" s="56"/>
      <c r="I689" s="56"/>
    </row>
    <row r="690" spans="2:9">
      <c r="B690" s="54"/>
      <c r="E690" s="74" t="str">
        <f t="shared" si="55"/>
        <v/>
      </c>
      <c r="F690" s="56"/>
      <c r="I690" s="56"/>
    </row>
    <row r="691" spans="2:9">
      <c r="B691" s="54"/>
      <c r="E691" s="74" t="str">
        <f t="shared" si="55"/>
        <v/>
      </c>
      <c r="F691" s="56"/>
      <c r="I691" s="56"/>
    </row>
    <row r="692" spans="2:9">
      <c r="B692" s="54"/>
      <c r="E692" s="74" t="str">
        <f t="shared" si="55"/>
        <v/>
      </c>
      <c r="F692" s="56"/>
      <c r="I692" s="56"/>
    </row>
    <row r="693" spans="2:9">
      <c r="B693" s="54"/>
      <c r="E693" s="74" t="str">
        <f t="shared" si="55"/>
        <v/>
      </c>
      <c r="F693" s="56"/>
      <c r="I693" s="56"/>
    </row>
    <row r="694" spans="2:9">
      <c r="B694" s="54"/>
      <c r="E694" s="74" t="str">
        <f t="shared" si="55"/>
        <v/>
      </c>
      <c r="F694" s="56"/>
      <c r="I694" s="56"/>
    </row>
    <row r="695" spans="2:9">
      <c r="B695" s="54"/>
      <c r="E695" s="74" t="str">
        <f t="shared" si="55"/>
        <v/>
      </c>
      <c r="F695" s="56"/>
      <c r="I695" s="56"/>
    </row>
    <row r="696" spans="2:9">
      <c r="B696" s="54"/>
      <c r="E696" s="74" t="str">
        <f t="shared" si="55"/>
        <v/>
      </c>
      <c r="F696" s="56"/>
      <c r="I696" s="56"/>
    </row>
    <row r="697" spans="2:9">
      <c r="B697" s="54"/>
      <c r="E697" s="74" t="str">
        <f t="shared" si="55"/>
        <v/>
      </c>
      <c r="F697" s="56"/>
      <c r="I697" s="56"/>
    </row>
    <row r="698" spans="2:9">
      <c r="B698" s="54"/>
      <c r="E698" s="74" t="str">
        <f t="shared" si="55"/>
        <v/>
      </c>
      <c r="F698" s="56"/>
      <c r="I698" s="56"/>
    </row>
    <row r="699" spans="2:9">
      <c r="B699" s="54"/>
      <c r="E699" s="74" t="str">
        <f t="shared" si="55"/>
        <v/>
      </c>
      <c r="F699" s="56"/>
      <c r="I699" s="56"/>
    </row>
    <row r="700" spans="2:9">
      <c r="B700" s="54"/>
      <c r="E700" s="74" t="str">
        <f t="shared" si="55"/>
        <v/>
      </c>
      <c r="F700" s="56"/>
      <c r="I700" s="56"/>
    </row>
    <row r="701" spans="2:9">
      <c r="B701" s="54"/>
      <c r="E701" s="74" t="str">
        <f t="shared" si="55"/>
        <v/>
      </c>
      <c r="F701" s="56"/>
      <c r="I701" s="56"/>
    </row>
    <row r="702" spans="2:9">
      <c r="B702" s="54"/>
      <c r="E702" s="74" t="str">
        <f t="shared" si="55"/>
        <v/>
      </c>
      <c r="F702" s="56"/>
      <c r="I702" s="56"/>
    </row>
    <row r="703" spans="2:9">
      <c r="B703" s="54"/>
      <c r="E703" s="74" t="str">
        <f t="shared" si="55"/>
        <v/>
      </c>
      <c r="F703" s="56"/>
      <c r="I703" s="56"/>
    </row>
    <row r="704" spans="2:9">
      <c r="B704" s="54"/>
      <c r="E704" s="74" t="str">
        <f t="shared" si="55"/>
        <v/>
      </c>
      <c r="F704" s="56"/>
      <c r="I704" s="56"/>
    </row>
    <row r="705" spans="2:9">
      <c r="B705" s="54"/>
      <c r="E705" s="74" t="str">
        <f t="shared" si="55"/>
        <v/>
      </c>
      <c r="F705" s="56"/>
      <c r="I705" s="56"/>
    </row>
    <row r="706" spans="2:9">
      <c r="B706" s="54"/>
      <c r="E706" s="74" t="str">
        <f t="shared" si="55"/>
        <v/>
      </c>
      <c r="F706" s="56"/>
      <c r="I706" s="56"/>
    </row>
    <row r="707" spans="2:9">
      <c r="B707" s="54"/>
      <c r="E707" s="74" t="str">
        <f t="shared" si="55"/>
        <v/>
      </c>
      <c r="F707" s="56"/>
      <c r="I707" s="56"/>
    </row>
    <row r="708" spans="2:9">
      <c r="B708" s="54"/>
      <c r="E708" s="74" t="str">
        <f t="shared" si="55"/>
        <v/>
      </c>
      <c r="F708" s="56"/>
      <c r="I708" s="56"/>
    </row>
    <row r="709" spans="2:9">
      <c r="B709" s="54"/>
      <c r="E709" s="74" t="str">
        <f t="shared" ref="E709:E772" si="56">IF(O709 = 0,"",O709)</f>
        <v/>
      </c>
      <c r="F709" s="56"/>
      <c r="I709" s="56"/>
    </row>
    <row r="710" spans="2:9">
      <c r="B710" s="54"/>
      <c r="E710" s="74" t="str">
        <f t="shared" si="56"/>
        <v/>
      </c>
      <c r="F710" s="56"/>
      <c r="I710" s="56"/>
    </row>
    <row r="711" spans="2:9">
      <c r="B711" s="54"/>
      <c r="E711" s="74" t="str">
        <f t="shared" si="56"/>
        <v/>
      </c>
      <c r="F711" s="56"/>
      <c r="I711" s="56"/>
    </row>
    <row r="712" spans="2:9">
      <c r="B712" s="54"/>
      <c r="E712" s="74" t="str">
        <f t="shared" si="56"/>
        <v/>
      </c>
      <c r="F712" s="56"/>
      <c r="I712" s="56"/>
    </row>
    <row r="713" spans="2:9">
      <c r="B713" s="54"/>
      <c r="E713" s="74" t="str">
        <f t="shared" si="56"/>
        <v/>
      </c>
      <c r="F713" s="56"/>
      <c r="I713" s="56"/>
    </row>
    <row r="714" spans="2:9">
      <c r="B714" s="54"/>
      <c r="E714" s="74" t="str">
        <f t="shared" si="56"/>
        <v/>
      </c>
      <c r="F714" s="56"/>
      <c r="I714" s="56"/>
    </row>
    <row r="715" spans="2:9">
      <c r="B715" s="54"/>
      <c r="E715" s="74" t="str">
        <f t="shared" si="56"/>
        <v/>
      </c>
      <c r="F715" s="56"/>
      <c r="I715" s="56"/>
    </row>
    <row r="716" spans="2:9">
      <c r="B716" s="54"/>
      <c r="E716" s="74" t="str">
        <f t="shared" si="56"/>
        <v/>
      </c>
      <c r="F716" s="56"/>
      <c r="I716" s="56"/>
    </row>
    <row r="717" spans="2:9">
      <c r="B717" s="54"/>
      <c r="E717" s="74" t="str">
        <f t="shared" si="56"/>
        <v/>
      </c>
      <c r="F717" s="56"/>
      <c r="I717" s="56"/>
    </row>
    <row r="718" spans="2:9">
      <c r="B718" s="54"/>
      <c r="E718" s="74" t="str">
        <f t="shared" si="56"/>
        <v/>
      </c>
      <c r="F718" s="56"/>
      <c r="I718" s="56"/>
    </row>
    <row r="719" spans="2:9">
      <c r="B719" s="54"/>
      <c r="E719" s="74" t="str">
        <f t="shared" si="56"/>
        <v/>
      </c>
      <c r="F719" s="56"/>
      <c r="I719" s="56"/>
    </row>
    <row r="720" spans="2:9">
      <c r="B720" s="54"/>
      <c r="E720" s="74" t="str">
        <f t="shared" si="56"/>
        <v/>
      </c>
      <c r="F720" s="56"/>
      <c r="I720" s="56"/>
    </row>
    <row r="721" spans="2:9">
      <c r="B721" s="54"/>
      <c r="E721" s="74" t="str">
        <f t="shared" si="56"/>
        <v/>
      </c>
      <c r="F721" s="56"/>
      <c r="I721" s="56"/>
    </row>
    <row r="722" spans="2:9">
      <c r="B722" s="54"/>
      <c r="E722" s="74" t="str">
        <f t="shared" si="56"/>
        <v/>
      </c>
      <c r="F722" s="56"/>
      <c r="I722" s="56"/>
    </row>
    <row r="723" spans="2:9">
      <c r="B723" s="54"/>
      <c r="E723" s="74" t="str">
        <f t="shared" si="56"/>
        <v/>
      </c>
      <c r="F723" s="56"/>
      <c r="I723" s="56"/>
    </row>
    <row r="724" spans="2:9">
      <c r="B724" s="54"/>
      <c r="E724" s="74" t="str">
        <f t="shared" si="56"/>
        <v/>
      </c>
      <c r="F724" s="56"/>
      <c r="I724" s="56"/>
    </row>
    <row r="725" spans="2:9">
      <c r="B725" s="54"/>
      <c r="E725" s="74" t="str">
        <f t="shared" si="56"/>
        <v/>
      </c>
      <c r="F725" s="56"/>
      <c r="I725" s="56"/>
    </row>
    <row r="726" spans="2:9">
      <c r="B726" s="54"/>
      <c r="E726" s="74" t="str">
        <f t="shared" si="56"/>
        <v/>
      </c>
      <c r="F726" s="56"/>
      <c r="I726" s="56"/>
    </row>
    <row r="727" spans="2:9">
      <c r="B727" s="54"/>
      <c r="E727" s="74" t="str">
        <f t="shared" si="56"/>
        <v/>
      </c>
      <c r="F727" s="56"/>
      <c r="I727" s="56"/>
    </row>
    <row r="728" spans="2:9">
      <c r="B728" s="54"/>
      <c r="E728" s="74" t="str">
        <f t="shared" si="56"/>
        <v/>
      </c>
      <c r="F728" s="56"/>
      <c r="I728" s="56"/>
    </row>
    <row r="729" spans="2:9">
      <c r="B729" s="54"/>
      <c r="E729" s="74" t="str">
        <f t="shared" si="56"/>
        <v/>
      </c>
      <c r="F729" s="56"/>
      <c r="I729" s="56"/>
    </row>
    <row r="730" spans="2:9">
      <c r="B730" s="54"/>
      <c r="E730" s="74" t="str">
        <f t="shared" si="56"/>
        <v/>
      </c>
      <c r="F730" s="56"/>
      <c r="I730" s="56"/>
    </row>
    <row r="731" spans="2:9">
      <c r="B731" s="54"/>
      <c r="E731" s="74" t="str">
        <f t="shared" si="56"/>
        <v/>
      </c>
      <c r="F731" s="56"/>
      <c r="I731" s="56"/>
    </row>
    <row r="732" spans="2:9">
      <c r="B732" s="54"/>
      <c r="E732" s="74" t="str">
        <f t="shared" si="56"/>
        <v/>
      </c>
      <c r="F732" s="56"/>
      <c r="I732" s="56"/>
    </row>
    <row r="733" spans="2:9">
      <c r="B733" s="54"/>
      <c r="E733" s="74" t="str">
        <f t="shared" si="56"/>
        <v/>
      </c>
      <c r="F733" s="56"/>
      <c r="I733" s="56"/>
    </row>
    <row r="734" spans="2:9">
      <c r="B734" s="54"/>
      <c r="E734" s="74" t="str">
        <f t="shared" si="56"/>
        <v/>
      </c>
      <c r="F734" s="56"/>
      <c r="I734" s="56"/>
    </row>
    <row r="735" spans="2:9">
      <c r="B735" s="54"/>
      <c r="E735" s="74" t="str">
        <f t="shared" si="56"/>
        <v/>
      </c>
      <c r="F735" s="56"/>
      <c r="I735" s="56"/>
    </row>
    <row r="736" spans="2:9">
      <c r="B736" s="54"/>
      <c r="E736" s="74" t="str">
        <f t="shared" si="56"/>
        <v/>
      </c>
      <c r="F736" s="56"/>
      <c r="I736" s="56"/>
    </row>
    <row r="737" spans="2:9">
      <c r="B737" s="54"/>
      <c r="E737" s="74" t="str">
        <f t="shared" si="56"/>
        <v/>
      </c>
      <c r="F737" s="56"/>
      <c r="I737" s="56"/>
    </row>
    <row r="738" spans="2:9">
      <c r="B738" s="54"/>
      <c r="E738" s="74" t="str">
        <f t="shared" si="56"/>
        <v/>
      </c>
      <c r="F738" s="56"/>
      <c r="I738" s="56"/>
    </row>
    <row r="739" spans="2:9">
      <c r="B739" s="54"/>
      <c r="E739" s="74" t="str">
        <f t="shared" si="56"/>
        <v/>
      </c>
      <c r="F739" s="56"/>
      <c r="I739" s="56"/>
    </row>
    <row r="740" spans="2:9">
      <c r="B740" s="54"/>
      <c r="E740" s="74" t="str">
        <f t="shared" si="56"/>
        <v/>
      </c>
      <c r="F740" s="56"/>
      <c r="I740" s="56"/>
    </row>
    <row r="741" spans="2:9">
      <c r="B741" s="54"/>
      <c r="E741" s="74" t="str">
        <f t="shared" si="56"/>
        <v/>
      </c>
      <c r="F741" s="56"/>
      <c r="I741" s="56"/>
    </row>
    <row r="742" spans="2:9">
      <c r="B742" s="54"/>
      <c r="E742" s="74" t="str">
        <f t="shared" si="56"/>
        <v/>
      </c>
      <c r="F742" s="56"/>
      <c r="I742" s="56"/>
    </row>
    <row r="743" spans="2:9">
      <c r="B743" s="54"/>
      <c r="E743" s="74" t="str">
        <f t="shared" si="56"/>
        <v/>
      </c>
      <c r="F743" s="56"/>
      <c r="I743" s="56"/>
    </row>
    <row r="744" spans="2:9">
      <c r="B744" s="54"/>
      <c r="E744" s="74" t="str">
        <f t="shared" si="56"/>
        <v/>
      </c>
      <c r="F744" s="56"/>
      <c r="I744" s="56"/>
    </row>
    <row r="745" spans="2:9">
      <c r="B745" s="54"/>
      <c r="E745" s="74" t="str">
        <f t="shared" si="56"/>
        <v/>
      </c>
      <c r="F745" s="56"/>
      <c r="I745" s="56"/>
    </row>
    <row r="746" spans="2:9">
      <c r="B746" s="54"/>
      <c r="E746" s="74" t="str">
        <f t="shared" si="56"/>
        <v/>
      </c>
      <c r="F746" s="56"/>
      <c r="I746" s="56"/>
    </row>
    <row r="747" spans="2:9">
      <c r="B747" s="54"/>
      <c r="E747" s="74" t="str">
        <f t="shared" si="56"/>
        <v/>
      </c>
      <c r="F747" s="56"/>
      <c r="I747" s="56"/>
    </row>
    <row r="748" spans="2:9">
      <c r="B748" s="54"/>
      <c r="E748" s="74" t="str">
        <f t="shared" si="56"/>
        <v/>
      </c>
      <c r="F748" s="56"/>
      <c r="I748" s="56"/>
    </row>
    <row r="749" spans="2:9">
      <c r="B749" s="54"/>
      <c r="E749" s="74" t="str">
        <f t="shared" si="56"/>
        <v/>
      </c>
      <c r="F749" s="56"/>
      <c r="I749" s="56"/>
    </row>
    <row r="750" spans="2:9">
      <c r="B750" s="54"/>
      <c r="E750" s="74" t="str">
        <f t="shared" si="56"/>
        <v/>
      </c>
      <c r="F750" s="56"/>
      <c r="I750" s="56"/>
    </row>
    <row r="751" spans="2:9">
      <c r="B751" s="54"/>
      <c r="E751" s="74" t="str">
        <f t="shared" si="56"/>
        <v/>
      </c>
      <c r="F751" s="56"/>
      <c r="I751" s="56"/>
    </row>
    <row r="752" spans="2:9">
      <c r="B752" s="54"/>
      <c r="E752" s="74" t="str">
        <f t="shared" si="56"/>
        <v/>
      </c>
      <c r="F752" s="56"/>
      <c r="I752" s="56"/>
    </row>
    <row r="753" spans="2:9">
      <c r="B753" s="54"/>
      <c r="E753" s="74" t="str">
        <f t="shared" si="56"/>
        <v/>
      </c>
      <c r="F753" s="56"/>
      <c r="I753" s="56"/>
    </row>
    <row r="754" spans="2:9">
      <c r="B754" s="54"/>
      <c r="E754" s="74" t="str">
        <f t="shared" si="56"/>
        <v/>
      </c>
      <c r="F754" s="56"/>
      <c r="I754" s="56"/>
    </row>
    <row r="755" spans="2:9">
      <c r="B755" s="54"/>
      <c r="E755" s="74" t="str">
        <f t="shared" si="56"/>
        <v/>
      </c>
      <c r="F755" s="56"/>
      <c r="I755" s="56"/>
    </row>
    <row r="756" spans="2:9">
      <c r="B756" s="54"/>
      <c r="E756" s="74" t="str">
        <f t="shared" si="56"/>
        <v/>
      </c>
      <c r="F756" s="56"/>
      <c r="I756" s="56"/>
    </row>
    <row r="757" spans="2:9">
      <c r="B757" s="54"/>
      <c r="E757" s="74" t="str">
        <f t="shared" si="56"/>
        <v/>
      </c>
      <c r="F757" s="56"/>
      <c r="I757" s="56"/>
    </row>
    <row r="758" spans="2:9">
      <c r="B758" s="54"/>
      <c r="E758" s="74" t="str">
        <f t="shared" si="56"/>
        <v/>
      </c>
      <c r="F758" s="56"/>
      <c r="I758" s="56"/>
    </row>
    <row r="759" spans="2:9">
      <c r="B759" s="54"/>
      <c r="E759" s="74" t="str">
        <f t="shared" si="56"/>
        <v/>
      </c>
      <c r="F759" s="56"/>
      <c r="I759" s="56"/>
    </row>
    <row r="760" spans="2:9">
      <c r="B760" s="54"/>
      <c r="E760" s="74" t="str">
        <f t="shared" si="56"/>
        <v/>
      </c>
      <c r="F760" s="56"/>
      <c r="I760" s="56"/>
    </row>
    <row r="761" spans="2:9">
      <c r="B761" s="54"/>
      <c r="E761" s="74" t="str">
        <f t="shared" si="56"/>
        <v/>
      </c>
      <c r="F761" s="56"/>
      <c r="I761" s="56"/>
    </row>
    <row r="762" spans="2:9">
      <c r="B762" s="54"/>
      <c r="E762" s="74" t="str">
        <f t="shared" si="56"/>
        <v/>
      </c>
      <c r="F762" s="56"/>
      <c r="I762" s="56"/>
    </row>
    <row r="763" spans="2:9">
      <c r="B763" s="54"/>
      <c r="E763" s="74" t="str">
        <f t="shared" si="56"/>
        <v/>
      </c>
      <c r="F763" s="56"/>
      <c r="I763" s="56"/>
    </row>
    <row r="764" spans="2:9">
      <c r="B764" s="54"/>
      <c r="E764" s="74" t="str">
        <f t="shared" si="56"/>
        <v/>
      </c>
      <c r="F764" s="56"/>
      <c r="I764" s="56"/>
    </row>
    <row r="765" spans="2:9">
      <c r="B765" s="54"/>
      <c r="E765" s="74" t="str">
        <f t="shared" si="56"/>
        <v/>
      </c>
      <c r="F765" s="56"/>
      <c r="I765" s="56"/>
    </row>
    <row r="766" spans="2:9">
      <c r="B766" s="54"/>
      <c r="E766" s="74" t="str">
        <f t="shared" si="56"/>
        <v/>
      </c>
      <c r="F766" s="56"/>
      <c r="I766" s="56"/>
    </row>
    <row r="767" spans="2:9">
      <c r="B767" s="54"/>
      <c r="E767" s="74" t="str">
        <f t="shared" si="56"/>
        <v/>
      </c>
      <c r="F767" s="56"/>
      <c r="I767" s="56"/>
    </row>
    <row r="768" spans="2:9">
      <c r="B768" s="54"/>
      <c r="E768" s="74" t="str">
        <f t="shared" si="56"/>
        <v/>
      </c>
      <c r="F768" s="56"/>
      <c r="I768" s="56"/>
    </row>
    <row r="769" spans="2:9">
      <c r="B769" s="54"/>
      <c r="E769" s="74" t="str">
        <f t="shared" si="56"/>
        <v/>
      </c>
      <c r="F769" s="56"/>
      <c r="I769" s="56"/>
    </row>
    <row r="770" spans="2:9">
      <c r="B770" s="54"/>
      <c r="E770" s="74" t="str">
        <f t="shared" si="56"/>
        <v/>
      </c>
      <c r="F770" s="56"/>
      <c r="I770" s="56"/>
    </row>
    <row r="771" spans="2:9">
      <c r="B771" s="54"/>
      <c r="E771" s="74" t="str">
        <f t="shared" si="56"/>
        <v/>
      </c>
      <c r="F771" s="56"/>
      <c r="I771" s="56"/>
    </row>
    <row r="772" spans="2:9">
      <c r="B772" s="54"/>
      <c r="E772" s="74" t="str">
        <f t="shared" si="56"/>
        <v/>
      </c>
      <c r="F772" s="56"/>
      <c r="I772" s="56"/>
    </row>
    <row r="773" spans="2:9">
      <c r="B773" s="54"/>
      <c r="E773" s="74" t="str">
        <f t="shared" ref="E773:E836" si="57">IF(O773 = 0,"",O773)</f>
        <v/>
      </c>
      <c r="F773" s="56"/>
      <c r="I773" s="56"/>
    </row>
    <row r="774" spans="2:9">
      <c r="B774" s="54"/>
      <c r="E774" s="74" t="str">
        <f t="shared" si="57"/>
        <v/>
      </c>
      <c r="F774" s="56"/>
      <c r="I774" s="56"/>
    </row>
    <row r="775" spans="2:9">
      <c r="B775" s="54"/>
      <c r="E775" s="74" t="str">
        <f t="shared" si="57"/>
        <v/>
      </c>
      <c r="F775" s="56"/>
      <c r="I775" s="56"/>
    </row>
    <row r="776" spans="2:9">
      <c r="B776" s="54"/>
      <c r="E776" s="74" t="str">
        <f t="shared" si="57"/>
        <v/>
      </c>
      <c r="F776" s="56"/>
      <c r="I776" s="56"/>
    </row>
    <row r="777" spans="2:9">
      <c r="B777" s="54"/>
      <c r="E777" s="74" t="str">
        <f t="shared" si="57"/>
        <v/>
      </c>
      <c r="F777" s="56"/>
      <c r="I777" s="56"/>
    </row>
    <row r="778" spans="2:9">
      <c r="B778" s="54"/>
      <c r="E778" s="74" t="str">
        <f t="shared" si="57"/>
        <v/>
      </c>
      <c r="F778" s="56"/>
      <c r="I778" s="56"/>
    </row>
    <row r="779" spans="2:9">
      <c r="B779" s="54"/>
      <c r="E779" s="74" t="str">
        <f t="shared" si="57"/>
        <v/>
      </c>
      <c r="F779" s="56"/>
      <c r="I779" s="56"/>
    </row>
    <row r="780" spans="2:9">
      <c r="B780" s="54"/>
      <c r="E780" s="74" t="str">
        <f t="shared" si="57"/>
        <v/>
      </c>
      <c r="F780" s="56"/>
      <c r="I780" s="56"/>
    </row>
    <row r="781" spans="2:9">
      <c r="B781" s="54"/>
      <c r="E781" s="74" t="str">
        <f t="shared" si="57"/>
        <v/>
      </c>
      <c r="F781" s="56"/>
      <c r="I781" s="56"/>
    </row>
    <row r="782" spans="2:9">
      <c r="B782" s="54"/>
      <c r="E782" s="74" t="str">
        <f t="shared" si="57"/>
        <v/>
      </c>
      <c r="F782" s="56"/>
      <c r="I782" s="56"/>
    </row>
    <row r="783" spans="2:9">
      <c r="B783" s="54"/>
      <c r="E783" s="74" t="str">
        <f t="shared" si="57"/>
        <v/>
      </c>
      <c r="F783" s="56"/>
      <c r="I783" s="56"/>
    </row>
    <row r="784" spans="2:9">
      <c r="B784" s="54"/>
      <c r="E784" s="74" t="str">
        <f t="shared" si="57"/>
        <v/>
      </c>
      <c r="F784" s="56"/>
      <c r="I784" s="56"/>
    </row>
    <row r="785" spans="2:9">
      <c r="B785" s="54"/>
      <c r="E785" s="74" t="str">
        <f t="shared" si="57"/>
        <v/>
      </c>
      <c r="F785" s="56"/>
      <c r="I785" s="56"/>
    </row>
    <row r="786" spans="2:9">
      <c r="B786" s="54"/>
      <c r="E786" s="74" t="str">
        <f t="shared" si="57"/>
        <v/>
      </c>
      <c r="F786" s="56"/>
      <c r="I786" s="56"/>
    </row>
    <row r="787" spans="2:9">
      <c r="B787" s="54"/>
      <c r="E787" s="74" t="str">
        <f t="shared" si="57"/>
        <v/>
      </c>
      <c r="F787" s="56"/>
      <c r="I787" s="56"/>
    </row>
    <row r="788" spans="2:9">
      <c r="B788" s="54"/>
      <c r="E788" s="74" t="str">
        <f t="shared" si="57"/>
        <v/>
      </c>
      <c r="F788" s="56"/>
      <c r="I788" s="56"/>
    </row>
    <row r="789" spans="2:9">
      <c r="B789" s="54"/>
      <c r="E789" s="74" t="str">
        <f t="shared" si="57"/>
        <v/>
      </c>
      <c r="F789" s="56"/>
      <c r="I789" s="56"/>
    </row>
    <row r="790" spans="2:9">
      <c r="B790" s="54"/>
      <c r="E790" s="74" t="str">
        <f t="shared" si="57"/>
        <v/>
      </c>
      <c r="F790" s="56"/>
      <c r="I790" s="56"/>
    </row>
    <row r="791" spans="2:9">
      <c r="B791" s="54"/>
      <c r="E791" s="74" t="str">
        <f t="shared" si="57"/>
        <v/>
      </c>
      <c r="F791" s="56"/>
      <c r="I791" s="56"/>
    </row>
    <row r="792" spans="2:9">
      <c r="B792" s="54"/>
      <c r="E792" s="74" t="str">
        <f t="shared" si="57"/>
        <v/>
      </c>
      <c r="F792" s="56"/>
      <c r="I792" s="56"/>
    </row>
    <row r="793" spans="2:9">
      <c r="B793" s="54"/>
      <c r="E793" s="74" t="str">
        <f t="shared" si="57"/>
        <v/>
      </c>
      <c r="F793" s="56"/>
      <c r="I793" s="56"/>
    </row>
    <row r="794" spans="2:9">
      <c r="B794" s="54"/>
      <c r="E794" s="74" t="str">
        <f t="shared" si="57"/>
        <v/>
      </c>
      <c r="F794" s="56"/>
      <c r="I794" s="56"/>
    </row>
    <row r="795" spans="2:9">
      <c r="B795" s="54"/>
      <c r="E795" s="74" t="str">
        <f t="shared" si="57"/>
        <v/>
      </c>
      <c r="F795" s="56"/>
      <c r="I795" s="56"/>
    </row>
    <row r="796" spans="2:9">
      <c r="B796" s="54"/>
      <c r="E796" s="74" t="str">
        <f t="shared" si="57"/>
        <v/>
      </c>
      <c r="F796" s="56"/>
      <c r="I796" s="56"/>
    </row>
    <row r="797" spans="2:9">
      <c r="B797" s="54"/>
      <c r="E797" s="74" t="str">
        <f t="shared" si="57"/>
        <v/>
      </c>
      <c r="F797" s="56"/>
      <c r="I797" s="56"/>
    </row>
    <row r="798" spans="2:9">
      <c r="B798" s="54"/>
      <c r="E798" s="74" t="str">
        <f t="shared" si="57"/>
        <v/>
      </c>
      <c r="F798" s="56"/>
      <c r="I798" s="56"/>
    </row>
    <row r="799" spans="2:9">
      <c r="B799" s="54"/>
      <c r="E799" s="74" t="str">
        <f t="shared" si="57"/>
        <v/>
      </c>
      <c r="F799" s="56"/>
      <c r="I799" s="56"/>
    </row>
    <row r="800" spans="2:9">
      <c r="B800" s="54"/>
      <c r="E800" s="74" t="str">
        <f t="shared" si="57"/>
        <v/>
      </c>
      <c r="F800" s="56"/>
      <c r="I800" s="56"/>
    </row>
    <row r="801" spans="2:9">
      <c r="B801" s="54"/>
      <c r="E801" s="74" t="str">
        <f t="shared" si="57"/>
        <v/>
      </c>
      <c r="F801" s="56"/>
      <c r="I801" s="56"/>
    </row>
    <row r="802" spans="2:9">
      <c r="B802" s="54"/>
      <c r="E802" s="74" t="str">
        <f t="shared" si="57"/>
        <v/>
      </c>
      <c r="F802" s="56"/>
      <c r="I802" s="56"/>
    </row>
    <row r="803" spans="2:9">
      <c r="B803" s="54"/>
      <c r="E803" s="74" t="str">
        <f t="shared" si="57"/>
        <v/>
      </c>
      <c r="F803" s="56"/>
      <c r="I803" s="56"/>
    </row>
    <row r="804" spans="2:9">
      <c r="B804" s="54"/>
      <c r="E804" s="74" t="str">
        <f t="shared" si="57"/>
        <v/>
      </c>
      <c r="F804" s="56"/>
      <c r="I804" s="56"/>
    </row>
    <row r="805" spans="2:9">
      <c r="B805" s="54"/>
      <c r="E805" s="74" t="str">
        <f t="shared" si="57"/>
        <v/>
      </c>
      <c r="F805" s="56"/>
      <c r="I805" s="56"/>
    </row>
    <row r="806" spans="2:9">
      <c r="B806" s="54"/>
      <c r="E806" s="74" t="str">
        <f t="shared" si="57"/>
        <v/>
      </c>
      <c r="F806" s="56"/>
      <c r="I806" s="56"/>
    </row>
    <row r="807" spans="2:9">
      <c r="B807" s="54"/>
      <c r="E807" s="74" t="str">
        <f t="shared" si="57"/>
        <v/>
      </c>
      <c r="F807" s="56"/>
      <c r="I807" s="56"/>
    </row>
    <row r="808" spans="2:9">
      <c r="B808" s="54"/>
      <c r="E808" s="74" t="str">
        <f t="shared" si="57"/>
        <v/>
      </c>
      <c r="F808" s="56"/>
      <c r="I808" s="56"/>
    </row>
    <row r="809" spans="2:9">
      <c r="B809" s="54"/>
      <c r="E809" s="74" t="str">
        <f t="shared" si="57"/>
        <v/>
      </c>
      <c r="F809" s="56"/>
      <c r="I809" s="56"/>
    </row>
    <row r="810" spans="2:9">
      <c r="B810" s="54"/>
      <c r="E810" s="74" t="str">
        <f t="shared" si="57"/>
        <v/>
      </c>
      <c r="F810" s="56"/>
      <c r="I810" s="56"/>
    </row>
    <row r="811" spans="2:9">
      <c r="B811" s="54"/>
      <c r="E811" s="74" t="str">
        <f t="shared" si="57"/>
        <v/>
      </c>
      <c r="F811" s="56"/>
      <c r="I811" s="56"/>
    </row>
    <row r="812" spans="2:9">
      <c r="B812" s="54"/>
      <c r="E812" s="74" t="str">
        <f t="shared" si="57"/>
        <v/>
      </c>
      <c r="F812" s="56"/>
      <c r="I812" s="56"/>
    </row>
    <row r="813" spans="2:9">
      <c r="B813" s="54"/>
      <c r="E813" s="74" t="str">
        <f t="shared" si="57"/>
        <v/>
      </c>
      <c r="F813" s="56"/>
      <c r="I813" s="56"/>
    </row>
    <row r="814" spans="2:9">
      <c r="B814" s="54"/>
      <c r="E814" s="74" t="str">
        <f t="shared" si="57"/>
        <v/>
      </c>
      <c r="F814" s="56"/>
      <c r="I814" s="56"/>
    </row>
    <row r="815" spans="2:9">
      <c r="B815" s="54"/>
      <c r="E815" s="74" t="str">
        <f t="shared" si="57"/>
        <v/>
      </c>
      <c r="F815" s="56"/>
      <c r="I815" s="56"/>
    </row>
    <row r="816" spans="2:9">
      <c r="B816" s="54"/>
      <c r="E816" s="74" t="str">
        <f t="shared" si="57"/>
        <v/>
      </c>
      <c r="F816" s="56"/>
      <c r="I816" s="56"/>
    </row>
    <row r="817" spans="2:9">
      <c r="B817" s="54"/>
      <c r="E817" s="74" t="str">
        <f t="shared" si="57"/>
        <v/>
      </c>
      <c r="F817" s="56"/>
      <c r="I817" s="56"/>
    </row>
    <row r="818" spans="2:9">
      <c r="B818" s="54"/>
      <c r="E818" s="74" t="str">
        <f t="shared" si="57"/>
        <v/>
      </c>
      <c r="F818" s="56"/>
      <c r="I818" s="56"/>
    </row>
    <row r="819" spans="2:9">
      <c r="B819" s="54"/>
      <c r="E819" s="74" t="str">
        <f t="shared" si="57"/>
        <v/>
      </c>
      <c r="F819" s="56"/>
      <c r="I819" s="56"/>
    </row>
    <row r="820" spans="2:9">
      <c r="B820" s="54"/>
      <c r="E820" s="74" t="str">
        <f t="shared" si="57"/>
        <v/>
      </c>
      <c r="F820" s="56"/>
      <c r="I820" s="56"/>
    </row>
    <row r="821" spans="2:9">
      <c r="B821" s="54"/>
      <c r="E821" s="74" t="str">
        <f t="shared" si="57"/>
        <v/>
      </c>
      <c r="F821" s="56"/>
      <c r="I821" s="56"/>
    </row>
    <row r="822" spans="2:9">
      <c r="B822" s="54"/>
      <c r="E822" s="74" t="str">
        <f t="shared" si="57"/>
        <v/>
      </c>
      <c r="F822" s="56"/>
      <c r="I822" s="56"/>
    </row>
    <row r="823" spans="2:9">
      <c r="B823" s="54"/>
      <c r="E823" s="74" t="str">
        <f t="shared" si="57"/>
        <v/>
      </c>
      <c r="F823" s="56"/>
      <c r="I823" s="56"/>
    </row>
    <row r="824" spans="2:9">
      <c r="B824" s="54"/>
      <c r="E824" s="74" t="str">
        <f t="shared" si="57"/>
        <v/>
      </c>
      <c r="F824" s="56"/>
      <c r="I824" s="56"/>
    </row>
    <row r="825" spans="2:9">
      <c r="B825" s="54"/>
      <c r="E825" s="74" t="str">
        <f t="shared" si="57"/>
        <v/>
      </c>
      <c r="F825" s="56"/>
      <c r="I825" s="56"/>
    </row>
    <row r="826" spans="2:9">
      <c r="B826" s="54"/>
      <c r="E826" s="74" t="str">
        <f t="shared" si="57"/>
        <v/>
      </c>
      <c r="F826" s="56"/>
      <c r="I826" s="56"/>
    </row>
    <row r="827" spans="2:9">
      <c r="B827" s="54"/>
      <c r="E827" s="74" t="str">
        <f t="shared" si="57"/>
        <v/>
      </c>
      <c r="F827" s="56"/>
      <c r="I827" s="56"/>
    </row>
    <row r="828" spans="2:9">
      <c r="B828" s="54"/>
      <c r="E828" s="74" t="str">
        <f t="shared" si="57"/>
        <v/>
      </c>
      <c r="F828" s="56"/>
      <c r="I828" s="56"/>
    </row>
    <row r="829" spans="2:9">
      <c r="B829" s="54"/>
      <c r="E829" s="74" t="str">
        <f t="shared" si="57"/>
        <v/>
      </c>
      <c r="F829" s="56"/>
      <c r="I829" s="56"/>
    </row>
    <row r="830" spans="2:9">
      <c r="B830" s="54"/>
      <c r="E830" s="74" t="str">
        <f t="shared" si="57"/>
        <v/>
      </c>
      <c r="F830" s="56"/>
      <c r="I830" s="56"/>
    </row>
    <row r="831" spans="2:9">
      <c r="B831" s="54"/>
      <c r="E831" s="74" t="str">
        <f t="shared" si="57"/>
        <v/>
      </c>
      <c r="F831" s="56"/>
      <c r="I831" s="56"/>
    </row>
    <row r="832" spans="2:9">
      <c r="B832" s="54"/>
      <c r="E832" s="74" t="str">
        <f t="shared" si="57"/>
        <v/>
      </c>
      <c r="F832" s="56"/>
      <c r="I832" s="56"/>
    </row>
    <row r="833" spans="2:9">
      <c r="B833" s="54"/>
      <c r="E833" s="74" t="str">
        <f t="shared" si="57"/>
        <v/>
      </c>
      <c r="F833" s="56"/>
      <c r="I833" s="56"/>
    </row>
    <row r="834" spans="2:9">
      <c r="B834" s="54"/>
      <c r="E834" s="74" t="str">
        <f t="shared" si="57"/>
        <v/>
      </c>
      <c r="F834" s="56"/>
      <c r="I834" s="56"/>
    </row>
    <row r="835" spans="2:9">
      <c r="B835" s="54"/>
      <c r="E835" s="74" t="str">
        <f t="shared" si="57"/>
        <v/>
      </c>
      <c r="F835" s="56"/>
      <c r="I835" s="56"/>
    </row>
    <row r="836" spans="2:9">
      <c r="B836" s="54"/>
      <c r="E836" s="74" t="str">
        <f t="shared" si="57"/>
        <v/>
      </c>
      <c r="F836" s="56"/>
      <c r="I836" s="56"/>
    </row>
    <row r="837" spans="2:9">
      <c r="B837" s="54"/>
      <c r="E837" s="74" t="str">
        <f t="shared" ref="E837:E900" si="58">IF(O837 = 0,"",O837)</f>
        <v/>
      </c>
      <c r="F837" s="56"/>
      <c r="I837" s="56"/>
    </row>
    <row r="838" spans="2:9">
      <c r="B838" s="54"/>
      <c r="E838" s="74" t="str">
        <f t="shared" si="58"/>
        <v/>
      </c>
      <c r="F838" s="56"/>
      <c r="I838" s="56"/>
    </row>
    <row r="839" spans="2:9">
      <c r="B839" s="54"/>
      <c r="E839" s="74" t="str">
        <f t="shared" si="58"/>
        <v/>
      </c>
      <c r="F839" s="56"/>
      <c r="I839" s="56"/>
    </row>
    <row r="840" spans="2:9">
      <c r="B840" s="54"/>
      <c r="E840" s="74" t="str">
        <f t="shared" si="58"/>
        <v/>
      </c>
      <c r="F840" s="56"/>
      <c r="I840" s="56"/>
    </row>
    <row r="841" spans="2:9">
      <c r="B841" s="54"/>
      <c r="E841" s="74" t="str">
        <f t="shared" si="58"/>
        <v/>
      </c>
      <c r="F841" s="56"/>
      <c r="I841" s="56"/>
    </row>
    <row r="842" spans="2:9">
      <c r="B842" s="54"/>
      <c r="E842" s="74" t="str">
        <f t="shared" si="58"/>
        <v/>
      </c>
      <c r="F842" s="56"/>
      <c r="I842" s="56"/>
    </row>
    <row r="843" spans="2:9">
      <c r="B843" s="54"/>
      <c r="E843" s="74" t="str">
        <f t="shared" si="58"/>
        <v/>
      </c>
      <c r="F843" s="56"/>
      <c r="I843" s="56"/>
    </row>
    <row r="844" spans="2:9">
      <c r="B844" s="54"/>
      <c r="E844" s="74" t="str">
        <f t="shared" si="58"/>
        <v/>
      </c>
      <c r="F844" s="56"/>
      <c r="I844" s="56"/>
    </row>
    <row r="845" spans="2:9">
      <c r="B845" s="54"/>
      <c r="E845" s="74" t="str">
        <f t="shared" si="58"/>
        <v/>
      </c>
      <c r="F845" s="56"/>
      <c r="I845" s="56"/>
    </row>
    <row r="846" spans="2:9">
      <c r="B846" s="54"/>
      <c r="E846" s="74" t="str">
        <f t="shared" si="58"/>
        <v/>
      </c>
      <c r="F846" s="56"/>
      <c r="I846" s="56"/>
    </row>
    <row r="847" spans="2:9">
      <c r="B847" s="54"/>
      <c r="E847" s="74" t="str">
        <f t="shared" si="58"/>
        <v/>
      </c>
      <c r="F847" s="56"/>
      <c r="I847" s="56"/>
    </row>
    <row r="848" spans="2:9">
      <c r="B848" s="54"/>
      <c r="E848" s="74" t="str">
        <f t="shared" si="58"/>
        <v/>
      </c>
      <c r="F848" s="56"/>
      <c r="I848" s="56"/>
    </row>
    <row r="849" spans="2:9">
      <c r="B849" s="54"/>
      <c r="E849" s="74" t="str">
        <f t="shared" si="58"/>
        <v/>
      </c>
      <c r="F849" s="56"/>
      <c r="I849" s="56"/>
    </row>
    <row r="850" spans="2:9">
      <c r="B850" s="54"/>
      <c r="E850" s="74" t="str">
        <f t="shared" si="58"/>
        <v/>
      </c>
      <c r="F850" s="56"/>
      <c r="I850" s="56"/>
    </row>
    <row r="851" spans="2:9">
      <c r="B851" s="54"/>
      <c r="E851" s="74" t="str">
        <f t="shared" si="58"/>
        <v/>
      </c>
      <c r="F851" s="56"/>
      <c r="I851" s="56"/>
    </row>
    <row r="852" spans="2:9">
      <c r="B852" s="54"/>
      <c r="E852" s="74" t="str">
        <f t="shared" si="58"/>
        <v/>
      </c>
      <c r="F852" s="56"/>
      <c r="I852" s="56"/>
    </row>
    <row r="853" spans="2:9">
      <c r="B853" s="54"/>
      <c r="E853" s="74" t="str">
        <f t="shared" si="58"/>
        <v/>
      </c>
      <c r="F853" s="56"/>
      <c r="I853" s="56"/>
    </row>
    <row r="854" spans="2:9">
      <c r="B854" s="54"/>
      <c r="E854" s="74" t="str">
        <f t="shared" si="58"/>
        <v/>
      </c>
      <c r="F854" s="56"/>
      <c r="I854" s="56"/>
    </row>
    <row r="855" spans="2:9">
      <c r="B855" s="54"/>
      <c r="E855" s="74" t="str">
        <f t="shared" si="58"/>
        <v/>
      </c>
      <c r="F855" s="56"/>
      <c r="I855" s="56"/>
    </row>
    <row r="856" spans="2:9">
      <c r="B856" s="54"/>
      <c r="E856" s="74" t="str">
        <f t="shared" si="58"/>
        <v/>
      </c>
      <c r="F856" s="56"/>
      <c r="I856" s="56"/>
    </row>
    <row r="857" spans="2:9">
      <c r="B857" s="54"/>
      <c r="E857" s="74" t="str">
        <f t="shared" si="58"/>
        <v/>
      </c>
      <c r="F857" s="56"/>
      <c r="I857" s="56"/>
    </row>
    <row r="858" spans="2:9">
      <c r="B858" s="54"/>
      <c r="E858" s="74" t="str">
        <f t="shared" si="58"/>
        <v/>
      </c>
      <c r="F858" s="56"/>
      <c r="I858" s="56"/>
    </row>
    <row r="859" spans="2:9">
      <c r="B859" s="54"/>
      <c r="E859" s="74" t="str">
        <f t="shared" si="58"/>
        <v/>
      </c>
      <c r="F859" s="56"/>
      <c r="I859" s="56"/>
    </row>
    <row r="860" spans="2:9">
      <c r="B860" s="54"/>
      <c r="E860" s="74" t="str">
        <f t="shared" si="58"/>
        <v/>
      </c>
      <c r="F860" s="56"/>
      <c r="I860" s="56"/>
    </row>
    <row r="861" spans="2:9">
      <c r="B861" s="54"/>
      <c r="E861" s="74" t="str">
        <f t="shared" si="58"/>
        <v/>
      </c>
      <c r="F861" s="56"/>
      <c r="I861" s="56"/>
    </row>
    <row r="862" spans="2:9">
      <c r="B862" s="54"/>
      <c r="E862" s="74" t="str">
        <f t="shared" si="58"/>
        <v/>
      </c>
      <c r="F862" s="56"/>
      <c r="I862" s="56"/>
    </row>
    <row r="863" spans="2:9">
      <c r="B863" s="54"/>
      <c r="E863" s="74" t="str">
        <f t="shared" si="58"/>
        <v/>
      </c>
      <c r="F863" s="56"/>
      <c r="I863" s="56"/>
    </row>
    <row r="864" spans="2:9">
      <c r="B864" s="54"/>
      <c r="E864" s="74" t="str">
        <f t="shared" si="58"/>
        <v/>
      </c>
      <c r="F864" s="56"/>
      <c r="I864" s="56"/>
    </row>
    <row r="865" spans="2:9">
      <c r="B865" s="54"/>
      <c r="E865" s="74" t="str">
        <f t="shared" si="58"/>
        <v/>
      </c>
      <c r="F865" s="56"/>
      <c r="I865" s="56"/>
    </row>
    <row r="866" spans="2:9">
      <c r="B866" s="54"/>
      <c r="E866" s="74" t="str">
        <f t="shared" si="58"/>
        <v/>
      </c>
      <c r="F866" s="56"/>
      <c r="I866" s="56"/>
    </row>
    <row r="867" spans="2:9">
      <c r="B867" s="54"/>
      <c r="E867" s="74" t="str">
        <f t="shared" si="58"/>
        <v/>
      </c>
      <c r="F867" s="56"/>
      <c r="I867" s="56"/>
    </row>
    <row r="868" spans="2:9">
      <c r="B868" s="54"/>
      <c r="E868" s="74" t="str">
        <f t="shared" si="58"/>
        <v/>
      </c>
      <c r="F868" s="56"/>
      <c r="I868" s="56"/>
    </row>
    <row r="869" spans="2:9">
      <c r="B869" s="54"/>
      <c r="E869" s="74" t="str">
        <f t="shared" si="58"/>
        <v/>
      </c>
      <c r="F869" s="56"/>
      <c r="I869" s="56"/>
    </row>
    <row r="870" spans="2:9">
      <c r="B870" s="54"/>
      <c r="E870" s="74" t="str">
        <f t="shared" si="58"/>
        <v/>
      </c>
      <c r="F870" s="56"/>
      <c r="I870" s="56"/>
    </row>
    <row r="871" spans="2:9">
      <c r="B871" s="54"/>
      <c r="E871" s="74" t="str">
        <f t="shared" si="58"/>
        <v/>
      </c>
      <c r="F871" s="56"/>
      <c r="I871" s="56"/>
    </row>
    <row r="872" spans="2:9">
      <c r="B872" s="54"/>
      <c r="E872" s="74" t="str">
        <f t="shared" si="58"/>
        <v/>
      </c>
      <c r="F872" s="56"/>
      <c r="I872" s="56"/>
    </row>
    <row r="873" spans="2:9">
      <c r="B873" s="54"/>
      <c r="E873" s="74" t="str">
        <f t="shared" si="58"/>
        <v/>
      </c>
      <c r="F873" s="56"/>
      <c r="I873" s="56"/>
    </row>
    <row r="874" spans="2:9">
      <c r="B874" s="54"/>
      <c r="E874" s="74" t="str">
        <f t="shared" si="58"/>
        <v/>
      </c>
      <c r="F874" s="56"/>
      <c r="I874" s="56"/>
    </row>
    <row r="875" spans="2:9">
      <c r="B875" s="54"/>
      <c r="E875" s="74" t="str">
        <f t="shared" si="58"/>
        <v/>
      </c>
      <c r="F875" s="56"/>
      <c r="I875" s="56"/>
    </row>
    <row r="876" spans="2:9">
      <c r="B876" s="54"/>
      <c r="E876" s="74" t="str">
        <f t="shared" si="58"/>
        <v/>
      </c>
      <c r="F876" s="56"/>
      <c r="I876" s="56"/>
    </row>
    <row r="877" spans="2:9">
      <c r="B877" s="54"/>
      <c r="E877" s="74" t="str">
        <f t="shared" si="58"/>
        <v/>
      </c>
      <c r="F877" s="56"/>
      <c r="I877" s="56"/>
    </row>
    <row r="878" spans="2:9">
      <c r="B878" s="54"/>
      <c r="E878" s="74" t="str">
        <f t="shared" si="58"/>
        <v/>
      </c>
      <c r="F878" s="56"/>
      <c r="I878" s="56"/>
    </row>
    <row r="879" spans="2:9">
      <c r="B879" s="54"/>
      <c r="E879" s="74" t="str">
        <f t="shared" si="58"/>
        <v/>
      </c>
      <c r="F879" s="56"/>
      <c r="I879" s="56"/>
    </row>
    <row r="880" spans="2:9">
      <c r="B880" s="54"/>
      <c r="E880" s="74" t="str">
        <f t="shared" si="58"/>
        <v/>
      </c>
      <c r="F880" s="56"/>
      <c r="I880" s="56"/>
    </row>
    <row r="881" spans="2:9">
      <c r="B881" s="54"/>
      <c r="E881" s="74" t="str">
        <f t="shared" si="58"/>
        <v/>
      </c>
      <c r="F881" s="56"/>
      <c r="I881" s="56"/>
    </row>
    <row r="882" spans="2:9">
      <c r="B882" s="54"/>
      <c r="E882" s="74" t="str">
        <f t="shared" si="58"/>
        <v/>
      </c>
      <c r="F882" s="56"/>
      <c r="I882" s="56"/>
    </row>
    <row r="883" spans="2:9">
      <c r="B883" s="54"/>
      <c r="E883" s="74" t="str">
        <f t="shared" si="58"/>
        <v/>
      </c>
      <c r="F883" s="56"/>
      <c r="I883" s="56"/>
    </row>
    <row r="884" spans="2:9">
      <c r="B884" s="54"/>
      <c r="E884" s="74" t="str">
        <f t="shared" si="58"/>
        <v/>
      </c>
      <c r="F884" s="56"/>
      <c r="I884" s="56"/>
    </row>
    <row r="885" spans="2:9">
      <c r="B885" s="54"/>
      <c r="E885" s="74" t="str">
        <f t="shared" si="58"/>
        <v/>
      </c>
      <c r="F885" s="56"/>
      <c r="I885" s="56"/>
    </row>
    <row r="886" spans="2:9">
      <c r="B886" s="54"/>
      <c r="E886" s="74" t="str">
        <f t="shared" si="58"/>
        <v/>
      </c>
      <c r="F886" s="56"/>
      <c r="I886" s="56"/>
    </row>
    <row r="887" spans="2:9">
      <c r="B887" s="54"/>
      <c r="E887" s="74" t="str">
        <f t="shared" si="58"/>
        <v/>
      </c>
      <c r="F887" s="56"/>
      <c r="I887" s="56"/>
    </row>
    <row r="888" spans="2:9">
      <c r="B888" s="54"/>
      <c r="E888" s="74" t="str">
        <f t="shared" si="58"/>
        <v/>
      </c>
      <c r="F888" s="56"/>
      <c r="I888" s="56"/>
    </row>
    <row r="889" spans="2:9">
      <c r="B889" s="54"/>
      <c r="E889" s="74" t="str">
        <f t="shared" si="58"/>
        <v/>
      </c>
      <c r="F889" s="56"/>
      <c r="I889" s="56"/>
    </row>
    <row r="890" spans="2:9">
      <c r="B890" s="54"/>
      <c r="E890" s="74" t="str">
        <f t="shared" si="58"/>
        <v/>
      </c>
      <c r="F890" s="56"/>
      <c r="I890" s="56"/>
    </row>
    <row r="891" spans="2:9">
      <c r="B891" s="54"/>
      <c r="E891" s="74" t="str">
        <f t="shared" si="58"/>
        <v/>
      </c>
      <c r="F891" s="56"/>
      <c r="I891" s="56"/>
    </row>
    <row r="892" spans="2:9">
      <c r="B892" s="54"/>
      <c r="E892" s="74" t="str">
        <f t="shared" si="58"/>
        <v/>
      </c>
      <c r="F892" s="56"/>
      <c r="I892" s="56"/>
    </row>
    <row r="893" spans="2:9">
      <c r="B893" s="54"/>
      <c r="E893" s="74" t="str">
        <f t="shared" si="58"/>
        <v/>
      </c>
      <c r="F893" s="56"/>
      <c r="I893" s="56"/>
    </row>
    <row r="894" spans="2:9">
      <c r="B894" s="54"/>
      <c r="E894" s="74" t="str">
        <f t="shared" si="58"/>
        <v/>
      </c>
      <c r="F894" s="56"/>
      <c r="I894" s="56"/>
    </row>
    <row r="895" spans="2:9">
      <c r="B895" s="54"/>
      <c r="E895" s="74" t="str">
        <f t="shared" si="58"/>
        <v/>
      </c>
      <c r="F895" s="56"/>
      <c r="I895" s="56"/>
    </row>
    <row r="896" spans="2:9">
      <c r="B896" s="54"/>
      <c r="E896" s="74" t="str">
        <f t="shared" si="58"/>
        <v/>
      </c>
      <c r="F896" s="56"/>
      <c r="I896" s="56"/>
    </row>
    <row r="897" spans="2:9">
      <c r="B897" s="54"/>
      <c r="E897" s="74" t="str">
        <f t="shared" si="58"/>
        <v/>
      </c>
      <c r="F897" s="56"/>
      <c r="I897" s="56"/>
    </row>
    <row r="898" spans="2:9">
      <c r="B898" s="54"/>
      <c r="E898" s="74" t="str">
        <f t="shared" si="58"/>
        <v/>
      </c>
      <c r="F898" s="56"/>
      <c r="I898" s="56"/>
    </row>
    <row r="899" spans="2:9">
      <c r="B899" s="54"/>
      <c r="E899" s="74" t="str">
        <f t="shared" si="58"/>
        <v/>
      </c>
      <c r="F899" s="56"/>
      <c r="I899" s="56"/>
    </row>
    <row r="900" spans="2:9">
      <c r="B900" s="54"/>
      <c r="E900" s="74" t="str">
        <f t="shared" si="58"/>
        <v/>
      </c>
      <c r="F900" s="56"/>
      <c r="I900" s="56"/>
    </row>
    <row r="901" spans="2:9">
      <c r="B901" s="54"/>
      <c r="E901" s="74" t="str">
        <f t="shared" ref="E901:E964" si="59">IF(O901 = 0,"",O901)</f>
        <v/>
      </c>
      <c r="F901" s="56"/>
      <c r="I901" s="56"/>
    </row>
    <row r="902" spans="2:9">
      <c r="B902" s="54"/>
      <c r="E902" s="74" t="str">
        <f t="shared" si="59"/>
        <v/>
      </c>
      <c r="F902" s="56"/>
      <c r="I902" s="56"/>
    </row>
    <row r="903" spans="2:9">
      <c r="B903" s="54"/>
      <c r="E903" s="74" t="str">
        <f t="shared" si="59"/>
        <v/>
      </c>
      <c r="F903" s="56"/>
      <c r="I903" s="56"/>
    </row>
    <row r="904" spans="2:9">
      <c r="B904" s="54"/>
      <c r="E904" s="74" t="str">
        <f t="shared" si="59"/>
        <v/>
      </c>
      <c r="F904" s="56"/>
      <c r="I904" s="56"/>
    </row>
    <row r="905" spans="2:9">
      <c r="B905" s="54"/>
      <c r="E905" s="74" t="str">
        <f t="shared" si="59"/>
        <v/>
      </c>
      <c r="F905" s="56"/>
      <c r="I905" s="56"/>
    </row>
    <row r="906" spans="2:9">
      <c r="B906" s="54"/>
      <c r="E906" s="74" t="str">
        <f t="shared" si="59"/>
        <v/>
      </c>
      <c r="F906" s="56"/>
      <c r="I906" s="56"/>
    </row>
    <row r="907" spans="2:9">
      <c r="B907" s="54"/>
      <c r="E907" s="74" t="str">
        <f t="shared" si="59"/>
        <v/>
      </c>
      <c r="F907" s="56"/>
      <c r="I907" s="56"/>
    </row>
    <row r="908" spans="2:9">
      <c r="B908" s="54"/>
      <c r="E908" s="74" t="str">
        <f t="shared" si="59"/>
        <v/>
      </c>
      <c r="F908" s="56"/>
      <c r="I908" s="56"/>
    </row>
    <row r="909" spans="2:9">
      <c r="B909" s="54"/>
      <c r="E909" s="74" t="str">
        <f t="shared" si="59"/>
        <v/>
      </c>
      <c r="F909" s="56"/>
      <c r="I909" s="56"/>
    </row>
    <row r="910" spans="2:9">
      <c r="B910" s="54"/>
      <c r="E910" s="74" t="str">
        <f t="shared" si="59"/>
        <v/>
      </c>
      <c r="F910" s="56"/>
      <c r="I910" s="56"/>
    </row>
    <row r="911" spans="2:9">
      <c r="B911" s="54"/>
      <c r="E911" s="74" t="str">
        <f t="shared" si="59"/>
        <v/>
      </c>
      <c r="F911" s="56"/>
      <c r="I911" s="56"/>
    </row>
    <row r="912" spans="2:9">
      <c r="B912" s="54"/>
      <c r="E912" s="74" t="str">
        <f t="shared" si="59"/>
        <v/>
      </c>
      <c r="F912" s="56"/>
      <c r="I912" s="56"/>
    </row>
    <row r="913" spans="2:9">
      <c r="B913" s="54"/>
      <c r="E913" s="74" t="str">
        <f t="shared" si="59"/>
        <v/>
      </c>
      <c r="F913" s="56"/>
      <c r="I913" s="56"/>
    </row>
    <row r="914" spans="2:9">
      <c r="B914" s="54"/>
      <c r="E914" s="74" t="str">
        <f t="shared" si="59"/>
        <v/>
      </c>
      <c r="F914" s="56"/>
      <c r="I914" s="56"/>
    </row>
    <row r="915" spans="2:9">
      <c r="B915" s="54"/>
      <c r="E915" s="74" t="str">
        <f t="shared" si="59"/>
        <v/>
      </c>
      <c r="F915" s="56"/>
      <c r="I915" s="56"/>
    </row>
    <row r="916" spans="2:9">
      <c r="B916" s="54"/>
      <c r="E916" s="74" t="str">
        <f t="shared" si="59"/>
        <v/>
      </c>
      <c r="F916" s="56"/>
      <c r="I916" s="56"/>
    </row>
    <row r="917" spans="2:9">
      <c r="B917" s="54"/>
      <c r="E917" s="74" t="str">
        <f t="shared" si="59"/>
        <v/>
      </c>
      <c r="F917" s="56"/>
      <c r="I917" s="56"/>
    </row>
    <row r="918" spans="2:9">
      <c r="B918" s="54"/>
      <c r="E918" s="74" t="str">
        <f t="shared" si="59"/>
        <v/>
      </c>
      <c r="F918" s="56"/>
      <c r="I918" s="56"/>
    </row>
    <row r="919" spans="2:9">
      <c r="B919" s="54"/>
      <c r="E919" s="74" t="str">
        <f t="shared" si="59"/>
        <v/>
      </c>
      <c r="F919" s="56"/>
      <c r="I919" s="56"/>
    </row>
    <row r="920" spans="2:9">
      <c r="B920" s="54"/>
      <c r="E920" s="74" t="str">
        <f t="shared" si="59"/>
        <v/>
      </c>
      <c r="F920" s="56"/>
      <c r="I920" s="56"/>
    </row>
    <row r="921" spans="2:9">
      <c r="B921" s="54"/>
      <c r="E921" s="74" t="str">
        <f t="shared" si="59"/>
        <v/>
      </c>
      <c r="F921" s="56"/>
      <c r="I921" s="56"/>
    </row>
    <row r="922" spans="2:9">
      <c r="B922" s="54"/>
      <c r="E922" s="74" t="str">
        <f t="shared" si="59"/>
        <v/>
      </c>
      <c r="F922" s="56"/>
      <c r="I922" s="56"/>
    </row>
    <row r="923" spans="2:9">
      <c r="B923" s="54"/>
      <c r="E923" s="74" t="str">
        <f t="shared" si="59"/>
        <v/>
      </c>
      <c r="F923" s="56"/>
      <c r="I923" s="56"/>
    </row>
    <row r="924" spans="2:9">
      <c r="B924" s="54"/>
      <c r="E924" s="74" t="str">
        <f t="shared" si="59"/>
        <v/>
      </c>
      <c r="F924" s="56"/>
      <c r="I924" s="56"/>
    </row>
    <row r="925" spans="2:9">
      <c r="B925" s="54"/>
      <c r="E925" s="74" t="str">
        <f t="shared" si="59"/>
        <v/>
      </c>
      <c r="F925" s="56"/>
      <c r="I925" s="56"/>
    </row>
    <row r="926" spans="2:9">
      <c r="B926" s="54"/>
      <c r="E926" s="74" t="str">
        <f t="shared" si="59"/>
        <v/>
      </c>
      <c r="F926" s="56"/>
      <c r="I926" s="56"/>
    </row>
    <row r="927" spans="2:9">
      <c r="B927" s="54"/>
      <c r="E927" s="74" t="str">
        <f t="shared" si="59"/>
        <v/>
      </c>
      <c r="F927" s="56"/>
      <c r="I927" s="56"/>
    </row>
    <row r="928" spans="2:9">
      <c r="B928" s="54"/>
      <c r="E928" s="74" t="str">
        <f t="shared" si="59"/>
        <v/>
      </c>
      <c r="F928" s="56"/>
      <c r="I928" s="56"/>
    </row>
    <row r="929" spans="2:9">
      <c r="B929" s="54"/>
      <c r="E929" s="74" t="str">
        <f t="shared" si="59"/>
        <v/>
      </c>
      <c r="F929" s="56"/>
      <c r="I929" s="56"/>
    </row>
    <row r="930" spans="2:9">
      <c r="B930" s="54"/>
      <c r="E930" s="74" t="str">
        <f t="shared" si="59"/>
        <v/>
      </c>
      <c r="F930" s="56"/>
      <c r="I930" s="56"/>
    </row>
    <row r="931" spans="2:9">
      <c r="B931" s="54"/>
      <c r="E931" s="74" t="str">
        <f t="shared" si="59"/>
        <v/>
      </c>
      <c r="F931" s="56"/>
      <c r="I931" s="56"/>
    </row>
    <row r="932" spans="2:9">
      <c r="B932" s="54"/>
      <c r="E932" s="74" t="str">
        <f t="shared" si="59"/>
        <v/>
      </c>
      <c r="F932" s="56"/>
      <c r="I932" s="56"/>
    </row>
    <row r="933" spans="2:9">
      <c r="B933" s="54"/>
      <c r="E933" s="74" t="str">
        <f t="shared" si="59"/>
        <v/>
      </c>
      <c r="F933" s="56"/>
      <c r="I933" s="56"/>
    </row>
    <row r="934" spans="2:9">
      <c r="B934" s="54"/>
      <c r="E934" s="74" t="str">
        <f t="shared" si="59"/>
        <v/>
      </c>
      <c r="F934" s="56"/>
      <c r="I934" s="56"/>
    </row>
    <row r="935" spans="2:9">
      <c r="B935" s="54"/>
      <c r="E935" s="74" t="str">
        <f t="shared" si="59"/>
        <v/>
      </c>
      <c r="F935" s="56"/>
      <c r="I935" s="56"/>
    </row>
    <row r="936" spans="2:9">
      <c r="B936" s="54"/>
      <c r="E936" s="74" t="str">
        <f t="shared" si="59"/>
        <v/>
      </c>
      <c r="F936" s="56"/>
      <c r="I936" s="56"/>
    </row>
    <row r="937" spans="2:9">
      <c r="B937" s="54"/>
      <c r="E937" s="74" t="str">
        <f t="shared" si="59"/>
        <v/>
      </c>
      <c r="F937" s="56"/>
      <c r="I937" s="56"/>
    </row>
    <row r="938" spans="2:9">
      <c r="B938" s="54"/>
      <c r="E938" s="74" t="str">
        <f t="shared" si="59"/>
        <v/>
      </c>
      <c r="F938" s="56"/>
      <c r="I938" s="56"/>
    </row>
    <row r="939" spans="2:9">
      <c r="B939" s="54"/>
      <c r="E939" s="74" t="str">
        <f t="shared" si="59"/>
        <v/>
      </c>
      <c r="F939" s="56"/>
      <c r="I939" s="56"/>
    </row>
    <row r="940" spans="2:9">
      <c r="B940" s="54"/>
      <c r="E940" s="74" t="str">
        <f t="shared" si="59"/>
        <v/>
      </c>
      <c r="F940" s="56"/>
      <c r="I940" s="56"/>
    </row>
    <row r="941" spans="2:9">
      <c r="B941" s="54"/>
      <c r="E941" s="74" t="str">
        <f t="shared" si="59"/>
        <v/>
      </c>
      <c r="F941" s="56"/>
      <c r="I941" s="56"/>
    </row>
    <row r="942" spans="2:9">
      <c r="B942" s="54"/>
      <c r="E942" s="74" t="str">
        <f t="shared" si="59"/>
        <v/>
      </c>
      <c r="F942" s="56"/>
      <c r="I942" s="56"/>
    </row>
    <row r="943" spans="2:9">
      <c r="B943" s="54"/>
      <c r="E943" s="74" t="str">
        <f t="shared" si="59"/>
        <v/>
      </c>
      <c r="F943" s="56"/>
      <c r="I943" s="56"/>
    </row>
    <row r="944" spans="2:9">
      <c r="B944" s="54"/>
      <c r="E944" s="74" t="str">
        <f t="shared" si="59"/>
        <v/>
      </c>
      <c r="F944" s="56"/>
      <c r="I944" s="56"/>
    </row>
    <row r="945" spans="2:9">
      <c r="B945" s="54"/>
      <c r="E945" s="74" t="str">
        <f t="shared" si="59"/>
        <v/>
      </c>
      <c r="F945" s="56"/>
      <c r="I945" s="56"/>
    </row>
    <row r="946" spans="2:9">
      <c r="B946" s="54"/>
      <c r="E946" s="74" t="str">
        <f t="shared" si="59"/>
        <v/>
      </c>
      <c r="F946" s="56"/>
      <c r="I946" s="56"/>
    </row>
    <row r="947" spans="2:9">
      <c r="B947" s="54"/>
      <c r="E947" s="74" t="str">
        <f t="shared" si="59"/>
        <v/>
      </c>
      <c r="F947" s="56"/>
      <c r="I947" s="56"/>
    </row>
    <row r="948" spans="2:9">
      <c r="B948" s="54"/>
      <c r="E948" s="74" t="str">
        <f t="shared" si="59"/>
        <v/>
      </c>
      <c r="F948" s="56"/>
      <c r="I948" s="56"/>
    </row>
    <row r="949" spans="2:9">
      <c r="B949" s="54"/>
      <c r="E949" s="74" t="str">
        <f t="shared" si="59"/>
        <v/>
      </c>
      <c r="F949" s="56"/>
      <c r="I949" s="56"/>
    </row>
    <row r="950" spans="2:9">
      <c r="B950" s="54"/>
      <c r="E950" s="74" t="str">
        <f t="shared" si="59"/>
        <v/>
      </c>
      <c r="F950" s="56"/>
      <c r="I950" s="56"/>
    </row>
    <row r="951" spans="2:9">
      <c r="B951" s="54"/>
      <c r="E951" s="74" t="str">
        <f t="shared" si="59"/>
        <v/>
      </c>
      <c r="F951" s="56"/>
      <c r="I951" s="56"/>
    </row>
    <row r="952" spans="2:9">
      <c r="B952" s="54"/>
      <c r="E952" s="74" t="str">
        <f t="shared" si="59"/>
        <v/>
      </c>
      <c r="F952" s="56"/>
      <c r="I952" s="56"/>
    </row>
    <row r="953" spans="2:9">
      <c r="B953" s="54"/>
      <c r="E953" s="74" t="str">
        <f t="shared" si="59"/>
        <v/>
      </c>
      <c r="F953" s="56"/>
      <c r="I953" s="56"/>
    </row>
    <row r="954" spans="2:9">
      <c r="B954" s="54"/>
      <c r="E954" s="74" t="str">
        <f t="shared" si="59"/>
        <v/>
      </c>
      <c r="F954" s="56"/>
      <c r="I954" s="56"/>
    </row>
    <row r="955" spans="2:9">
      <c r="B955" s="54"/>
      <c r="E955" s="74" t="str">
        <f t="shared" si="59"/>
        <v/>
      </c>
      <c r="F955" s="56"/>
      <c r="I955" s="56"/>
    </row>
    <row r="956" spans="2:9">
      <c r="B956" s="54"/>
      <c r="E956" s="74" t="str">
        <f t="shared" si="59"/>
        <v/>
      </c>
      <c r="F956" s="56"/>
      <c r="I956" s="56"/>
    </row>
    <row r="957" spans="2:9">
      <c r="B957" s="54"/>
      <c r="E957" s="74" t="str">
        <f t="shared" si="59"/>
        <v/>
      </c>
      <c r="F957" s="56"/>
      <c r="I957" s="56"/>
    </row>
    <row r="958" spans="2:9">
      <c r="B958" s="54"/>
      <c r="E958" s="74" t="str">
        <f t="shared" si="59"/>
        <v/>
      </c>
      <c r="F958" s="56"/>
      <c r="I958" s="56"/>
    </row>
    <row r="959" spans="2:9">
      <c r="B959" s="54"/>
      <c r="E959" s="74" t="str">
        <f t="shared" si="59"/>
        <v/>
      </c>
      <c r="F959" s="56"/>
      <c r="I959" s="56"/>
    </row>
    <row r="960" spans="2:9">
      <c r="B960" s="54"/>
      <c r="E960" s="74" t="str">
        <f t="shared" si="59"/>
        <v/>
      </c>
      <c r="F960" s="56"/>
      <c r="I960" s="56"/>
    </row>
    <row r="961" spans="2:9">
      <c r="B961" s="54"/>
      <c r="E961" s="74" t="str">
        <f t="shared" si="59"/>
        <v/>
      </c>
      <c r="F961" s="56"/>
      <c r="I961" s="56"/>
    </row>
    <row r="962" spans="2:9">
      <c r="B962" s="54"/>
      <c r="E962" s="74" t="str">
        <f t="shared" si="59"/>
        <v/>
      </c>
      <c r="F962" s="56"/>
      <c r="I962" s="56"/>
    </row>
    <row r="963" spans="2:9">
      <c r="B963" s="54"/>
      <c r="E963" s="74" t="str">
        <f t="shared" si="59"/>
        <v/>
      </c>
      <c r="F963" s="56"/>
      <c r="I963" s="56"/>
    </row>
    <row r="964" spans="2:9">
      <c r="B964" s="54"/>
      <c r="E964" s="74" t="str">
        <f t="shared" si="59"/>
        <v/>
      </c>
      <c r="F964" s="56"/>
      <c r="I964" s="56"/>
    </row>
    <row r="965" spans="2:9">
      <c r="B965" s="54"/>
      <c r="E965" s="74" t="str">
        <f t="shared" ref="E965:E1003" si="60">IF(O965 = 0,"",O965)</f>
        <v/>
      </c>
      <c r="F965" s="56"/>
      <c r="I965" s="56"/>
    </row>
    <row r="966" spans="2:9">
      <c r="B966" s="54"/>
      <c r="E966" s="74" t="str">
        <f t="shared" si="60"/>
        <v/>
      </c>
      <c r="F966" s="56"/>
      <c r="I966" s="56"/>
    </row>
    <row r="967" spans="2:9">
      <c r="B967" s="54"/>
      <c r="E967" s="74" t="str">
        <f t="shared" si="60"/>
        <v/>
      </c>
      <c r="F967" s="56"/>
      <c r="I967" s="56"/>
    </row>
    <row r="968" spans="2:9">
      <c r="B968" s="54"/>
      <c r="E968" s="74" t="str">
        <f t="shared" si="60"/>
        <v/>
      </c>
      <c r="F968" s="56"/>
      <c r="I968" s="56"/>
    </row>
    <row r="969" spans="2:9">
      <c r="B969" s="54"/>
      <c r="E969" s="74" t="str">
        <f t="shared" si="60"/>
        <v/>
      </c>
      <c r="F969" s="56"/>
      <c r="I969" s="56"/>
    </row>
    <row r="970" spans="2:9">
      <c r="B970" s="54"/>
      <c r="E970" s="74" t="str">
        <f t="shared" si="60"/>
        <v/>
      </c>
      <c r="F970" s="56"/>
      <c r="I970" s="56"/>
    </row>
    <row r="971" spans="2:9">
      <c r="B971" s="54"/>
      <c r="E971" s="74" t="str">
        <f t="shared" si="60"/>
        <v/>
      </c>
      <c r="F971" s="56"/>
      <c r="I971" s="56"/>
    </row>
    <row r="972" spans="2:9">
      <c r="B972" s="54"/>
      <c r="E972" s="74" t="str">
        <f t="shared" si="60"/>
        <v/>
      </c>
      <c r="F972" s="56"/>
      <c r="I972" s="56"/>
    </row>
    <row r="973" spans="2:9">
      <c r="B973" s="54"/>
      <c r="E973" s="74" t="str">
        <f t="shared" si="60"/>
        <v/>
      </c>
      <c r="F973" s="56"/>
      <c r="I973" s="56"/>
    </row>
    <row r="974" spans="2:9">
      <c r="B974" s="54"/>
      <c r="E974" s="74" t="str">
        <f t="shared" si="60"/>
        <v/>
      </c>
      <c r="F974" s="56"/>
      <c r="I974" s="56"/>
    </row>
    <row r="975" spans="2:9">
      <c r="B975" s="54"/>
      <c r="E975" s="74" t="str">
        <f t="shared" si="60"/>
        <v/>
      </c>
      <c r="F975" s="56"/>
      <c r="I975" s="56"/>
    </row>
    <row r="976" spans="2:9">
      <c r="B976" s="54"/>
      <c r="E976" s="74" t="str">
        <f t="shared" si="60"/>
        <v/>
      </c>
      <c r="F976" s="56"/>
      <c r="I976" s="56"/>
    </row>
    <row r="977" spans="2:9">
      <c r="B977" s="54"/>
      <c r="E977" s="74" t="str">
        <f t="shared" si="60"/>
        <v/>
      </c>
      <c r="F977" s="56"/>
      <c r="I977" s="56"/>
    </row>
    <row r="978" spans="2:9">
      <c r="B978" s="54"/>
      <c r="E978" s="74" t="str">
        <f t="shared" si="60"/>
        <v/>
      </c>
      <c r="F978" s="56"/>
      <c r="I978" s="56"/>
    </row>
    <row r="979" spans="2:9">
      <c r="B979" s="54"/>
      <c r="E979" s="74" t="str">
        <f t="shared" si="60"/>
        <v/>
      </c>
      <c r="F979" s="56"/>
      <c r="I979" s="56"/>
    </row>
    <row r="980" spans="2:9">
      <c r="B980" s="54"/>
      <c r="E980" s="74" t="str">
        <f t="shared" si="60"/>
        <v/>
      </c>
      <c r="F980" s="56"/>
      <c r="I980" s="56"/>
    </row>
    <row r="981" spans="2:9">
      <c r="B981" s="54"/>
      <c r="E981" s="74" t="str">
        <f t="shared" si="60"/>
        <v/>
      </c>
      <c r="F981" s="56"/>
      <c r="I981" s="56"/>
    </row>
    <row r="982" spans="2:9">
      <c r="B982" s="54"/>
      <c r="E982" s="74" t="str">
        <f t="shared" si="60"/>
        <v/>
      </c>
      <c r="F982" s="56"/>
      <c r="I982" s="56"/>
    </row>
    <row r="983" spans="2:9">
      <c r="B983" s="54"/>
      <c r="E983" s="74" t="str">
        <f t="shared" si="60"/>
        <v/>
      </c>
      <c r="F983" s="56"/>
      <c r="I983" s="56"/>
    </row>
    <row r="984" spans="2:9">
      <c r="B984" s="54"/>
      <c r="E984" s="74" t="str">
        <f t="shared" si="60"/>
        <v/>
      </c>
      <c r="F984" s="56"/>
      <c r="I984" s="56"/>
    </row>
    <row r="985" spans="2:9">
      <c r="B985" s="54"/>
      <c r="E985" s="74" t="str">
        <f t="shared" si="60"/>
        <v/>
      </c>
      <c r="F985" s="56"/>
      <c r="I985" s="56"/>
    </row>
    <row r="986" spans="2:9">
      <c r="B986" s="54"/>
      <c r="E986" s="74" t="str">
        <f t="shared" si="60"/>
        <v/>
      </c>
      <c r="F986" s="56"/>
      <c r="I986" s="56"/>
    </row>
    <row r="987" spans="2:9">
      <c r="B987" s="54"/>
      <c r="E987" s="74" t="str">
        <f t="shared" si="60"/>
        <v/>
      </c>
      <c r="F987" s="56"/>
      <c r="I987" s="56"/>
    </row>
    <row r="988" spans="2:9">
      <c r="B988" s="54"/>
      <c r="E988" s="74" t="str">
        <f t="shared" si="60"/>
        <v/>
      </c>
      <c r="F988" s="56"/>
      <c r="I988" s="56"/>
    </row>
    <row r="989" spans="2:9">
      <c r="B989" s="54"/>
      <c r="E989" s="74" t="str">
        <f t="shared" si="60"/>
        <v/>
      </c>
      <c r="F989" s="56"/>
      <c r="I989" s="56"/>
    </row>
    <row r="990" spans="2:9">
      <c r="B990" s="54"/>
      <c r="E990" s="74" t="str">
        <f t="shared" si="60"/>
        <v/>
      </c>
      <c r="F990" s="56"/>
      <c r="I990" s="56"/>
    </row>
    <row r="991" spans="2:9">
      <c r="B991" s="54"/>
      <c r="E991" s="74" t="str">
        <f t="shared" si="60"/>
        <v/>
      </c>
      <c r="F991" s="56"/>
      <c r="I991" s="56"/>
    </row>
    <row r="992" spans="2:9">
      <c r="B992" s="54"/>
      <c r="E992" s="74" t="str">
        <f t="shared" si="60"/>
        <v/>
      </c>
      <c r="F992" s="56"/>
      <c r="I992" s="56"/>
    </row>
    <row r="993" spans="2:9">
      <c r="B993" s="54"/>
      <c r="E993" s="74" t="str">
        <f t="shared" si="60"/>
        <v/>
      </c>
      <c r="F993" s="56"/>
      <c r="I993" s="56"/>
    </row>
    <row r="994" spans="2:9">
      <c r="B994" s="54"/>
      <c r="E994" s="74" t="str">
        <f t="shared" si="60"/>
        <v/>
      </c>
      <c r="F994" s="56"/>
      <c r="I994" s="56"/>
    </row>
    <row r="995" spans="2:9">
      <c r="B995" s="54"/>
      <c r="E995" s="74" t="str">
        <f t="shared" si="60"/>
        <v/>
      </c>
      <c r="F995" s="56"/>
      <c r="I995" s="56"/>
    </row>
    <row r="996" spans="2:9">
      <c r="B996" s="54"/>
      <c r="E996" s="74" t="str">
        <f t="shared" si="60"/>
        <v/>
      </c>
      <c r="F996" s="56"/>
      <c r="I996" s="56"/>
    </row>
    <row r="997" spans="2:9">
      <c r="B997" s="54"/>
      <c r="E997" s="74" t="str">
        <f t="shared" si="60"/>
        <v/>
      </c>
      <c r="F997" s="56"/>
      <c r="I997" s="56"/>
    </row>
    <row r="998" spans="2:9">
      <c r="B998" s="54"/>
      <c r="E998" s="74" t="str">
        <f t="shared" si="60"/>
        <v/>
      </c>
      <c r="F998" s="56"/>
      <c r="I998" s="56"/>
    </row>
    <row r="999" spans="2:9">
      <c r="B999" s="54"/>
      <c r="E999" s="74" t="str">
        <f t="shared" si="60"/>
        <v/>
      </c>
      <c r="F999" s="56"/>
      <c r="I999" s="56"/>
    </row>
    <row r="1000" spans="2:9">
      <c r="B1000" s="54"/>
      <c r="E1000" s="74" t="str">
        <f t="shared" si="60"/>
        <v/>
      </c>
      <c r="F1000" s="56"/>
      <c r="I1000" s="56"/>
    </row>
    <row r="1001" spans="2:9">
      <c r="B1001" s="54"/>
      <c r="E1001" s="74" t="str">
        <f t="shared" si="60"/>
        <v/>
      </c>
      <c r="F1001" s="56"/>
      <c r="I1001" s="56"/>
    </row>
    <row r="1002" spans="2:9">
      <c r="B1002" s="54"/>
      <c r="E1002" s="74" t="str">
        <f t="shared" si="60"/>
        <v/>
      </c>
      <c r="F1002" s="56"/>
      <c r="I1002" s="56"/>
    </row>
    <row r="1003" spans="2:9">
      <c r="B1003" s="54"/>
      <c r="E1003" s="74" t="str">
        <f t="shared" si="60"/>
        <v/>
      </c>
      <c r="F1003" s="56"/>
      <c r="I1003" s="56"/>
    </row>
  </sheetData>
  <conditionalFormatting sqref="I4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5:C100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5:F100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5:G100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5:H100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5:I100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5:J100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2">
    <dataValidation type="list" allowBlank="1" showInputMessage="1" showErrorMessage="1" sqref="B1" xr:uid="{BE73ED38-FC93-4FDE-AA6B-2622EFED9B51}">
      <formula1>$B5:$B300</formula1>
    </dataValidation>
    <dataValidation type="list" allowBlank="1" showInputMessage="1" showErrorMessage="1" sqref="B2:B3" xr:uid="{201D6B5A-2004-4DD0-8906-E399BCECE708}">
      <formula1>$B$5:$B$1003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UpdateProcessorInfo" altText="Update Processor Information">
                <anchor moveWithCells="1" sizeWithCells="1">
                  <from>
                    <xdr:col>4</xdr:col>
                    <xdr:colOff>107950</xdr:colOff>
                    <xdr:row>0</xdr:row>
                    <xdr:rowOff>95250</xdr:rowOff>
                  </from>
                  <to>
                    <xdr:col>6</xdr:col>
                    <xdr:colOff>895350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3D314-828A-4736-A317-930D39CD577A}">
  <sheetPr codeName="Sheet2">
    <tabColor rgb="FFFFFF00"/>
  </sheetPr>
  <dimension ref="A1:BD163"/>
  <sheetViews>
    <sheetView zoomScale="80" zoomScaleNormal="80" workbookViewId="0">
      <selection activeCell="D15" sqref="D15"/>
    </sheetView>
  </sheetViews>
  <sheetFormatPr defaultRowHeight="14.5"/>
  <cols>
    <col min="1" max="1" width="22.1796875" customWidth="1"/>
    <col min="2" max="2" width="10.6328125" bestFit="1" customWidth="1"/>
    <col min="3" max="3" width="11.453125" bestFit="1" customWidth="1"/>
    <col min="4" max="4" width="15.90625" customWidth="1"/>
    <col min="5" max="5" width="11.54296875" customWidth="1"/>
    <col min="6" max="6" width="7.54296875" customWidth="1"/>
    <col min="7" max="7" width="7.6328125" customWidth="1"/>
    <col min="8" max="8" width="7.90625" customWidth="1"/>
    <col min="9" max="9" width="11.81640625" customWidth="1"/>
    <col min="10" max="10" width="18" customWidth="1"/>
    <col min="11" max="11" width="11.08984375" customWidth="1"/>
    <col min="12" max="12" width="11.36328125" customWidth="1"/>
    <col min="13" max="13" width="12.90625" customWidth="1"/>
    <col min="14" max="15" width="15.81640625" customWidth="1"/>
    <col min="16" max="16" width="14.1796875" customWidth="1"/>
    <col min="17" max="17" width="14.26953125" customWidth="1"/>
    <col min="18" max="18" width="14.08984375" bestFit="1" customWidth="1"/>
    <col min="19" max="19" width="36.81640625" customWidth="1"/>
    <col min="20" max="20" width="84.81640625" bestFit="1" customWidth="1"/>
    <col min="21" max="21" width="14.1796875" customWidth="1"/>
    <col min="22" max="22" width="14.1796875" bestFit="1" customWidth="1"/>
    <col min="23" max="23" width="13.08984375" customWidth="1"/>
    <col min="24" max="24" width="11.1796875" customWidth="1"/>
  </cols>
  <sheetData>
    <row r="1" spans="1:56" s="6" customFormat="1" ht="43.5">
      <c r="A1" s="41" t="s">
        <v>327</v>
      </c>
      <c r="B1" s="36" t="s">
        <v>4</v>
      </c>
      <c r="C1" s="36" t="s">
        <v>98</v>
      </c>
      <c r="D1" s="36" t="s">
        <v>101</v>
      </c>
      <c r="E1" s="36" t="s">
        <v>125</v>
      </c>
      <c r="F1" s="36" t="s">
        <v>3</v>
      </c>
      <c r="G1" s="36" t="s">
        <v>126</v>
      </c>
      <c r="H1" s="36" t="s">
        <v>99</v>
      </c>
      <c r="I1" s="36" t="s">
        <v>127</v>
      </c>
      <c r="J1" s="36" t="s">
        <v>142</v>
      </c>
      <c r="K1" s="36" t="s">
        <v>144</v>
      </c>
      <c r="L1" s="36" t="s">
        <v>143</v>
      </c>
      <c r="M1" s="36" t="s">
        <v>16</v>
      </c>
      <c r="N1" s="36" t="s">
        <v>329</v>
      </c>
      <c r="O1" s="36" t="s">
        <v>330</v>
      </c>
      <c r="P1" s="36" t="s">
        <v>120</v>
      </c>
      <c r="Q1" s="36" t="s">
        <v>129</v>
      </c>
      <c r="R1" s="36" t="s">
        <v>132</v>
      </c>
      <c r="S1" s="36" t="s">
        <v>134</v>
      </c>
      <c r="T1" s="36" t="s">
        <v>133</v>
      </c>
      <c r="U1" s="7"/>
      <c r="V1" s="7"/>
      <c r="W1" s="7"/>
      <c r="X1" s="7"/>
      <c r="Y1" s="7"/>
      <c r="Z1" s="7"/>
      <c r="AA1" s="7"/>
      <c r="AB1" s="7"/>
      <c r="AD1" s="7" t="s">
        <v>328</v>
      </c>
      <c r="AE1" s="7"/>
      <c r="AF1" s="7"/>
      <c r="AG1" s="7"/>
      <c r="AH1" s="7"/>
      <c r="AI1" s="7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</row>
    <row r="2" spans="1:56">
      <c r="A2" s="2" t="s">
        <v>389</v>
      </c>
      <c r="B2" s="80"/>
      <c r="C2" s="2" t="str">
        <f>'Processor Comparisons'!B1</f>
        <v>8268</v>
      </c>
      <c r="D2" s="2">
        <f t="shared" ref="D2:D7" si="0">2*B2</f>
        <v>0</v>
      </c>
      <c r="E2" s="2" t="str">
        <f>VLOOKUP(C2,'Processor Comparisons'!$B$5:'Processor Comparisons'!$C$300,2,FALSE)</f>
        <v/>
      </c>
      <c r="F2" s="2" t="e">
        <f t="shared" ref="F2:F7" si="1">D2*E2</f>
        <v>#VALUE!</v>
      </c>
      <c r="G2" s="2" t="str">
        <f>VLOOKUP(C2,'Processor Comparisons'!$B$5:'Processor Comparisons'!$D$300,3,FALSE)</f>
        <v/>
      </c>
      <c r="H2" s="2" t="e">
        <f t="shared" ref="H2:H7" si="2">F2*G2</f>
        <v>#VALUE!</v>
      </c>
      <c r="I2" s="51" t="e">
        <f>'VDI Profiles'!$F$4/Table157[[#This Row],[Total Cores]]</f>
        <v>#VALUE!</v>
      </c>
      <c r="J2" s="81" t="s">
        <v>74</v>
      </c>
      <c r="K2" s="82">
        <v>64</v>
      </c>
      <c r="L2" s="114">
        <v>24</v>
      </c>
      <c r="M2" s="43">
        <f t="shared" ref="M2:M7" si="3">B2*(K2*L2)</f>
        <v>0</v>
      </c>
      <c r="N2" s="2">
        <f>'VDI Profiles'!$G$4</f>
        <v>800</v>
      </c>
      <c r="O2" s="61" t="e">
        <f t="shared" ref="O2:O7" si="4">1-(N2/M2)</f>
        <v>#DIV/0!</v>
      </c>
      <c r="P2" s="5">
        <f>VLOOKUP(C2,'Processor Comparisons'!$B$5:'Processor Comparisons'!$E$300,4,FALSE)*D2</f>
        <v>0</v>
      </c>
      <c r="Q2" s="31">
        <f t="array" ref="Q2">IFERROR((INDEX('Memory Options'!$F$2:'Memory Options'!$F$10,MATCH(J2&amp;K2,'Memory Options'!$B$2:'Memory Options'!$B$10&amp;'Memory Options'!$C$2:'Memory Options'!$C$10,0))*L2)*B2,0)</f>
        <v>0</v>
      </c>
      <c r="R2" s="59">
        <f t="shared" ref="R2:R7" si="5">P2+Q2</f>
        <v>0</v>
      </c>
      <c r="S2" s="49">
        <f t="shared" ref="S2:S7" si="6">1-(R2/$AD$2)</f>
        <v>1</v>
      </c>
      <c r="T2" s="80"/>
      <c r="U2" s="1"/>
      <c r="V2" s="1"/>
      <c r="W2" s="1"/>
      <c r="X2" s="1"/>
      <c r="Y2" s="1"/>
      <c r="Z2" s="1"/>
      <c r="AA2" s="1"/>
      <c r="AB2" s="1"/>
      <c r="AC2" s="1">
        <f>_xlfn.IFNA(R2,0)</f>
        <v>0</v>
      </c>
      <c r="AD2" s="1">
        <f>MAX(AC:AC)</f>
        <v>132448</v>
      </c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>
        <f>MAX(Table157[Total (proc &amp; mem)])</f>
        <v>132448</v>
      </c>
    </row>
    <row r="3" spans="1:56">
      <c r="A3" s="2" t="s">
        <v>390</v>
      </c>
      <c r="B3" s="80">
        <v>4</v>
      </c>
      <c r="C3" s="2" t="str">
        <f>'Processor Comparisons'!B1</f>
        <v>8268</v>
      </c>
      <c r="D3" s="2">
        <f t="shared" si="0"/>
        <v>8</v>
      </c>
      <c r="E3" s="2" t="str">
        <f>VLOOKUP(C3,'Processor Comparisons'!$B$5:'Processor Comparisons'!$C$300,2,FALSE)</f>
        <v/>
      </c>
      <c r="F3" s="2" t="e">
        <f t="shared" si="1"/>
        <v>#VALUE!</v>
      </c>
      <c r="G3" s="2" t="str">
        <f>VLOOKUP(C3,'Processor Comparisons'!$B$5:'Processor Comparisons'!$D$300,3,FALSE)</f>
        <v/>
      </c>
      <c r="H3" s="2" t="e">
        <f t="shared" si="2"/>
        <v>#VALUE!</v>
      </c>
      <c r="I3" s="51" t="e">
        <f>'VDI Profiles'!$F$4/Table157[[#This Row],[Total Cores]]</f>
        <v>#VALUE!</v>
      </c>
      <c r="J3" s="81" t="s">
        <v>74</v>
      </c>
      <c r="K3" s="82">
        <v>64</v>
      </c>
      <c r="L3" s="114">
        <v>12</v>
      </c>
      <c r="M3" s="43">
        <f t="shared" si="3"/>
        <v>3072</v>
      </c>
      <c r="N3" s="2">
        <f>'VDI Profiles'!$G$4</f>
        <v>800</v>
      </c>
      <c r="O3" s="61">
        <f t="shared" si="4"/>
        <v>0.73958333333333326</v>
      </c>
      <c r="P3" s="5">
        <f>VLOOKUP(C3,'Processor Comparisons'!$B$5:'Processor Comparisons'!$E$300,4,FALSE)*D3</f>
        <v>50416</v>
      </c>
      <c r="Q3" s="31">
        <f t="array" ref="Q3">IFERROR((INDEX('Memory Options'!$F$2:'Memory Options'!$F$10,MATCH(J3&amp;K3,'Memory Options'!$B$2:'Memory Options'!$B$10&amp;'Memory Options'!$C$2:'Memory Options'!$C$10,0))*L3)*B3,0)</f>
        <v>82032</v>
      </c>
      <c r="R3" s="59">
        <f t="shared" si="5"/>
        <v>132448</v>
      </c>
      <c r="S3" s="49">
        <f t="shared" si="6"/>
        <v>0</v>
      </c>
      <c r="T3" s="80"/>
      <c r="U3" s="1"/>
      <c r="V3" s="1"/>
      <c r="W3" s="1"/>
      <c r="X3" s="1"/>
      <c r="Y3" s="1"/>
      <c r="Z3" s="1"/>
      <c r="AA3" s="1"/>
      <c r="AB3" s="1"/>
      <c r="AC3" s="1">
        <f t="shared" ref="AC3:AC4" si="7">_xlfn.IFNA(R3,0)</f>
        <v>132448</v>
      </c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6">
      <c r="A4" s="2" t="s">
        <v>391</v>
      </c>
      <c r="B4" s="80"/>
      <c r="C4" s="2" t="str">
        <f>'Processor Comparisons'!B2</f>
        <v>6240</v>
      </c>
      <c r="D4" s="2">
        <f t="shared" si="0"/>
        <v>0</v>
      </c>
      <c r="E4" s="2" t="str">
        <f>VLOOKUP(C4,'Processor Comparisons'!$B$5:'Processor Comparisons'!$C$300,2,FALSE)</f>
        <v/>
      </c>
      <c r="F4" s="2" t="e">
        <f t="shared" si="1"/>
        <v>#VALUE!</v>
      </c>
      <c r="G4" s="2" t="str">
        <f>VLOOKUP(C4,'Processor Comparisons'!$B$5:'Processor Comparisons'!$D$300,3,FALSE)</f>
        <v/>
      </c>
      <c r="H4" s="2" t="e">
        <f t="shared" si="2"/>
        <v>#VALUE!</v>
      </c>
      <c r="I4" s="51" t="e">
        <f>'VDI Profiles'!$F$4/Table157[[#This Row],[Total Cores]]</f>
        <v>#VALUE!</v>
      </c>
      <c r="J4" s="81" t="s">
        <v>74</v>
      </c>
      <c r="K4" s="82">
        <v>64</v>
      </c>
      <c r="L4" s="114">
        <v>24</v>
      </c>
      <c r="M4" s="43">
        <f t="shared" si="3"/>
        <v>0</v>
      </c>
      <c r="N4" s="2">
        <f>'VDI Profiles'!$G$4</f>
        <v>800</v>
      </c>
      <c r="O4" s="61" t="e">
        <f t="shared" si="4"/>
        <v>#DIV/0!</v>
      </c>
      <c r="P4" s="5">
        <f>VLOOKUP(C4,'Processor Comparisons'!$B$5:'Processor Comparisons'!$E$300,4,FALSE)*D4</f>
        <v>0</v>
      </c>
      <c r="Q4" s="31">
        <f t="array" ref="Q4">IFERROR((INDEX('Memory Options'!$F$2:'Memory Options'!$F$10,MATCH(J4&amp;K4,'Memory Options'!$B$2:'Memory Options'!$B$10&amp;'Memory Options'!$C$2:'Memory Options'!$C$10,0))*L4)*B4,0)</f>
        <v>0</v>
      </c>
      <c r="R4" s="59">
        <f t="shared" si="5"/>
        <v>0</v>
      </c>
      <c r="S4" s="49">
        <f t="shared" si="6"/>
        <v>1</v>
      </c>
      <c r="T4" s="80"/>
      <c r="U4" s="1"/>
      <c r="V4" s="1"/>
      <c r="W4" s="1"/>
      <c r="X4" s="1"/>
      <c r="Y4" s="1"/>
      <c r="Z4" s="1"/>
      <c r="AA4" s="1"/>
      <c r="AB4" s="1"/>
      <c r="AC4" s="1">
        <f t="shared" si="7"/>
        <v>0</v>
      </c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6">
      <c r="A5" s="2" t="s">
        <v>392</v>
      </c>
      <c r="B5" s="80">
        <v>4</v>
      </c>
      <c r="C5" s="2" t="str">
        <f>'Processor Comparisons'!B2</f>
        <v>6240</v>
      </c>
      <c r="D5" s="2">
        <f t="shared" si="0"/>
        <v>8</v>
      </c>
      <c r="E5" s="2" t="str">
        <f>VLOOKUP(C5,'Processor Comparisons'!$B$5:'Processor Comparisons'!$C$300,2,FALSE)</f>
        <v/>
      </c>
      <c r="F5" s="2" t="e">
        <f t="shared" si="1"/>
        <v>#VALUE!</v>
      </c>
      <c r="G5" s="2" t="str">
        <f>VLOOKUP(C5,'Processor Comparisons'!$B$5:'Processor Comparisons'!$D$300,3,FALSE)</f>
        <v/>
      </c>
      <c r="H5" s="2" t="e">
        <f t="shared" si="2"/>
        <v>#VALUE!</v>
      </c>
      <c r="I5" s="51" t="e">
        <f>'VDI Profiles'!$F$4/Table157[[#This Row],[Total Cores]]</f>
        <v>#VALUE!</v>
      </c>
      <c r="J5" s="81" t="s">
        <v>74</v>
      </c>
      <c r="K5" s="82">
        <v>64</v>
      </c>
      <c r="L5" s="114">
        <v>12</v>
      </c>
      <c r="M5" s="43">
        <f t="shared" si="3"/>
        <v>3072</v>
      </c>
      <c r="N5" s="2">
        <f>'VDI Profiles'!$G$4</f>
        <v>800</v>
      </c>
      <c r="O5" s="61">
        <f t="shared" si="4"/>
        <v>0.73958333333333326</v>
      </c>
      <c r="P5" s="5">
        <f>VLOOKUP(C5,'Processor Comparisons'!$B$5:'Processor Comparisons'!$E$300,4,FALSE)*D5</f>
        <v>19608</v>
      </c>
      <c r="Q5" s="31">
        <f t="array" ref="Q5">IFERROR((INDEX('Memory Options'!$F$2:'Memory Options'!$F$10,MATCH(J5&amp;K5,'Memory Options'!$B$2:'Memory Options'!$B$10&amp;'Memory Options'!$C$2:'Memory Options'!$C$10,0))*L5)*B5,0)</f>
        <v>82032</v>
      </c>
      <c r="R5" s="59">
        <f t="shared" si="5"/>
        <v>101640</v>
      </c>
      <c r="S5" s="49">
        <f t="shared" si="6"/>
        <v>0.23260449383909154</v>
      </c>
      <c r="T5" s="80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6">
      <c r="A6" s="2" t="s">
        <v>393</v>
      </c>
      <c r="B6" s="80"/>
      <c r="C6" s="2" t="str">
        <f>'Processor Comparisons'!B3</f>
        <v>5218R</v>
      </c>
      <c r="D6" s="2">
        <f t="shared" si="0"/>
        <v>0</v>
      </c>
      <c r="E6" s="2" t="str">
        <f>VLOOKUP(C6,'Processor Comparisons'!$B$5:'Processor Comparisons'!$C$300,2,FALSE)</f>
        <v/>
      </c>
      <c r="F6" s="2" t="e">
        <f t="shared" si="1"/>
        <v>#VALUE!</v>
      </c>
      <c r="G6" s="2" t="str">
        <f>VLOOKUP(C6,'Processor Comparisons'!$B$5:'Processor Comparisons'!$D$300,3,FALSE)</f>
        <v/>
      </c>
      <c r="H6" s="2" t="e">
        <f t="shared" si="2"/>
        <v>#VALUE!</v>
      </c>
      <c r="I6" s="51" t="e">
        <f>'VDI Profiles'!$F$4/Table157[[#This Row],[Total Cores]]</f>
        <v>#VALUE!</v>
      </c>
      <c r="J6" s="81" t="s">
        <v>74</v>
      </c>
      <c r="K6" s="82">
        <v>64</v>
      </c>
      <c r="L6" s="114">
        <v>24</v>
      </c>
      <c r="M6" s="43">
        <f t="shared" si="3"/>
        <v>0</v>
      </c>
      <c r="N6" s="2">
        <f>'VDI Profiles'!$G$4</f>
        <v>800</v>
      </c>
      <c r="O6" s="61" t="e">
        <f t="shared" si="4"/>
        <v>#DIV/0!</v>
      </c>
      <c r="P6" s="5">
        <f>VLOOKUP(C6,'Processor Comparisons'!$B$5:'Processor Comparisons'!$E$300,4,FALSE)*D6</f>
        <v>0</v>
      </c>
      <c r="Q6" s="31">
        <f t="array" ref="Q6">IFERROR((INDEX('Memory Options'!$F$2:'Memory Options'!$F$10,MATCH(J6&amp;K6,'Memory Options'!$B$2:'Memory Options'!$B$10&amp;'Memory Options'!$C$2:'Memory Options'!$C$10,0))*L6)*B6,0)</f>
        <v>0</v>
      </c>
      <c r="R6" s="59">
        <f t="shared" si="5"/>
        <v>0</v>
      </c>
      <c r="S6" s="49">
        <f t="shared" si="6"/>
        <v>1</v>
      </c>
      <c r="T6" s="80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</row>
    <row r="7" spans="1:56">
      <c r="A7" s="2" t="s">
        <v>394</v>
      </c>
      <c r="B7" s="80">
        <v>4</v>
      </c>
      <c r="C7" s="2" t="str">
        <f>'Processor Comparisons'!B3</f>
        <v>5218R</v>
      </c>
      <c r="D7" s="2">
        <f t="shared" si="0"/>
        <v>8</v>
      </c>
      <c r="E7" s="2" t="str">
        <f>VLOOKUP(C7,'Processor Comparisons'!$B$5:'Processor Comparisons'!$C$300,2,FALSE)</f>
        <v/>
      </c>
      <c r="F7" s="2" t="e">
        <f t="shared" si="1"/>
        <v>#VALUE!</v>
      </c>
      <c r="G7" s="2" t="str">
        <f>VLOOKUP(C7,'Processor Comparisons'!$B$5:'Processor Comparisons'!$D$300,3,FALSE)</f>
        <v/>
      </c>
      <c r="H7" s="2" t="e">
        <f t="shared" si="2"/>
        <v>#VALUE!</v>
      </c>
      <c r="I7" s="51" t="e">
        <f>'VDI Profiles'!$F$4/Table157[[#This Row],[Total Cores]]</f>
        <v>#VALUE!</v>
      </c>
      <c r="J7" s="81" t="s">
        <v>74</v>
      </c>
      <c r="K7" s="82">
        <v>64</v>
      </c>
      <c r="L7" s="114">
        <v>12</v>
      </c>
      <c r="M7" s="43">
        <f t="shared" si="3"/>
        <v>3072</v>
      </c>
      <c r="N7" s="2">
        <f>'VDI Profiles'!$G$4</f>
        <v>800</v>
      </c>
      <c r="O7" s="61">
        <f t="shared" si="4"/>
        <v>0.73958333333333326</v>
      </c>
      <c r="P7" s="5">
        <f>VLOOKUP(C7,'Processor Comparisons'!$B$5:'Processor Comparisons'!$E$300,4,FALSE)*D7</f>
        <v>10240</v>
      </c>
      <c r="Q7" s="31">
        <f t="array" ref="Q7">IFERROR((INDEX('Memory Options'!$F$2:'Memory Options'!$F$10,MATCH(J7&amp;K7,'Memory Options'!$B$2:'Memory Options'!$B$10&amp;'Memory Options'!$C$2:'Memory Options'!$C$10,0))*L7)*B7,0)</f>
        <v>82032</v>
      </c>
      <c r="R7" s="59">
        <f t="shared" si="5"/>
        <v>92272</v>
      </c>
      <c r="S7" s="49">
        <f t="shared" si="6"/>
        <v>0.3033341386808408</v>
      </c>
      <c r="T7" s="80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</row>
    <row r="8" spans="1:56">
      <c r="A8" s="1"/>
      <c r="B8" s="1"/>
      <c r="C8" s="1"/>
      <c r="D8" s="1"/>
      <c r="E8" s="1"/>
      <c r="F8" s="1"/>
      <c r="G8" s="1"/>
      <c r="H8" s="1"/>
      <c r="I8" s="7"/>
      <c r="J8" s="1"/>
      <c r="K8" s="7"/>
      <c r="L8" s="7"/>
      <c r="M8" s="1"/>
      <c r="N8" s="1"/>
      <c r="O8" s="1"/>
      <c r="P8" s="1"/>
      <c r="Q8" s="1"/>
      <c r="R8" s="7"/>
      <c r="S8" s="1"/>
      <c r="T8" s="1"/>
      <c r="U8" s="1"/>
      <c r="V8" s="1"/>
      <c r="W8" s="1"/>
      <c r="X8" s="50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</row>
    <row r="9" spans="1:56">
      <c r="A9" s="86" t="s">
        <v>331</v>
      </c>
      <c r="B9" s="1"/>
      <c r="C9" s="1"/>
      <c r="D9" s="1"/>
      <c r="E9" s="1"/>
      <c r="F9" s="1"/>
      <c r="G9" s="1"/>
      <c r="H9" s="1"/>
      <c r="I9" s="7"/>
      <c r="J9" s="1"/>
      <c r="K9" s="7"/>
      <c r="L9" s="7"/>
      <c r="M9" s="1"/>
      <c r="N9" s="1"/>
      <c r="O9" s="1"/>
      <c r="P9" s="1"/>
      <c r="Q9" s="1"/>
      <c r="R9" s="7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</row>
    <row r="10" spans="1:56">
      <c r="A10" s="78" t="s">
        <v>394</v>
      </c>
      <c r="B10" s="1"/>
      <c r="C10" s="1"/>
      <c r="D10" s="1"/>
      <c r="E10" s="1"/>
      <c r="F10" s="1"/>
      <c r="G10" s="1"/>
      <c r="H10" s="1"/>
      <c r="I10" s="7"/>
      <c r="J10" s="1"/>
      <c r="K10" s="7"/>
      <c r="L10" s="7"/>
      <c r="M10" s="1"/>
      <c r="N10" s="1"/>
      <c r="O10" s="1"/>
      <c r="P10" s="1"/>
      <c r="Q10" s="1"/>
      <c r="R10" s="7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</row>
    <row r="11" spans="1:56" s="40" customFormat="1" ht="13.5" customHeight="1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  <c r="AW11" s="39"/>
      <c r="AX11" s="39"/>
      <c r="AY11" s="39"/>
      <c r="AZ11" s="39"/>
      <c r="BA11" s="39"/>
      <c r="BB11" s="39"/>
      <c r="BC11" s="39"/>
      <c r="BD11" s="39"/>
    </row>
    <row r="12" spans="1:56">
      <c r="A12" s="86" t="s">
        <v>332</v>
      </c>
      <c r="B12" s="1"/>
      <c r="C12" s="1"/>
      <c r="D12" s="1"/>
      <c r="E12" s="1"/>
      <c r="F12" s="1"/>
      <c r="G12" s="1"/>
      <c r="H12" s="1"/>
      <c r="I12" s="7"/>
      <c r="J12" s="1"/>
      <c r="K12" s="7"/>
      <c r="L12" s="7"/>
      <c r="M12" s="1"/>
      <c r="N12" s="1"/>
      <c r="O12" s="1"/>
      <c r="P12" s="1"/>
      <c r="Q12" s="1"/>
      <c r="R12" s="7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</row>
    <row r="13" spans="1:56">
      <c r="A13" s="78" t="s">
        <v>392</v>
      </c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</row>
    <row r="14" spans="1:56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</row>
    <row r="15" spans="1:56">
      <c r="A15" s="86" t="s">
        <v>333</v>
      </c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</row>
    <row r="16" spans="1:56">
      <c r="A16" s="78" t="s">
        <v>390</v>
      </c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</row>
    <row r="17" spans="1:56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</row>
    <row r="18" spans="1:56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</row>
    <row r="19" spans="1:56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</row>
    <row r="20" spans="1:56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</row>
    <row r="21" spans="1:56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</row>
    <row r="22" spans="1:56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</row>
    <row r="23" spans="1:56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</row>
    <row r="24" spans="1:56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</row>
    <row r="25" spans="1:56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</row>
    <row r="26" spans="1:56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</row>
    <row r="27" spans="1:56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</row>
    <row r="28" spans="1:56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</row>
    <row r="29" spans="1:56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</row>
    <row r="30" spans="1:56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</row>
    <row r="31" spans="1:56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</row>
    <row r="32" spans="1:56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</row>
    <row r="33" spans="1:56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</row>
    <row r="34" spans="1:56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</row>
    <row r="35" spans="1:56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</row>
    <row r="36" spans="1:56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</row>
    <row r="37" spans="1:56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</row>
    <row r="38" spans="1:56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</row>
    <row r="39" spans="1:56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</row>
    <row r="40" spans="1:56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</row>
    <row r="41" spans="1:56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</row>
    <row r="42" spans="1:56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</row>
    <row r="43" spans="1:56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</row>
    <row r="44" spans="1:56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</row>
    <row r="45" spans="1:56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</row>
    <row r="46" spans="1:56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</row>
    <row r="47" spans="1:56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</row>
    <row r="48" spans="1:56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</row>
    <row r="49" spans="1:56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</row>
    <row r="50" spans="1:56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</row>
    <row r="51" spans="1:56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</row>
    <row r="52" spans="1:56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</row>
    <row r="53" spans="1:56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</row>
    <row r="54" spans="1:56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</row>
    <row r="55" spans="1:56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</row>
    <row r="56" spans="1:56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</row>
    <row r="57" spans="1:56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</row>
    <row r="58" spans="1:56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</row>
    <row r="59" spans="1:56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</row>
    <row r="60" spans="1:56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</row>
    <row r="61" spans="1:56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</row>
    <row r="62" spans="1:56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</row>
    <row r="63" spans="1:56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</row>
    <row r="64" spans="1:56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</row>
    <row r="65" spans="1:56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</row>
    <row r="66" spans="1:56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</row>
    <row r="67" spans="1:56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</row>
    <row r="68" spans="1:56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</row>
    <row r="69" spans="1:56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</row>
    <row r="70" spans="1:56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</row>
    <row r="71" spans="1:56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</row>
    <row r="72" spans="1:56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</row>
    <row r="73" spans="1:56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</row>
    <row r="74" spans="1:56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</row>
    <row r="75" spans="1:56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</row>
    <row r="76" spans="1:56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</row>
    <row r="77" spans="1:56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</row>
    <row r="78" spans="1:56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</row>
    <row r="79" spans="1:56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</row>
    <row r="80" spans="1:56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</row>
    <row r="81" spans="1:56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</row>
    <row r="82" spans="1:56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</row>
    <row r="83" spans="1:56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</row>
    <row r="84" spans="1:56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</row>
    <row r="85" spans="1:56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</row>
    <row r="86" spans="1:56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</row>
    <row r="87" spans="1:56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</row>
    <row r="88" spans="1:56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</row>
    <row r="89" spans="1:56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</row>
    <row r="90" spans="1:56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</row>
    <row r="91" spans="1:56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</row>
    <row r="92" spans="1:56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</row>
    <row r="93" spans="1:56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</row>
    <row r="94" spans="1:56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</row>
    <row r="95" spans="1:56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</row>
    <row r="96" spans="1:56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</row>
    <row r="97" spans="1:56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</row>
    <row r="98" spans="1:56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</row>
    <row r="99" spans="1:56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</row>
    <row r="100" spans="1:56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</row>
    <row r="101" spans="1:56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</row>
    <row r="102" spans="1:56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</row>
    <row r="103" spans="1:56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</row>
    <row r="104" spans="1:56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</row>
    <row r="105" spans="1:56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</row>
    <row r="106" spans="1:56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</row>
    <row r="107" spans="1:56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</row>
    <row r="108" spans="1:56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</row>
    <row r="109" spans="1:56"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</row>
    <row r="110" spans="1:56"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</row>
    <row r="111" spans="1:56"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</row>
    <row r="112" spans="1:56"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</row>
    <row r="113" spans="7:56"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</row>
    <row r="114" spans="7:56"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</row>
    <row r="115" spans="7:56"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</row>
    <row r="116" spans="7:56"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</row>
    <row r="117" spans="7:56"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</row>
    <row r="118" spans="7:56"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</row>
    <row r="119" spans="7:56"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</row>
    <row r="120" spans="7:56"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</row>
    <row r="121" spans="7:56"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</row>
    <row r="122" spans="7:56"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</row>
    <row r="123" spans="7:56"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</row>
    <row r="124" spans="7:56"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</row>
    <row r="125" spans="7:56"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</row>
    <row r="126" spans="7:56"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</row>
    <row r="127" spans="7:56"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</row>
    <row r="128" spans="7:56"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</row>
    <row r="129" spans="7:56"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</row>
    <row r="130" spans="7:56"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</row>
    <row r="131" spans="7:56"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</row>
    <row r="132" spans="7:56"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</row>
    <row r="133" spans="7:56"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</row>
    <row r="134" spans="7:56"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</row>
    <row r="135" spans="7:56"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</row>
    <row r="136" spans="7:56"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</row>
    <row r="137" spans="7:56"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</row>
    <row r="138" spans="7:56"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</row>
    <row r="139" spans="7:56"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</row>
    <row r="140" spans="7:56"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</row>
    <row r="141" spans="7:56"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</row>
    <row r="142" spans="7:56"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</row>
    <row r="143" spans="7:56"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</row>
    <row r="144" spans="7:56"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</row>
    <row r="145" spans="7:56"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</row>
    <row r="146" spans="7:56"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</row>
    <row r="147" spans="7:56"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</row>
    <row r="148" spans="7:56"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</row>
    <row r="149" spans="7:56"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</row>
    <row r="150" spans="7:56"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</row>
    <row r="151" spans="7:56"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</row>
    <row r="152" spans="7:56"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</row>
    <row r="153" spans="7:56"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</row>
    <row r="154" spans="7:56"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</row>
    <row r="155" spans="7:56"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</row>
    <row r="156" spans="7:56"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</row>
    <row r="157" spans="7:56"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</row>
    <row r="158" spans="7:56"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</row>
    <row r="159" spans="7:56"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</row>
    <row r="160" spans="7:56"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</row>
    <row r="161" spans="21:56"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</row>
    <row r="162" spans="21:56"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</row>
    <row r="163" spans="21:56"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</row>
  </sheetData>
  <conditionalFormatting sqref="R2:R7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S2:S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2:O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2:M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2:P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2:Q7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A10 A13 A16" xr:uid="{1742D439-9B3C-44DA-9721-705757BF2B17}">
      <formula1>$A$2:$A$8</formula1>
    </dataValidation>
  </dataValidations>
  <pageMargins left="0.7" right="0.7" top="0.75" bottom="0.75" header="0.3" footer="0.3"/>
  <pageSetup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5C3B0AB-71A2-45AE-A07D-93CF7DB78E1D}">
          <x14:formula1>
            <xm:f>'Memory Options'!$B$2:$B$10</xm:f>
          </x14:formula1>
          <xm:sqref>J2:J7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4CCA91-C4DC-4295-9C82-B729E627F309}">
  <sheetPr codeName="Sheet3"/>
  <dimension ref="A1:AZ171"/>
  <sheetViews>
    <sheetView zoomScale="80" zoomScaleNormal="80" workbookViewId="0">
      <selection activeCell="E34" sqref="E34"/>
    </sheetView>
  </sheetViews>
  <sheetFormatPr defaultRowHeight="14.5"/>
  <cols>
    <col min="1" max="1" width="14.81640625" bestFit="1" customWidth="1"/>
    <col min="2" max="2" width="10.6328125" bestFit="1" customWidth="1"/>
    <col min="3" max="3" width="11.453125" bestFit="1" customWidth="1"/>
    <col min="4" max="4" width="15.90625" customWidth="1"/>
    <col min="5" max="5" width="11.54296875" customWidth="1"/>
    <col min="6" max="6" width="7.54296875" customWidth="1"/>
    <col min="7" max="7" width="7.6328125" customWidth="1"/>
    <col min="8" max="8" width="7.90625" customWidth="1"/>
    <col min="9" max="9" width="18.81640625" customWidth="1"/>
    <col min="10" max="10" width="12.90625" customWidth="1"/>
    <col min="11" max="11" width="12" customWidth="1"/>
    <col min="12" max="12" width="13.81640625" bestFit="1" customWidth="1"/>
    <col min="13" max="13" width="36.81640625" customWidth="1"/>
    <col min="14" max="14" width="14" customWidth="1"/>
    <col min="15" max="15" width="14.1796875" customWidth="1"/>
    <col min="16" max="16" width="14.1796875" bestFit="1" customWidth="1"/>
    <col min="17" max="17" width="13.08984375" customWidth="1"/>
    <col min="18" max="18" width="84.81640625" bestFit="1" customWidth="1"/>
  </cols>
  <sheetData>
    <row r="1" spans="1:52">
      <c r="A1" s="116" t="s">
        <v>145</v>
      </c>
      <c r="B1" s="116"/>
      <c r="C1" s="116"/>
      <c r="D1" s="116"/>
      <c r="E1" s="116"/>
      <c r="F1" s="116"/>
      <c r="G1" s="116"/>
      <c r="H1" s="116"/>
      <c r="I1" s="116"/>
      <c r="J1" s="116"/>
      <c r="K1" s="116"/>
      <c r="L1" s="116"/>
      <c r="M1" s="116"/>
    </row>
    <row r="2" spans="1:52" s="6" customFormat="1" ht="29">
      <c r="A2" s="6" t="s">
        <v>96</v>
      </c>
      <c r="B2" s="6" t="s">
        <v>4</v>
      </c>
      <c r="C2" s="6" t="s">
        <v>98</v>
      </c>
      <c r="D2" s="6" t="s">
        <v>101</v>
      </c>
      <c r="E2" s="6" t="s">
        <v>125</v>
      </c>
      <c r="F2" s="6" t="s">
        <v>3</v>
      </c>
      <c r="G2" s="6" t="s">
        <v>126</v>
      </c>
      <c r="H2" s="6" t="s">
        <v>99</v>
      </c>
      <c r="I2" s="6" t="s">
        <v>121</v>
      </c>
      <c r="J2" s="6" t="s">
        <v>16</v>
      </c>
      <c r="K2" s="6" t="s">
        <v>114</v>
      </c>
      <c r="L2" s="6" t="s">
        <v>127</v>
      </c>
      <c r="M2" s="6" t="s">
        <v>102</v>
      </c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  <c r="AB2" s="7"/>
      <c r="AC2" s="7"/>
      <c r="AD2" s="7"/>
      <c r="AE2" s="7"/>
      <c r="AF2" s="7"/>
      <c r="AG2" s="7"/>
      <c r="AH2" s="7"/>
      <c r="AI2" s="7"/>
      <c r="AJ2" s="7"/>
      <c r="AK2" s="7"/>
      <c r="AL2" s="7"/>
      <c r="AM2" s="7"/>
      <c r="AN2" s="7"/>
      <c r="AO2" s="7"/>
      <c r="AP2" s="7"/>
      <c r="AQ2" s="7"/>
      <c r="AR2" s="7"/>
      <c r="AS2" s="7"/>
      <c r="AT2" s="7"/>
      <c r="AU2" s="7"/>
      <c r="AV2" s="7"/>
      <c r="AW2" s="7"/>
      <c r="AX2" s="7"/>
      <c r="AY2" s="7"/>
      <c r="AZ2" s="7"/>
    </row>
    <row r="3" spans="1:52" ht="29">
      <c r="A3" t="s">
        <v>97</v>
      </c>
      <c r="B3">
        <v>4</v>
      </c>
      <c r="C3" t="s">
        <v>100</v>
      </c>
      <c r="D3">
        <v>8</v>
      </c>
      <c r="E3">
        <v>12</v>
      </c>
      <c r="F3">
        <v>96</v>
      </c>
      <c r="G3">
        <v>2.2999999999999998</v>
      </c>
      <c r="H3">
        <v>220.79999999999998</v>
      </c>
      <c r="I3" s="30">
        <v>0.95</v>
      </c>
      <c r="J3" s="35">
        <v>2048</v>
      </c>
      <c r="K3" s="37">
        <v>0.65</v>
      </c>
      <c r="L3" s="38" t="e">
        <f>250*Table1[[#This Row],[vCPU]]/F3</f>
        <v>#VALUE!</v>
      </c>
      <c r="M3" s="6" t="s">
        <v>139</v>
      </c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</row>
    <row r="4" spans="1:52">
      <c r="A4" s="1"/>
      <c r="B4" s="1"/>
      <c r="C4" s="1"/>
      <c r="D4" s="1"/>
      <c r="E4" s="1"/>
      <c r="F4" s="1"/>
      <c r="G4" s="1"/>
      <c r="H4" s="1"/>
      <c r="I4" s="1"/>
      <c r="J4" s="1"/>
      <c r="K4" s="7"/>
      <c r="L4" s="7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</row>
    <row r="5" spans="1:52">
      <c r="A5" s="1"/>
      <c r="B5" s="1"/>
      <c r="C5" s="1"/>
      <c r="D5" s="1"/>
      <c r="E5" s="1"/>
      <c r="F5" s="1"/>
      <c r="G5" s="1"/>
      <c r="H5" s="1"/>
      <c r="I5" s="1"/>
      <c r="J5" s="1"/>
      <c r="K5" s="7"/>
      <c r="L5" s="7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</row>
    <row r="6" spans="1:52" s="6" customFormat="1" ht="58">
      <c r="A6" s="41" t="s">
        <v>96</v>
      </c>
      <c r="B6" s="36" t="s">
        <v>4</v>
      </c>
      <c r="C6" s="36" t="s">
        <v>98</v>
      </c>
      <c r="D6" s="36" t="s">
        <v>101</v>
      </c>
      <c r="E6" s="36" t="s">
        <v>125</v>
      </c>
      <c r="F6" s="36" t="s">
        <v>3</v>
      </c>
      <c r="G6" s="36" t="s">
        <v>126</v>
      </c>
      <c r="H6" s="36" t="s">
        <v>99</v>
      </c>
      <c r="I6" s="36" t="s">
        <v>122</v>
      </c>
      <c r="J6" s="36" t="s">
        <v>16</v>
      </c>
      <c r="K6" s="36" t="s">
        <v>115</v>
      </c>
      <c r="L6" s="36" t="s">
        <v>131</v>
      </c>
      <c r="M6" s="42" t="s">
        <v>102</v>
      </c>
      <c r="N6" s="36" t="s">
        <v>120</v>
      </c>
      <c r="O6" s="36" t="s">
        <v>129</v>
      </c>
      <c r="P6" s="36" t="s">
        <v>132</v>
      </c>
      <c r="Q6" s="36" t="s">
        <v>134</v>
      </c>
      <c r="R6" s="36" t="s">
        <v>133</v>
      </c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</row>
    <row r="7" spans="1:52" hidden="1">
      <c r="A7" s="3" t="s">
        <v>18</v>
      </c>
      <c r="B7" s="3">
        <v>3</v>
      </c>
      <c r="C7" s="3">
        <v>8268</v>
      </c>
      <c r="D7" s="2">
        <f t="shared" ref="D7:D12" si="0">2*B7</f>
        <v>6</v>
      </c>
      <c r="E7" s="3">
        <v>24</v>
      </c>
      <c r="F7" s="2">
        <f t="shared" ref="F7:F12" si="1">D7*E7</f>
        <v>144</v>
      </c>
      <c r="G7" s="3">
        <v>2.9</v>
      </c>
      <c r="H7" s="2">
        <f t="shared" ref="H7:H12" si="2">F7*G7</f>
        <v>417.59999999999997</v>
      </c>
      <c r="I7" s="45">
        <f t="shared" ref="I7:I12" si="3">$H$17/H7</f>
        <v>0.50229885057471269</v>
      </c>
      <c r="J7" s="43">
        <f>B7*1536</f>
        <v>4608</v>
      </c>
      <c r="K7" s="46">
        <f t="shared" ref="K7:K12" si="4">$K$17/J7</f>
        <v>0.28888888888888892</v>
      </c>
      <c r="L7" s="47">
        <f>'VDI Profiles'!$F$4/Table15[[#This Row],[Total Cores]]</f>
        <v>2.7777777777777777</v>
      </c>
      <c r="M7" s="44" t="s">
        <v>128</v>
      </c>
      <c r="N7" s="5">
        <f>D7*'Processor Options'!$E$6</f>
        <v>50880</v>
      </c>
      <c r="O7" s="31">
        <f>(24*'Memory Options'!$F$5)*B7</f>
        <v>123048</v>
      </c>
      <c r="P7" s="48">
        <f>Table15[[#This Row],[Total Processor Costs (List)]]+Table15[[#This Row],[Total Memory Costs (List)]]</f>
        <v>173928</v>
      </c>
      <c r="Q7" s="49">
        <f t="shared" ref="Q7:Q12" si="5">($P$11/P7)-1</f>
        <v>0.33141299848213057</v>
      </c>
      <c r="R7" s="3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</row>
    <row r="8" spans="1:52">
      <c r="A8" s="3" t="s">
        <v>18</v>
      </c>
      <c r="B8" s="3">
        <v>3</v>
      </c>
      <c r="C8" s="3">
        <v>8268</v>
      </c>
      <c r="D8" s="2">
        <f t="shared" si="0"/>
        <v>6</v>
      </c>
      <c r="E8" s="3">
        <v>24</v>
      </c>
      <c r="F8" s="2">
        <f t="shared" si="1"/>
        <v>144</v>
      </c>
      <c r="G8" s="3">
        <v>2.9</v>
      </c>
      <c r="H8" s="2">
        <f t="shared" si="2"/>
        <v>417.59999999999997</v>
      </c>
      <c r="I8" s="45">
        <f t="shared" si="3"/>
        <v>0.50229885057471269</v>
      </c>
      <c r="J8" s="43">
        <f>B8*768</f>
        <v>2304</v>
      </c>
      <c r="K8" s="46">
        <f t="shared" si="4"/>
        <v>0.57777777777777783</v>
      </c>
      <c r="L8" s="47">
        <f>'VDI Profiles'!$F$4/Table15[[#This Row],[Total Cores]]</f>
        <v>2.7777777777777777</v>
      </c>
      <c r="M8" s="44" t="s">
        <v>130</v>
      </c>
      <c r="N8" s="5">
        <f>D8*'Processor Options'!$E$6</f>
        <v>50880</v>
      </c>
      <c r="O8" s="31">
        <f>(12*'Memory Options'!$F$5)*B8</f>
        <v>61524</v>
      </c>
      <c r="P8" s="48">
        <f>Table15[[#This Row],[Total Processor Costs (List)]]+Table15[[#This Row],[Total Memory Costs (List)]]</f>
        <v>112404</v>
      </c>
      <c r="Q8" s="49">
        <f t="shared" si="5"/>
        <v>1.0601580014946088</v>
      </c>
      <c r="R8" s="3" t="s">
        <v>137</v>
      </c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</row>
    <row r="9" spans="1:52" hidden="1">
      <c r="A9" s="3" t="s">
        <v>18</v>
      </c>
      <c r="B9" s="3">
        <v>4</v>
      </c>
      <c r="C9" s="3">
        <v>6254</v>
      </c>
      <c r="D9" s="2">
        <f t="shared" si="0"/>
        <v>8</v>
      </c>
      <c r="E9" s="3">
        <f>'Processor Options'!C13</f>
        <v>18</v>
      </c>
      <c r="F9" s="2">
        <f t="shared" si="1"/>
        <v>144</v>
      </c>
      <c r="G9" s="3">
        <v>3.1</v>
      </c>
      <c r="H9" s="2">
        <f t="shared" si="2"/>
        <v>446.40000000000003</v>
      </c>
      <c r="I9" s="45">
        <f t="shared" si="3"/>
        <v>0.46989247311827953</v>
      </c>
      <c r="J9" s="43">
        <f>B9*1536</f>
        <v>6144</v>
      </c>
      <c r="K9" s="46">
        <f t="shared" si="4"/>
        <v>0.21666666666666667</v>
      </c>
      <c r="L9" s="47">
        <f>'VDI Profiles'!$F$4/Table15[[#This Row],[Total Cores]]</f>
        <v>2.7777777777777777</v>
      </c>
      <c r="M9" s="44" t="s">
        <v>128</v>
      </c>
      <c r="N9" s="5">
        <f>D9*'Processor Options'!$E$13</f>
        <v>37360</v>
      </c>
      <c r="O9" s="31">
        <f>(24*'Memory Options'!$F$5)*B9</f>
        <v>164064</v>
      </c>
      <c r="P9" s="48">
        <f>Table15[[#This Row],[Total Processor Costs (List)]]+Table15[[#This Row],[Total Memory Costs (List)]]</f>
        <v>201424</v>
      </c>
      <c r="Q9" s="49">
        <f t="shared" si="5"/>
        <v>0.14966438954642935</v>
      </c>
      <c r="R9" s="3" t="s">
        <v>136</v>
      </c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</row>
    <row r="10" spans="1:52">
      <c r="A10" s="3" t="s">
        <v>18</v>
      </c>
      <c r="B10" s="3">
        <v>3</v>
      </c>
      <c r="C10" s="3">
        <v>6254</v>
      </c>
      <c r="D10" s="2">
        <f t="shared" si="0"/>
        <v>6</v>
      </c>
      <c r="E10" s="3">
        <f>'Processor Options'!C13</f>
        <v>18</v>
      </c>
      <c r="F10" s="2">
        <f t="shared" si="1"/>
        <v>108</v>
      </c>
      <c r="G10" s="3">
        <v>3.1</v>
      </c>
      <c r="H10" s="2">
        <f t="shared" si="2"/>
        <v>334.8</v>
      </c>
      <c r="I10" s="45">
        <f t="shared" si="3"/>
        <v>0.62652329749103941</v>
      </c>
      <c r="J10" s="43">
        <f>B10*768</f>
        <v>2304</v>
      </c>
      <c r="K10" s="46">
        <f t="shared" si="4"/>
        <v>0.57777777777777783</v>
      </c>
      <c r="L10" s="47">
        <f>'VDI Profiles'!$F$4/Table15[[#This Row],[Total Cores]]</f>
        <v>3.7037037037037037</v>
      </c>
      <c r="M10" s="44" t="s">
        <v>130</v>
      </c>
      <c r="N10" s="5">
        <f>D10*'Processor Options'!$E$13</f>
        <v>28020</v>
      </c>
      <c r="O10" s="31">
        <f>(12*'Memory Options'!$F$5)*B10</f>
        <v>61524</v>
      </c>
      <c r="P10" s="48">
        <f>Table15[[#This Row],[Total Processor Costs (List)]]+Table15[[#This Row],[Total Memory Costs (List)]]</f>
        <v>89544</v>
      </c>
      <c r="Q10" s="49">
        <f t="shared" si="5"/>
        <v>1.586102921468775</v>
      </c>
      <c r="R10" s="3" t="s">
        <v>136</v>
      </c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</row>
    <row r="11" spans="1:52" hidden="1">
      <c r="A11" s="3" t="s">
        <v>18</v>
      </c>
      <c r="B11" s="3">
        <v>5</v>
      </c>
      <c r="C11" s="3">
        <v>6240</v>
      </c>
      <c r="D11" s="2">
        <f t="shared" si="0"/>
        <v>10</v>
      </c>
      <c r="E11" s="3">
        <f>'Processor Options'!C16</f>
        <v>18</v>
      </c>
      <c r="F11" s="2">
        <f t="shared" si="1"/>
        <v>180</v>
      </c>
      <c r="G11" s="3">
        <v>2.6</v>
      </c>
      <c r="H11" s="2">
        <f t="shared" si="2"/>
        <v>468</v>
      </c>
      <c r="I11" s="45">
        <f t="shared" si="3"/>
        <v>0.4482051282051282</v>
      </c>
      <c r="J11" s="43">
        <f>B11*1536</f>
        <v>7680</v>
      </c>
      <c r="K11" s="46">
        <f t="shared" si="4"/>
        <v>0.17333333333333334</v>
      </c>
      <c r="L11" s="47">
        <f>'VDI Profiles'!$F$4/Table15[[#This Row],[Total Cores]]</f>
        <v>2.2222222222222223</v>
      </c>
      <c r="M11" s="44" t="s">
        <v>128</v>
      </c>
      <c r="N11" s="5">
        <f>D11*'Processor Options'!$E$16</f>
        <v>26490</v>
      </c>
      <c r="O11" s="31">
        <f>(24*'Memory Options'!$F$5)*B11</f>
        <v>205080</v>
      </c>
      <c r="P11" s="48">
        <f>Table15[[#This Row],[Total Processor Costs (List)]]+Table15[[#This Row],[Total Memory Costs (List)]]</f>
        <v>231570</v>
      </c>
      <c r="Q11" s="49">
        <f t="shared" si="5"/>
        <v>0</v>
      </c>
      <c r="R11" s="3" t="s">
        <v>138</v>
      </c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</row>
    <row r="12" spans="1:52" hidden="1">
      <c r="A12" s="3" t="s">
        <v>18</v>
      </c>
      <c r="B12" s="3">
        <v>5</v>
      </c>
      <c r="C12" s="3">
        <v>6240</v>
      </c>
      <c r="D12" s="2">
        <f t="shared" si="0"/>
        <v>10</v>
      </c>
      <c r="E12" s="3">
        <f>'Processor Options'!C16</f>
        <v>18</v>
      </c>
      <c r="F12" s="2">
        <f t="shared" si="1"/>
        <v>180</v>
      </c>
      <c r="G12" s="3">
        <v>2.6</v>
      </c>
      <c r="H12" s="2">
        <f t="shared" si="2"/>
        <v>468</v>
      </c>
      <c r="I12" s="45">
        <f t="shared" si="3"/>
        <v>0.4482051282051282</v>
      </c>
      <c r="J12" s="43">
        <f>B12*768</f>
        <v>3840</v>
      </c>
      <c r="K12" s="46">
        <f t="shared" si="4"/>
        <v>0.34666666666666668</v>
      </c>
      <c r="L12" s="47">
        <f>'VDI Profiles'!$F$4/Table15[[#This Row],[Total Cores]]</f>
        <v>2.2222222222222223</v>
      </c>
      <c r="M12" s="44" t="s">
        <v>130</v>
      </c>
      <c r="N12" s="5">
        <f>D12*'Processor Options'!$E$16</f>
        <v>26490</v>
      </c>
      <c r="O12" s="31">
        <f>(12*'Memory Options'!$F$5)*B12</f>
        <v>102540</v>
      </c>
      <c r="P12" s="48">
        <f>Table15[[#This Row],[Total Processor Costs (List)]]+Table15[[#This Row],[Total Memory Costs (List)]]</f>
        <v>129030</v>
      </c>
      <c r="Q12" s="49">
        <f t="shared" si="5"/>
        <v>0.79469890723087655</v>
      </c>
      <c r="R12" s="3" t="s">
        <v>138</v>
      </c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</row>
    <row r="13" spans="1:52">
      <c r="A13" s="1"/>
      <c r="B13" s="1"/>
      <c r="C13" s="1"/>
      <c r="D13" s="1"/>
      <c r="E13" s="1"/>
      <c r="F13" s="1"/>
      <c r="G13" s="1"/>
      <c r="H13" s="1"/>
      <c r="I13" s="1"/>
      <c r="J13" s="1"/>
      <c r="K13" s="7"/>
      <c r="L13" s="7"/>
      <c r="M13" s="1"/>
      <c r="N13" s="1"/>
      <c r="O13" s="1"/>
      <c r="P13" s="1"/>
      <c r="Q13" s="1"/>
      <c r="R13" s="50" t="s">
        <v>135</v>
      </c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</row>
    <row r="14" spans="1:52">
      <c r="A14" s="1"/>
      <c r="B14" s="1"/>
      <c r="C14" s="1"/>
      <c r="D14" s="1"/>
      <c r="E14" s="1"/>
      <c r="F14" s="1"/>
      <c r="G14" s="1"/>
      <c r="H14" s="1"/>
      <c r="I14" s="1"/>
      <c r="J14" s="1"/>
      <c r="K14" s="7"/>
      <c r="L14" s="7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</row>
    <row r="15" spans="1:52">
      <c r="A15" s="1"/>
      <c r="B15" s="1"/>
      <c r="C15" s="1"/>
      <c r="D15" s="1"/>
      <c r="E15" s="1"/>
      <c r="F15" s="1"/>
      <c r="G15" s="1"/>
      <c r="H15" s="1"/>
      <c r="I15" s="1"/>
      <c r="J15" s="1"/>
      <c r="K15" s="7"/>
      <c r="L15" s="7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</row>
    <row r="16" spans="1:52" s="40" customFormat="1" ht="31" customHeight="1">
      <c r="A16" s="39"/>
      <c r="B16" s="39"/>
      <c r="C16" s="39"/>
      <c r="D16" s="39"/>
      <c r="E16" s="39"/>
      <c r="F16" s="39" t="s">
        <v>116</v>
      </c>
      <c r="G16" s="39"/>
      <c r="H16" s="39" t="s">
        <v>117</v>
      </c>
      <c r="I16" s="39" t="s">
        <v>118</v>
      </c>
      <c r="J16" s="39" t="s">
        <v>123</v>
      </c>
      <c r="K16" s="39" t="s">
        <v>124</v>
      </c>
      <c r="L16" s="39"/>
      <c r="M16" s="39" t="s">
        <v>114</v>
      </c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  <c r="AW16" s="39"/>
      <c r="AX16" s="39"/>
    </row>
    <row r="17" spans="1:50">
      <c r="A17" s="1"/>
      <c r="B17" s="1"/>
      <c r="C17" s="1"/>
      <c r="D17" s="1"/>
      <c r="E17" s="1"/>
      <c r="F17" s="1">
        <v>220.8</v>
      </c>
      <c r="G17" s="1"/>
      <c r="H17" s="1">
        <v>209.76</v>
      </c>
      <c r="I17" s="1">
        <v>0.95</v>
      </c>
      <c r="J17" s="1">
        <v>2048</v>
      </c>
      <c r="K17" s="7">
        <v>1331.2</v>
      </c>
      <c r="L17" s="7"/>
      <c r="M17" s="1">
        <v>0.65</v>
      </c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</row>
    <row r="18" spans="1:50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</row>
    <row r="19" spans="1:50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</row>
    <row r="20" spans="1:50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</row>
    <row r="21" spans="1:50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</row>
    <row r="22" spans="1:50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</row>
    <row r="23" spans="1:50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</row>
    <row r="24" spans="1:50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</row>
    <row r="25" spans="1:50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</row>
    <row r="26" spans="1:50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</row>
    <row r="27" spans="1:50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</row>
    <row r="28" spans="1:50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</row>
    <row r="29" spans="1:50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</row>
    <row r="30" spans="1:50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</row>
    <row r="31" spans="1:50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</row>
    <row r="32" spans="1:50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</row>
    <row r="33" spans="1:50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</row>
    <row r="34" spans="1:50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</row>
    <row r="35" spans="1:50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</row>
    <row r="36" spans="1:50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</row>
    <row r="37" spans="1:50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</row>
    <row r="38" spans="1:50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</row>
    <row r="39" spans="1:50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</row>
    <row r="40" spans="1:50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</row>
    <row r="41" spans="1:50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</row>
    <row r="42" spans="1:50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</row>
    <row r="43" spans="1:50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</row>
    <row r="44" spans="1:50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</row>
    <row r="45" spans="1:50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</row>
    <row r="46" spans="1:50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</row>
    <row r="47" spans="1:50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</row>
    <row r="48" spans="1:50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</row>
    <row r="49" spans="1:50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</row>
    <row r="50" spans="1:50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</row>
    <row r="51" spans="1:50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</row>
    <row r="52" spans="1:50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</row>
    <row r="53" spans="1:50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</row>
    <row r="54" spans="1:50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</row>
    <row r="55" spans="1:50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</row>
    <row r="56" spans="1:50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</row>
    <row r="57" spans="1:50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</row>
    <row r="58" spans="1:50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</row>
    <row r="59" spans="1:50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</row>
    <row r="60" spans="1:50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</row>
    <row r="61" spans="1:50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</row>
    <row r="62" spans="1:50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</row>
    <row r="63" spans="1:50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</row>
    <row r="64" spans="1:50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</row>
    <row r="65" spans="1:50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</row>
    <row r="66" spans="1:50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</row>
    <row r="67" spans="1:50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</row>
    <row r="68" spans="1:50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</row>
    <row r="69" spans="1:50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</row>
    <row r="70" spans="1:50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</row>
    <row r="71" spans="1:50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</row>
    <row r="72" spans="1:50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</row>
    <row r="73" spans="1:50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</row>
    <row r="74" spans="1:50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</row>
    <row r="75" spans="1:50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</row>
    <row r="76" spans="1:50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</row>
    <row r="77" spans="1:50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</row>
    <row r="78" spans="1:50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</row>
    <row r="79" spans="1:50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</row>
    <row r="80" spans="1:50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</row>
    <row r="81" spans="1:50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</row>
    <row r="82" spans="1:50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</row>
    <row r="83" spans="1:50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</row>
    <row r="84" spans="1:50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</row>
    <row r="85" spans="1:50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</row>
    <row r="86" spans="1:50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</row>
    <row r="87" spans="1:50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</row>
    <row r="88" spans="1:50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</row>
    <row r="89" spans="1:50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</row>
    <row r="90" spans="1:50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</row>
    <row r="91" spans="1:50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</row>
    <row r="92" spans="1:50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</row>
    <row r="93" spans="1:50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</row>
    <row r="94" spans="1:50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</row>
    <row r="95" spans="1:50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</row>
    <row r="96" spans="1:50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</row>
    <row r="97" spans="1:50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</row>
    <row r="98" spans="1:50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</row>
    <row r="99" spans="1:50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</row>
    <row r="100" spans="1:50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</row>
    <row r="101" spans="1:50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</row>
    <row r="102" spans="1:50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</row>
    <row r="103" spans="1:50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</row>
    <row r="104" spans="1:50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</row>
    <row r="105" spans="1:50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</row>
    <row r="106" spans="1:50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</row>
    <row r="107" spans="1:50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</row>
    <row r="108" spans="1:50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</row>
    <row r="109" spans="1:50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</row>
    <row r="110" spans="1:50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</row>
    <row r="111" spans="1:50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</row>
    <row r="112" spans="1:50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</row>
    <row r="113" spans="1:50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</row>
    <row r="114" spans="1:50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</row>
    <row r="115" spans="1:50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</row>
    <row r="116" spans="1:50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</row>
    <row r="117" spans="1:50"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</row>
    <row r="118" spans="1:50"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</row>
    <row r="119" spans="1:50"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</row>
    <row r="120" spans="1:50"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</row>
    <row r="121" spans="1:50"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</row>
    <row r="122" spans="1:50"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</row>
    <row r="123" spans="1:50"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</row>
    <row r="124" spans="1:50"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</row>
    <row r="125" spans="1:50"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</row>
    <row r="126" spans="1:50"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</row>
    <row r="127" spans="1:50"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</row>
    <row r="128" spans="1:50"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</row>
    <row r="129" spans="15:50"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</row>
    <row r="130" spans="15:50"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</row>
    <row r="131" spans="15:50"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</row>
    <row r="132" spans="15:50"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</row>
    <row r="133" spans="15:50"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</row>
    <row r="134" spans="15:50"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</row>
    <row r="135" spans="15:50"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</row>
    <row r="136" spans="15:50"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</row>
    <row r="137" spans="15:50"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</row>
    <row r="138" spans="15:50"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</row>
    <row r="139" spans="15:50"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</row>
    <row r="140" spans="15:50"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</row>
    <row r="141" spans="15:50"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</row>
    <row r="142" spans="15:50"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</row>
    <row r="143" spans="15:50"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</row>
    <row r="144" spans="15:50"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</row>
    <row r="145" spans="15:50"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</row>
    <row r="146" spans="15:50"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</row>
    <row r="147" spans="15:50"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</row>
    <row r="148" spans="15:50"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</row>
    <row r="149" spans="15:50"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</row>
    <row r="150" spans="15:50"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</row>
    <row r="151" spans="15:50"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</row>
    <row r="152" spans="15:50"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</row>
    <row r="153" spans="15:50"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</row>
    <row r="154" spans="15:50"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</row>
    <row r="155" spans="15:50"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</row>
    <row r="156" spans="15:50"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</row>
    <row r="157" spans="15:50"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</row>
    <row r="158" spans="15:50"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</row>
    <row r="159" spans="15:50"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</row>
    <row r="160" spans="15:50"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</row>
    <row r="161" spans="15:50"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</row>
    <row r="162" spans="15:50"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</row>
    <row r="163" spans="15:50"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</row>
    <row r="164" spans="15:50"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</row>
    <row r="165" spans="15:50"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</row>
    <row r="166" spans="15:50"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</row>
    <row r="167" spans="15:50"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</row>
    <row r="168" spans="15:50"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</row>
    <row r="169" spans="15:50"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</row>
    <row r="170" spans="15:50"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</row>
    <row r="171" spans="15:50"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</row>
  </sheetData>
  <mergeCells count="1">
    <mergeCell ref="A1:M1"/>
  </mergeCells>
  <conditionalFormatting sqref="P7:P12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Q7:Q12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45164-7517-46C5-A159-4A709D2F8954}">
  <sheetPr codeName="Sheet4">
    <tabColor rgb="FFFFFF00"/>
  </sheetPr>
  <dimension ref="A1:BF401"/>
  <sheetViews>
    <sheetView workbookViewId="0">
      <selection activeCell="D19" sqref="D19"/>
    </sheetView>
  </sheetViews>
  <sheetFormatPr defaultRowHeight="14.5"/>
  <cols>
    <col min="1" max="1" width="20.6328125" customWidth="1"/>
    <col min="2" max="2" width="12.54296875" bestFit="1" customWidth="1"/>
    <col min="3" max="3" width="15.54296875" customWidth="1"/>
    <col min="4" max="4" width="24.453125" customWidth="1"/>
    <col min="5" max="5" width="18.54296875" customWidth="1"/>
    <col min="6" max="6" width="20.1796875" customWidth="1"/>
    <col min="7" max="7" width="24.1796875" customWidth="1"/>
    <col min="8" max="8" width="21.453125" customWidth="1"/>
    <col min="9" max="9" width="25.1796875" customWidth="1"/>
    <col min="10" max="10" width="21" customWidth="1"/>
  </cols>
  <sheetData>
    <row r="1" spans="1:58" ht="30" customHeight="1">
      <c r="A1" s="4" t="s">
        <v>5</v>
      </c>
      <c r="B1" s="4" t="s">
        <v>10</v>
      </c>
      <c r="C1" s="4" t="s">
        <v>11</v>
      </c>
      <c r="D1" s="4" t="s">
        <v>12</v>
      </c>
      <c r="E1" s="4" t="s">
        <v>13</v>
      </c>
      <c r="F1" s="4" t="s">
        <v>334</v>
      </c>
      <c r="G1" s="4" t="s">
        <v>335</v>
      </c>
      <c r="H1" s="4" t="s">
        <v>104</v>
      </c>
      <c r="I1" s="4" t="s">
        <v>107</v>
      </c>
      <c r="J1" s="4" t="s">
        <v>113</v>
      </c>
      <c r="K1" s="1"/>
      <c r="L1" s="32" t="s">
        <v>112</v>
      </c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</row>
    <row r="2" spans="1:58">
      <c r="A2" s="2" t="s">
        <v>6</v>
      </c>
      <c r="B2" s="2">
        <v>24</v>
      </c>
      <c r="C2" s="2">
        <v>3840</v>
      </c>
      <c r="D2" s="2">
        <v>250</v>
      </c>
      <c r="E2" s="2" t="s">
        <v>14</v>
      </c>
      <c r="F2" s="80">
        <v>3</v>
      </c>
      <c r="G2" s="83">
        <v>6200</v>
      </c>
      <c r="H2" s="31">
        <f>F2*G2</f>
        <v>18600</v>
      </c>
      <c r="I2" s="2" t="s">
        <v>108</v>
      </c>
      <c r="J2" s="31">
        <f>H2/((B2/1)*F2)</f>
        <v>258.33333333333331</v>
      </c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</row>
    <row r="3" spans="1:58">
      <c r="A3" s="2" t="s">
        <v>7</v>
      </c>
      <c r="B3" s="2">
        <v>16</v>
      </c>
      <c r="C3" s="2">
        <v>4096</v>
      </c>
      <c r="D3" s="2">
        <v>300</v>
      </c>
      <c r="E3" s="2" t="s">
        <v>15</v>
      </c>
      <c r="F3" s="80">
        <v>3</v>
      </c>
      <c r="G3" s="83">
        <v>7000</v>
      </c>
      <c r="H3" s="31">
        <f>F3*G3</f>
        <v>21000</v>
      </c>
      <c r="I3" s="2" t="s">
        <v>109</v>
      </c>
      <c r="J3" s="31">
        <f>H3/((B3/0.5)*F3)</f>
        <v>218.75</v>
      </c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</row>
    <row r="4" spans="1:58">
      <c r="A4" s="2" t="s">
        <v>8</v>
      </c>
      <c r="B4" s="2">
        <v>32</v>
      </c>
      <c r="C4" s="2">
        <v>2560</v>
      </c>
      <c r="D4" s="2">
        <v>225</v>
      </c>
      <c r="E4" s="2" t="s">
        <v>14</v>
      </c>
      <c r="F4" s="80">
        <v>3</v>
      </c>
      <c r="G4" s="83">
        <v>3000</v>
      </c>
      <c r="H4" s="31">
        <f>F4*G4</f>
        <v>9000</v>
      </c>
      <c r="I4" s="2" t="s">
        <v>106</v>
      </c>
      <c r="J4" s="31">
        <f>H4/((B4/0.5)*F4)</f>
        <v>46.875</v>
      </c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</row>
    <row r="5" spans="1:58">
      <c r="A5" s="2" t="s">
        <v>9</v>
      </c>
      <c r="B5" s="2">
        <v>16</v>
      </c>
      <c r="C5" s="2">
        <v>2560</v>
      </c>
      <c r="D5" s="2">
        <v>70</v>
      </c>
      <c r="E5" s="2" t="s">
        <v>14</v>
      </c>
      <c r="F5" s="80">
        <v>16</v>
      </c>
      <c r="G5" s="83">
        <v>2300</v>
      </c>
      <c r="H5" s="31">
        <f>F5*G5</f>
        <v>36800</v>
      </c>
      <c r="I5" s="2" t="s">
        <v>111</v>
      </c>
      <c r="J5" s="31">
        <f>H5/((B5/1)*F5)</f>
        <v>143.75</v>
      </c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</row>
    <row r="6" spans="1:58">
      <c r="A6" s="2" t="s">
        <v>105</v>
      </c>
      <c r="B6" s="2">
        <v>48</v>
      </c>
      <c r="C6" s="2">
        <v>4608</v>
      </c>
      <c r="D6" s="2">
        <v>250</v>
      </c>
      <c r="E6" s="2" t="s">
        <v>14</v>
      </c>
      <c r="F6" s="80">
        <v>3</v>
      </c>
      <c r="G6" s="83">
        <v>5500</v>
      </c>
      <c r="H6" s="31">
        <f>F6*G6</f>
        <v>16500</v>
      </c>
      <c r="I6" s="2" t="s">
        <v>110</v>
      </c>
      <c r="J6" s="31">
        <f>H6/((B6/1)*F6)</f>
        <v>114.58333333333333</v>
      </c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</row>
    <row r="7" spans="1:58">
      <c r="A7" s="1"/>
      <c r="B7" s="1"/>
      <c r="C7" s="1"/>
      <c r="D7" s="1"/>
      <c r="E7" s="1"/>
      <c r="F7" s="64" t="s">
        <v>395</v>
      </c>
      <c r="G7" s="64" t="s">
        <v>336</v>
      </c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</row>
    <row r="8" spans="1:58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</row>
    <row r="9" spans="1:58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</row>
    <row r="10" spans="1:58" ht="45" customHeight="1">
      <c r="A10" s="4" t="s">
        <v>327</v>
      </c>
      <c r="B10" s="4" t="s">
        <v>4</v>
      </c>
      <c r="C10" s="4" t="s">
        <v>95</v>
      </c>
      <c r="D10" s="4" t="s">
        <v>340</v>
      </c>
      <c r="E10" s="4" t="s">
        <v>341</v>
      </c>
      <c r="F10" s="4" t="s">
        <v>425</v>
      </c>
      <c r="G10" s="4" t="s">
        <v>104</v>
      </c>
      <c r="H10" s="4" t="s">
        <v>337</v>
      </c>
      <c r="I10" s="4" t="s">
        <v>119</v>
      </c>
      <c r="J10" s="7"/>
      <c r="K10" s="7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</row>
    <row r="11" spans="1:58">
      <c r="A11" s="2" t="str">
        <f>'Server Options (Greenfield)'!A10</f>
        <v>Option 3b:  12 DIMMs</v>
      </c>
      <c r="B11" s="2">
        <f>VLOOKUP(A11,'Server Options (Greenfield)'!$A$1:'Server Options (Greenfield)'!$C$300,2,FALSE)</f>
        <v>4</v>
      </c>
      <c r="C11" s="80" t="s">
        <v>8</v>
      </c>
      <c r="D11" s="80">
        <v>3</v>
      </c>
      <c r="E11" s="2">
        <f>IFERROR(VLOOKUP(C11,$A$2:$B$6,2)*(B11*D11),"")</f>
        <v>384</v>
      </c>
      <c r="F11" s="2">
        <f>'VDI Profiles'!$H$14</f>
        <v>550</v>
      </c>
      <c r="G11" s="31">
        <f>IFERROR((B11*D11)*VLOOKUP(C11,$A$1:$G$6,7,FALSE),"")</f>
        <v>36000</v>
      </c>
      <c r="H11" s="83"/>
      <c r="I11" s="31">
        <f>IFERROR(G11+H11,"")</f>
        <v>36000</v>
      </c>
      <c r="J11" s="33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</row>
    <row r="12" spans="1:58">
      <c r="A12" s="2" t="str">
        <f>'Server Options (Greenfield)'!$A$13</f>
        <v>Option 2b:  12 DIMMs</v>
      </c>
      <c r="B12" s="2">
        <f>VLOOKUP(A12,'Server Options (Greenfield)'!$A$1:'Server Options (Greenfield)'!$C$300,2,FALSE)</f>
        <v>4</v>
      </c>
      <c r="C12" s="80" t="s">
        <v>8</v>
      </c>
      <c r="D12" s="80">
        <v>3</v>
      </c>
      <c r="E12" s="2">
        <f>IFERROR(VLOOKUP(C12,$A$2:$B$6,2)*(B12*D12),"")</f>
        <v>384</v>
      </c>
      <c r="F12" s="2">
        <f>'VDI Profiles'!$H$14</f>
        <v>550</v>
      </c>
      <c r="G12" s="31">
        <f>IFERROR((B12*D12)*VLOOKUP(C12,$A$1:$G$6,7,FALSE),"")</f>
        <v>36000</v>
      </c>
      <c r="H12" s="83"/>
      <c r="I12" s="31">
        <f>IFERROR(G12+H12,"")</f>
        <v>36000</v>
      </c>
      <c r="J12" s="60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</row>
    <row r="13" spans="1:58" ht="12.5" customHeight="1">
      <c r="A13" s="4" t="str">
        <f>'Server Options (Greenfield)'!A16</f>
        <v>Option 1b:  12 DIMMs</v>
      </c>
      <c r="B13" s="2">
        <f>VLOOKUP(A13,'Server Options (Greenfield)'!$A$1:'Server Options (Greenfield)'!$C$300,2,FALSE)</f>
        <v>4</v>
      </c>
      <c r="C13" s="80" t="s">
        <v>8</v>
      </c>
      <c r="D13" s="80">
        <v>3</v>
      </c>
      <c r="E13" s="2">
        <f>IFERROR(VLOOKUP(C13,$A$2:$B$6,2)*(B13*D13),"")</f>
        <v>384</v>
      </c>
      <c r="F13" s="2">
        <f>'VDI Profiles'!$H$14</f>
        <v>550</v>
      </c>
      <c r="G13" s="31">
        <f>IFERROR((B13*D13)*VLOOKUP(C13,$A$1:$G$6,7,FALSE),"")</f>
        <v>36000</v>
      </c>
      <c r="H13" s="83"/>
      <c r="I13" s="31">
        <f>IFERROR(G13+H13,"")</f>
        <v>36000</v>
      </c>
      <c r="J13" s="60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</row>
    <row r="14" spans="1:58">
      <c r="A14" s="1"/>
      <c r="B14" s="8"/>
      <c r="C14" s="1"/>
      <c r="D14" s="1"/>
      <c r="E14" s="34"/>
      <c r="F14" s="34"/>
      <c r="G14" s="34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</row>
    <row r="15" spans="1:58">
      <c r="A15" s="1"/>
      <c r="B15" s="1"/>
      <c r="C15" s="1"/>
      <c r="E15" s="34"/>
      <c r="F15" s="34"/>
      <c r="G15" s="34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</row>
    <row r="16" spans="1:58">
      <c r="A16" s="1"/>
      <c r="B16" s="1"/>
      <c r="C16" s="1"/>
      <c r="D16" s="1"/>
      <c r="E16" s="34"/>
      <c r="F16" s="34"/>
      <c r="G16" s="34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</row>
    <row r="17" spans="1:58">
      <c r="A17" s="1"/>
      <c r="B17" s="1"/>
      <c r="C17" s="1"/>
      <c r="D17" s="1"/>
      <c r="E17" s="34"/>
      <c r="F17" s="1"/>
      <c r="G17" s="34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</row>
    <row r="18" spans="1:58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</row>
    <row r="19" spans="1:58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</row>
    <row r="20" spans="1:58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</row>
    <row r="21" spans="1:58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</row>
    <row r="22" spans="1:58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</row>
    <row r="23" spans="1:58">
      <c r="A23" s="1"/>
      <c r="B23" s="1"/>
      <c r="C23" s="1"/>
      <c r="D23" s="1"/>
      <c r="E23" s="1"/>
      <c r="F23" s="34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</row>
    <row r="24" spans="1:58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</row>
    <row r="25" spans="1:58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</row>
    <row r="26" spans="1:58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</row>
    <row r="27" spans="1:58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</row>
    <row r="28" spans="1:58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</row>
    <row r="29" spans="1:58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</row>
    <row r="30" spans="1:58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</row>
    <row r="31" spans="1:58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</row>
    <row r="32" spans="1:58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</row>
    <row r="33" spans="1:58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</row>
    <row r="34" spans="1:58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</row>
    <row r="35" spans="1:58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</row>
    <row r="36" spans="1:58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</row>
    <row r="37" spans="1:58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</row>
    <row r="38" spans="1:58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</row>
    <row r="39" spans="1:58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</row>
    <row r="40" spans="1:58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</row>
    <row r="41" spans="1:58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</row>
    <row r="42" spans="1:58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</row>
    <row r="43" spans="1:58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</row>
    <row r="44" spans="1:58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</row>
    <row r="45" spans="1:58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</row>
    <row r="46" spans="1:58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</row>
    <row r="47" spans="1:58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</row>
    <row r="48" spans="1:58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</row>
    <row r="49" spans="1:58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</row>
    <row r="50" spans="1:58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</row>
    <row r="51" spans="1:58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</row>
    <row r="52" spans="1:58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</row>
    <row r="53" spans="1:58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</row>
    <row r="54" spans="1:58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</row>
    <row r="55" spans="1:58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</row>
    <row r="56" spans="1:58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</row>
    <row r="57" spans="1:58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</row>
    <row r="58" spans="1:58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</row>
    <row r="59" spans="1:58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</row>
    <row r="60" spans="1:58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</row>
    <row r="61" spans="1:58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</row>
    <row r="62" spans="1:58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</row>
    <row r="63" spans="1:58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</row>
    <row r="64" spans="1:58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</row>
    <row r="65" spans="1:58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</row>
    <row r="66" spans="1:58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</row>
    <row r="67" spans="1:58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</row>
    <row r="68" spans="1:58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</row>
    <row r="69" spans="1:58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</row>
    <row r="70" spans="1:58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</row>
    <row r="71" spans="1:58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</row>
    <row r="72" spans="1:58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</row>
    <row r="73" spans="1:58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</row>
    <row r="74" spans="1:58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</row>
    <row r="75" spans="1:58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</row>
    <row r="76" spans="1:58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</row>
    <row r="77" spans="1:58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</row>
    <row r="78" spans="1:58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</row>
    <row r="79" spans="1:58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</row>
    <row r="80" spans="1:58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</row>
    <row r="81" spans="1:58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</row>
    <row r="82" spans="1:58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</row>
    <row r="83" spans="1:58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</row>
    <row r="84" spans="1:58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</row>
    <row r="85" spans="1:58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</row>
    <row r="86" spans="1:58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</row>
    <row r="87" spans="1:58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</row>
    <row r="88" spans="1:58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</row>
    <row r="89" spans="1:58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</row>
    <row r="90" spans="1:58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</row>
    <row r="91" spans="1:58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</row>
    <row r="92" spans="1:58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</row>
    <row r="93" spans="1:58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</row>
    <row r="94" spans="1:58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</row>
    <row r="95" spans="1:58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</row>
    <row r="96" spans="1:58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</row>
    <row r="97" spans="1:58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</row>
    <row r="98" spans="1:58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</row>
    <row r="99" spans="1:58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</row>
    <row r="100" spans="1:58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</row>
    <row r="101" spans="1:58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</row>
    <row r="102" spans="1:58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</row>
    <row r="103" spans="1:58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</row>
    <row r="104" spans="1:58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</row>
    <row r="105" spans="1:58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</row>
    <row r="106" spans="1:58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</row>
    <row r="107" spans="1:58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</row>
    <row r="108" spans="1:58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</row>
    <row r="109" spans="1:58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</row>
    <row r="110" spans="1:58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</row>
    <row r="111" spans="1:58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</row>
    <row r="112" spans="1:58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</row>
    <row r="113" spans="1:58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</row>
    <row r="114" spans="1:58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</row>
    <row r="115" spans="1:58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</row>
    <row r="116" spans="1:58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</row>
    <row r="117" spans="1:58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</row>
    <row r="118" spans="1:58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</row>
    <row r="119" spans="1:58"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</row>
    <row r="120" spans="1:58"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</row>
    <row r="121" spans="1:58"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</row>
    <row r="122" spans="1:58"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</row>
    <row r="123" spans="1:58"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</row>
    <row r="124" spans="1:58"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</row>
    <row r="125" spans="1:58"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</row>
    <row r="126" spans="1:58"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</row>
    <row r="127" spans="1:58"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</row>
    <row r="128" spans="1:58"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</row>
    <row r="129" spans="22:58"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</row>
    <row r="130" spans="22:58"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</row>
    <row r="131" spans="22:58"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</row>
    <row r="132" spans="22:58"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</row>
    <row r="133" spans="22:58"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</row>
    <row r="134" spans="22:58"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</row>
    <row r="135" spans="22:58"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</row>
    <row r="136" spans="22:58"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</row>
    <row r="137" spans="22:58"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</row>
    <row r="138" spans="22:58"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</row>
    <row r="139" spans="22:58"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</row>
    <row r="140" spans="22:58"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</row>
    <row r="141" spans="22:58"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</row>
    <row r="142" spans="22:58"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</row>
    <row r="143" spans="22:58"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</row>
    <row r="144" spans="22:58"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</row>
    <row r="145" spans="22:58"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</row>
    <row r="146" spans="22:58"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</row>
    <row r="147" spans="22:58"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</row>
    <row r="148" spans="22:58"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</row>
    <row r="149" spans="22:58"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</row>
    <row r="150" spans="22:58"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</row>
    <row r="151" spans="22:58"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</row>
    <row r="152" spans="22:58"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</row>
    <row r="153" spans="22:58"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</row>
    <row r="154" spans="22:58"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</row>
    <row r="155" spans="22:58"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</row>
    <row r="156" spans="22:58"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</row>
    <row r="157" spans="22:58"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</row>
    <row r="158" spans="22:58"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</row>
    <row r="159" spans="22:58"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</row>
    <row r="160" spans="22:58"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</row>
    <row r="161" spans="22:58"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</row>
    <row r="162" spans="22:58"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</row>
    <row r="163" spans="22:58"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</row>
    <row r="164" spans="22:58"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</row>
    <row r="165" spans="22:58"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</row>
    <row r="166" spans="22:58"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</row>
    <row r="167" spans="22:58"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</row>
    <row r="168" spans="22:58"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</row>
    <row r="169" spans="22:58"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</row>
    <row r="170" spans="22:58"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</row>
    <row r="171" spans="22:58"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</row>
    <row r="172" spans="22:58"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</row>
    <row r="173" spans="22:58"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</row>
    <row r="174" spans="22:58"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</row>
    <row r="175" spans="22:58"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</row>
    <row r="176" spans="22:58"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</row>
    <row r="177" spans="22:58"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</row>
    <row r="178" spans="22:58"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</row>
    <row r="179" spans="22:58"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</row>
    <row r="180" spans="22:58"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</row>
    <row r="181" spans="22:58"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</row>
    <row r="182" spans="22:58"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</row>
    <row r="183" spans="22:58"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</row>
    <row r="184" spans="22:58"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</row>
    <row r="185" spans="22:58"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</row>
    <row r="186" spans="22:58"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</row>
    <row r="187" spans="22:58"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</row>
    <row r="188" spans="22:58"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</row>
    <row r="189" spans="22:58"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</row>
    <row r="190" spans="22:58"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</row>
    <row r="191" spans="22:58"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</row>
    <row r="192" spans="22:58"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</row>
    <row r="193" spans="22:58"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</row>
    <row r="194" spans="22:58"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</row>
    <row r="195" spans="22:58"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</row>
    <row r="196" spans="22:58"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</row>
    <row r="197" spans="22:58"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</row>
    <row r="198" spans="22:58"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</row>
    <row r="199" spans="22:58"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</row>
    <row r="200" spans="22:58"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</row>
    <row r="201" spans="22:58"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</row>
    <row r="202" spans="22:58"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</row>
    <row r="203" spans="22:58"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</row>
    <row r="204" spans="22:58"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</row>
    <row r="205" spans="22:58"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</row>
    <row r="206" spans="22:58"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</row>
    <row r="207" spans="22:58"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</row>
    <row r="208" spans="22:58"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</row>
    <row r="209" spans="22:58"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</row>
    <row r="210" spans="22:58"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</row>
    <row r="211" spans="22:58"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</row>
    <row r="212" spans="22:58"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</row>
    <row r="213" spans="22:58"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</row>
    <row r="214" spans="22:58"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</row>
    <row r="215" spans="22:58"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</row>
    <row r="216" spans="22:58"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</row>
    <row r="217" spans="22:58"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</row>
    <row r="218" spans="22:58"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</row>
    <row r="219" spans="22:58"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</row>
    <row r="220" spans="22:58"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</row>
    <row r="221" spans="22:58"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</row>
    <row r="222" spans="22:58"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</row>
    <row r="223" spans="22:58"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</row>
    <row r="224" spans="22:58"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</row>
    <row r="225" spans="22:58"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</row>
    <row r="226" spans="22:58"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</row>
    <row r="227" spans="22:58"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</row>
    <row r="228" spans="22:58"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</row>
    <row r="229" spans="22:58"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</row>
    <row r="230" spans="22:58"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</row>
    <row r="231" spans="22:58"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</row>
    <row r="232" spans="22:58"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</row>
    <row r="233" spans="22:58"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</row>
    <row r="234" spans="22:58"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</row>
    <row r="235" spans="22:58"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</row>
    <row r="236" spans="22:58"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</row>
    <row r="237" spans="22:58"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</row>
    <row r="238" spans="22:58"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</row>
    <row r="239" spans="22:58"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</row>
    <row r="240" spans="22:58"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</row>
    <row r="241" spans="22:58"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</row>
    <row r="242" spans="22:58"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</row>
    <row r="243" spans="22:58"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</row>
    <row r="244" spans="22:58"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</row>
    <row r="245" spans="22:58"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</row>
    <row r="246" spans="22:58"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</row>
    <row r="247" spans="22:58"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</row>
    <row r="248" spans="22:58"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</row>
    <row r="249" spans="22:58"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</row>
    <row r="250" spans="22:58"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</row>
    <row r="251" spans="22:58"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</row>
    <row r="252" spans="22:58"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</row>
    <row r="253" spans="22:58"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</row>
    <row r="254" spans="22:58"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</row>
    <row r="255" spans="22:58"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</row>
    <row r="256" spans="22:58"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</row>
    <row r="257" spans="22:58"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</row>
    <row r="258" spans="22:58"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</row>
    <row r="259" spans="22:58"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</row>
    <row r="260" spans="22:58"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</row>
    <row r="261" spans="22:58"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  <c r="AX261" s="1"/>
      <c r="AY261" s="1"/>
      <c r="AZ261" s="1"/>
      <c r="BA261" s="1"/>
      <c r="BB261" s="1"/>
      <c r="BC261" s="1"/>
      <c r="BD261" s="1"/>
      <c r="BE261" s="1"/>
      <c r="BF261" s="1"/>
    </row>
    <row r="262" spans="22:58"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  <c r="AX262" s="1"/>
      <c r="AY262" s="1"/>
      <c r="AZ262" s="1"/>
      <c r="BA262" s="1"/>
      <c r="BB262" s="1"/>
      <c r="BC262" s="1"/>
      <c r="BD262" s="1"/>
      <c r="BE262" s="1"/>
      <c r="BF262" s="1"/>
    </row>
    <row r="263" spans="22:58"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  <c r="AX263" s="1"/>
      <c r="AY263" s="1"/>
      <c r="AZ263" s="1"/>
      <c r="BA263" s="1"/>
      <c r="BB263" s="1"/>
      <c r="BC263" s="1"/>
      <c r="BD263" s="1"/>
      <c r="BE263" s="1"/>
      <c r="BF263" s="1"/>
    </row>
    <row r="264" spans="22:58"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  <c r="AX264" s="1"/>
      <c r="AY264" s="1"/>
      <c r="AZ264" s="1"/>
      <c r="BA264" s="1"/>
      <c r="BB264" s="1"/>
      <c r="BC264" s="1"/>
      <c r="BD264" s="1"/>
      <c r="BE264" s="1"/>
      <c r="BF264" s="1"/>
    </row>
    <row r="265" spans="22:58"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  <c r="AX265" s="1"/>
      <c r="AY265" s="1"/>
      <c r="AZ265" s="1"/>
      <c r="BA265" s="1"/>
      <c r="BB265" s="1"/>
      <c r="BC265" s="1"/>
      <c r="BD265" s="1"/>
      <c r="BE265" s="1"/>
      <c r="BF265" s="1"/>
    </row>
    <row r="266" spans="22:58"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  <c r="AX266" s="1"/>
      <c r="AY266" s="1"/>
      <c r="AZ266" s="1"/>
      <c r="BA266" s="1"/>
      <c r="BB266" s="1"/>
      <c r="BC266" s="1"/>
      <c r="BD266" s="1"/>
      <c r="BE266" s="1"/>
      <c r="BF266" s="1"/>
    </row>
    <row r="267" spans="22:58"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  <c r="AX267" s="1"/>
      <c r="AY267" s="1"/>
      <c r="AZ267" s="1"/>
      <c r="BA267" s="1"/>
      <c r="BB267" s="1"/>
      <c r="BC267" s="1"/>
      <c r="BD267" s="1"/>
      <c r="BE267" s="1"/>
      <c r="BF267" s="1"/>
    </row>
    <row r="268" spans="22:58"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  <c r="AX268" s="1"/>
      <c r="AY268" s="1"/>
      <c r="AZ268" s="1"/>
      <c r="BA268" s="1"/>
      <c r="BB268" s="1"/>
      <c r="BC268" s="1"/>
      <c r="BD268" s="1"/>
      <c r="BE268" s="1"/>
      <c r="BF268" s="1"/>
    </row>
    <row r="269" spans="22:58"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  <c r="AX269" s="1"/>
      <c r="AY269" s="1"/>
      <c r="AZ269" s="1"/>
      <c r="BA269" s="1"/>
      <c r="BB269" s="1"/>
      <c r="BC269" s="1"/>
      <c r="BD269" s="1"/>
      <c r="BE269" s="1"/>
      <c r="BF269" s="1"/>
    </row>
    <row r="270" spans="22:58"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  <c r="AX270" s="1"/>
      <c r="AY270" s="1"/>
      <c r="AZ270" s="1"/>
      <c r="BA270" s="1"/>
      <c r="BB270" s="1"/>
      <c r="BC270" s="1"/>
      <c r="BD270" s="1"/>
      <c r="BE270" s="1"/>
      <c r="BF270" s="1"/>
    </row>
    <row r="271" spans="22:58"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  <c r="AX271" s="1"/>
      <c r="AY271" s="1"/>
      <c r="AZ271" s="1"/>
      <c r="BA271" s="1"/>
      <c r="BB271" s="1"/>
      <c r="BC271" s="1"/>
      <c r="BD271" s="1"/>
      <c r="BE271" s="1"/>
      <c r="BF271" s="1"/>
    </row>
    <row r="272" spans="22:58"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  <c r="AX272" s="1"/>
      <c r="AY272" s="1"/>
      <c r="AZ272" s="1"/>
      <c r="BA272" s="1"/>
      <c r="BB272" s="1"/>
      <c r="BC272" s="1"/>
      <c r="BD272" s="1"/>
      <c r="BE272" s="1"/>
      <c r="BF272" s="1"/>
    </row>
    <row r="273" spans="22:58"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  <c r="AX273" s="1"/>
      <c r="AY273" s="1"/>
      <c r="AZ273" s="1"/>
      <c r="BA273" s="1"/>
      <c r="BB273" s="1"/>
      <c r="BC273" s="1"/>
      <c r="BD273" s="1"/>
      <c r="BE273" s="1"/>
      <c r="BF273" s="1"/>
    </row>
    <row r="274" spans="22:58"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  <c r="AX274" s="1"/>
      <c r="AY274" s="1"/>
      <c r="AZ274" s="1"/>
      <c r="BA274" s="1"/>
      <c r="BB274" s="1"/>
      <c r="BC274" s="1"/>
      <c r="BD274" s="1"/>
      <c r="BE274" s="1"/>
      <c r="BF274" s="1"/>
    </row>
    <row r="275" spans="22:58"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  <c r="AX275" s="1"/>
      <c r="AY275" s="1"/>
      <c r="AZ275" s="1"/>
      <c r="BA275" s="1"/>
      <c r="BB275" s="1"/>
      <c r="BC275" s="1"/>
      <c r="BD275" s="1"/>
      <c r="BE275" s="1"/>
      <c r="BF275" s="1"/>
    </row>
    <row r="276" spans="22:58"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  <c r="AX276" s="1"/>
      <c r="AY276" s="1"/>
      <c r="AZ276" s="1"/>
      <c r="BA276" s="1"/>
      <c r="BB276" s="1"/>
      <c r="BC276" s="1"/>
      <c r="BD276" s="1"/>
      <c r="BE276" s="1"/>
      <c r="BF276" s="1"/>
    </row>
    <row r="277" spans="22:58"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  <c r="AX277" s="1"/>
      <c r="AY277" s="1"/>
      <c r="AZ277" s="1"/>
      <c r="BA277" s="1"/>
      <c r="BB277" s="1"/>
      <c r="BC277" s="1"/>
      <c r="BD277" s="1"/>
      <c r="BE277" s="1"/>
      <c r="BF277" s="1"/>
    </row>
    <row r="278" spans="22:58"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  <c r="AX278" s="1"/>
      <c r="AY278" s="1"/>
      <c r="AZ278" s="1"/>
      <c r="BA278" s="1"/>
      <c r="BB278" s="1"/>
      <c r="BC278" s="1"/>
      <c r="BD278" s="1"/>
      <c r="BE278" s="1"/>
      <c r="BF278" s="1"/>
    </row>
    <row r="279" spans="22:58"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  <c r="AX279" s="1"/>
      <c r="AY279" s="1"/>
      <c r="AZ279" s="1"/>
      <c r="BA279" s="1"/>
      <c r="BB279" s="1"/>
      <c r="BC279" s="1"/>
      <c r="BD279" s="1"/>
      <c r="BE279" s="1"/>
      <c r="BF279" s="1"/>
    </row>
    <row r="280" spans="22:58"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  <c r="AX280" s="1"/>
      <c r="AY280" s="1"/>
      <c r="AZ280" s="1"/>
      <c r="BA280" s="1"/>
      <c r="BB280" s="1"/>
      <c r="BC280" s="1"/>
      <c r="BD280" s="1"/>
      <c r="BE280" s="1"/>
      <c r="BF280" s="1"/>
    </row>
    <row r="281" spans="22:58"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  <c r="AX281" s="1"/>
      <c r="AY281" s="1"/>
      <c r="AZ281" s="1"/>
      <c r="BA281" s="1"/>
      <c r="BB281" s="1"/>
      <c r="BC281" s="1"/>
      <c r="BD281" s="1"/>
      <c r="BE281" s="1"/>
      <c r="BF281" s="1"/>
    </row>
    <row r="282" spans="22:58"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  <c r="AX282" s="1"/>
      <c r="AY282" s="1"/>
      <c r="AZ282" s="1"/>
      <c r="BA282" s="1"/>
      <c r="BB282" s="1"/>
      <c r="BC282" s="1"/>
      <c r="BD282" s="1"/>
      <c r="BE282" s="1"/>
      <c r="BF282" s="1"/>
    </row>
    <row r="283" spans="22:58"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  <c r="AX283" s="1"/>
      <c r="AY283" s="1"/>
      <c r="AZ283" s="1"/>
      <c r="BA283" s="1"/>
      <c r="BB283" s="1"/>
      <c r="BC283" s="1"/>
      <c r="BD283" s="1"/>
      <c r="BE283" s="1"/>
      <c r="BF283" s="1"/>
    </row>
    <row r="284" spans="22:58"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  <c r="AX284" s="1"/>
      <c r="AY284" s="1"/>
      <c r="AZ284" s="1"/>
      <c r="BA284" s="1"/>
      <c r="BB284" s="1"/>
      <c r="BC284" s="1"/>
      <c r="BD284" s="1"/>
      <c r="BE284" s="1"/>
      <c r="BF284" s="1"/>
    </row>
    <row r="285" spans="22:58"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  <c r="AX285" s="1"/>
      <c r="AY285" s="1"/>
      <c r="AZ285" s="1"/>
      <c r="BA285" s="1"/>
      <c r="BB285" s="1"/>
      <c r="BC285" s="1"/>
      <c r="BD285" s="1"/>
      <c r="BE285" s="1"/>
      <c r="BF285" s="1"/>
    </row>
    <row r="286" spans="22:58"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  <c r="AX286" s="1"/>
      <c r="AY286" s="1"/>
      <c r="AZ286" s="1"/>
      <c r="BA286" s="1"/>
      <c r="BB286" s="1"/>
      <c r="BC286" s="1"/>
      <c r="BD286" s="1"/>
      <c r="BE286" s="1"/>
      <c r="BF286" s="1"/>
    </row>
    <row r="287" spans="22:58"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  <c r="AX287" s="1"/>
      <c r="AY287" s="1"/>
      <c r="AZ287" s="1"/>
      <c r="BA287" s="1"/>
      <c r="BB287" s="1"/>
      <c r="BC287" s="1"/>
      <c r="BD287" s="1"/>
      <c r="BE287" s="1"/>
      <c r="BF287" s="1"/>
    </row>
    <row r="288" spans="22:58"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  <c r="AX288" s="1"/>
      <c r="AY288" s="1"/>
      <c r="AZ288" s="1"/>
      <c r="BA288" s="1"/>
      <c r="BB288" s="1"/>
      <c r="BC288" s="1"/>
      <c r="BD288" s="1"/>
      <c r="BE288" s="1"/>
      <c r="BF288" s="1"/>
    </row>
    <row r="289" spans="22:58"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  <c r="AX289" s="1"/>
      <c r="AY289" s="1"/>
      <c r="AZ289" s="1"/>
      <c r="BA289" s="1"/>
      <c r="BB289" s="1"/>
      <c r="BC289" s="1"/>
      <c r="BD289" s="1"/>
      <c r="BE289" s="1"/>
      <c r="BF289" s="1"/>
    </row>
    <row r="290" spans="22:58"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  <c r="AX290" s="1"/>
      <c r="AY290" s="1"/>
      <c r="AZ290" s="1"/>
      <c r="BA290" s="1"/>
      <c r="BB290" s="1"/>
      <c r="BC290" s="1"/>
      <c r="BD290" s="1"/>
      <c r="BE290" s="1"/>
      <c r="BF290" s="1"/>
    </row>
    <row r="291" spans="22:58"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  <c r="AX291" s="1"/>
      <c r="AY291" s="1"/>
      <c r="AZ291" s="1"/>
      <c r="BA291" s="1"/>
      <c r="BB291" s="1"/>
      <c r="BC291" s="1"/>
      <c r="BD291" s="1"/>
      <c r="BE291" s="1"/>
      <c r="BF291" s="1"/>
    </row>
    <row r="292" spans="22:58"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  <c r="AX292" s="1"/>
      <c r="AY292" s="1"/>
      <c r="AZ292" s="1"/>
      <c r="BA292" s="1"/>
      <c r="BB292" s="1"/>
      <c r="BC292" s="1"/>
      <c r="BD292" s="1"/>
      <c r="BE292" s="1"/>
      <c r="BF292" s="1"/>
    </row>
    <row r="293" spans="22:58"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  <c r="AX293" s="1"/>
      <c r="AY293" s="1"/>
      <c r="AZ293" s="1"/>
      <c r="BA293" s="1"/>
      <c r="BB293" s="1"/>
      <c r="BC293" s="1"/>
      <c r="BD293" s="1"/>
      <c r="BE293" s="1"/>
      <c r="BF293" s="1"/>
    </row>
    <row r="294" spans="22:58"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  <c r="AX294" s="1"/>
      <c r="AY294" s="1"/>
      <c r="AZ294" s="1"/>
      <c r="BA294" s="1"/>
      <c r="BB294" s="1"/>
      <c r="BC294" s="1"/>
      <c r="BD294" s="1"/>
      <c r="BE294" s="1"/>
      <c r="BF294" s="1"/>
    </row>
    <row r="295" spans="22:58"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  <c r="AX295" s="1"/>
      <c r="AY295" s="1"/>
      <c r="AZ295" s="1"/>
      <c r="BA295" s="1"/>
      <c r="BB295" s="1"/>
      <c r="BC295" s="1"/>
      <c r="BD295" s="1"/>
      <c r="BE295" s="1"/>
      <c r="BF295" s="1"/>
    </row>
    <row r="296" spans="22:58"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  <c r="AX296" s="1"/>
      <c r="AY296" s="1"/>
      <c r="AZ296" s="1"/>
      <c r="BA296" s="1"/>
      <c r="BB296" s="1"/>
      <c r="BC296" s="1"/>
      <c r="BD296" s="1"/>
      <c r="BE296" s="1"/>
      <c r="BF296" s="1"/>
    </row>
    <row r="297" spans="22:58"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  <c r="AX297" s="1"/>
      <c r="AY297" s="1"/>
      <c r="AZ297" s="1"/>
      <c r="BA297" s="1"/>
      <c r="BB297" s="1"/>
      <c r="BC297" s="1"/>
      <c r="BD297" s="1"/>
      <c r="BE297" s="1"/>
      <c r="BF297" s="1"/>
    </row>
    <row r="298" spans="22:58"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  <c r="AX298" s="1"/>
      <c r="AY298" s="1"/>
      <c r="AZ298" s="1"/>
      <c r="BA298" s="1"/>
      <c r="BB298" s="1"/>
      <c r="BC298" s="1"/>
      <c r="BD298" s="1"/>
      <c r="BE298" s="1"/>
      <c r="BF298" s="1"/>
    </row>
    <row r="299" spans="22:58"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  <c r="AX299" s="1"/>
      <c r="AY299" s="1"/>
      <c r="AZ299" s="1"/>
      <c r="BA299" s="1"/>
      <c r="BB299" s="1"/>
      <c r="BC299" s="1"/>
      <c r="BD299" s="1"/>
      <c r="BE299" s="1"/>
      <c r="BF299" s="1"/>
    </row>
    <row r="300" spans="22:58"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  <c r="AX300" s="1"/>
      <c r="AY300" s="1"/>
      <c r="AZ300" s="1"/>
      <c r="BA300" s="1"/>
      <c r="BB300" s="1"/>
      <c r="BC300" s="1"/>
      <c r="BD300" s="1"/>
      <c r="BE300" s="1"/>
      <c r="BF300" s="1"/>
    </row>
    <row r="301" spans="22:58"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  <c r="AX301" s="1"/>
      <c r="AY301" s="1"/>
      <c r="AZ301" s="1"/>
      <c r="BA301" s="1"/>
      <c r="BB301" s="1"/>
      <c r="BC301" s="1"/>
      <c r="BD301" s="1"/>
      <c r="BE301" s="1"/>
      <c r="BF301" s="1"/>
    </row>
    <row r="302" spans="22:58"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  <c r="AX302" s="1"/>
      <c r="AY302" s="1"/>
      <c r="AZ302" s="1"/>
      <c r="BA302" s="1"/>
      <c r="BB302" s="1"/>
      <c r="BC302" s="1"/>
      <c r="BD302" s="1"/>
      <c r="BE302" s="1"/>
      <c r="BF302" s="1"/>
    </row>
    <row r="303" spans="22:58"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  <c r="AX303" s="1"/>
      <c r="AY303" s="1"/>
      <c r="AZ303" s="1"/>
      <c r="BA303" s="1"/>
      <c r="BB303" s="1"/>
      <c r="BC303" s="1"/>
      <c r="BD303" s="1"/>
      <c r="BE303" s="1"/>
      <c r="BF303" s="1"/>
    </row>
    <row r="304" spans="22:58"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  <c r="AX304" s="1"/>
      <c r="AY304" s="1"/>
      <c r="AZ304" s="1"/>
      <c r="BA304" s="1"/>
      <c r="BB304" s="1"/>
      <c r="BC304" s="1"/>
      <c r="BD304" s="1"/>
      <c r="BE304" s="1"/>
      <c r="BF304" s="1"/>
    </row>
    <row r="305" spans="22:58"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  <c r="AX305" s="1"/>
      <c r="AY305" s="1"/>
      <c r="AZ305" s="1"/>
      <c r="BA305" s="1"/>
      <c r="BB305" s="1"/>
      <c r="BC305" s="1"/>
      <c r="BD305" s="1"/>
      <c r="BE305" s="1"/>
      <c r="BF305" s="1"/>
    </row>
    <row r="306" spans="22:58"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  <c r="AX306" s="1"/>
      <c r="AY306" s="1"/>
      <c r="AZ306" s="1"/>
      <c r="BA306" s="1"/>
      <c r="BB306" s="1"/>
      <c r="BC306" s="1"/>
      <c r="BD306" s="1"/>
      <c r="BE306" s="1"/>
      <c r="BF306" s="1"/>
    </row>
    <row r="307" spans="22:58"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  <c r="AX307" s="1"/>
      <c r="AY307" s="1"/>
      <c r="AZ307" s="1"/>
      <c r="BA307" s="1"/>
      <c r="BB307" s="1"/>
      <c r="BC307" s="1"/>
      <c r="BD307" s="1"/>
      <c r="BE307" s="1"/>
      <c r="BF307" s="1"/>
    </row>
    <row r="308" spans="22:58"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  <c r="AX308" s="1"/>
      <c r="AY308" s="1"/>
      <c r="AZ308" s="1"/>
      <c r="BA308" s="1"/>
      <c r="BB308" s="1"/>
      <c r="BC308" s="1"/>
      <c r="BD308" s="1"/>
      <c r="BE308" s="1"/>
      <c r="BF308" s="1"/>
    </row>
    <row r="309" spans="22:58"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  <c r="AX309" s="1"/>
      <c r="AY309" s="1"/>
      <c r="AZ309" s="1"/>
      <c r="BA309" s="1"/>
      <c r="BB309" s="1"/>
      <c r="BC309" s="1"/>
      <c r="BD309" s="1"/>
      <c r="BE309" s="1"/>
      <c r="BF309" s="1"/>
    </row>
    <row r="310" spans="22:58"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  <c r="AX310" s="1"/>
      <c r="AY310" s="1"/>
      <c r="AZ310" s="1"/>
      <c r="BA310" s="1"/>
      <c r="BB310" s="1"/>
      <c r="BC310" s="1"/>
      <c r="BD310" s="1"/>
      <c r="BE310" s="1"/>
      <c r="BF310" s="1"/>
    </row>
    <row r="311" spans="22:58"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  <c r="AX311" s="1"/>
      <c r="AY311" s="1"/>
      <c r="AZ311" s="1"/>
      <c r="BA311" s="1"/>
      <c r="BB311" s="1"/>
      <c r="BC311" s="1"/>
      <c r="BD311" s="1"/>
      <c r="BE311" s="1"/>
      <c r="BF311" s="1"/>
    </row>
    <row r="312" spans="22:58"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  <c r="AX312" s="1"/>
      <c r="AY312" s="1"/>
      <c r="AZ312" s="1"/>
      <c r="BA312" s="1"/>
      <c r="BB312" s="1"/>
      <c r="BC312" s="1"/>
      <c r="BD312" s="1"/>
      <c r="BE312" s="1"/>
      <c r="BF312" s="1"/>
    </row>
    <row r="313" spans="22:58"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  <c r="AX313" s="1"/>
      <c r="AY313" s="1"/>
      <c r="AZ313" s="1"/>
      <c r="BA313" s="1"/>
      <c r="BB313" s="1"/>
      <c r="BC313" s="1"/>
      <c r="BD313" s="1"/>
      <c r="BE313" s="1"/>
      <c r="BF313" s="1"/>
    </row>
    <row r="314" spans="22:58"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  <c r="AX314" s="1"/>
      <c r="AY314" s="1"/>
      <c r="AZ314" s="1"/>
      <c r="BA314" s="1"/>
      <c r="BB314" s="1"/>
      <c r="BC314" s="1"/>
      <c r="BD314" s="1"/>
      <c r="BE314" s="1"/>
      <c r="BF314" s="1"/>
    </row>
    <row r="315" spans="22:58"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  <c r="AX315" s="1"/>
      <c r="AY315" s="1"/>
      <c r="AZ315" s="1"/>
      <c r="BA315" s="1"/>
      <c r="BB315" s="1"/>
      <c r="BC315" s="1"/>
      <c r="BD315" s="1"/>
      <c r="BE315" s="1"/>
      <c r="BF315" s="1"/>
    </row>
    <row r="316" spans="22:58"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  <c r="AX316" s="1"/>
      <c r="AY316" s="1"/>
      <c r="AZ316" s="1"/>
      <c r="BA316" s="1"/>
      <c r="BB316" s="1"/>
      <c r="BC316" s="1"/>
      <c r="BD316" s="1"/>
      <c r="BE316" s="1"/>
      <c r="BF316" s="1"/>
    </row>
    <row r="317" spans="22:58"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  <c r="AX317" s="1"/>
      <c r="AY317" s="1"/>
      <c r="AZ317" s="1"/>
      <c r="BA317" s="1"/>
      <c r="BB317" s="1"/>
      <c r="BC317" s="1"/>
      <c r="BD317" s="1"/>
      <c r="BE317" s="1"/>
      <c r="BF317" s="1"/>
    </row>
    <row r="318" spans="22:58"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  <c r="AX318" s="1"/>
      <c r="AY318" s="1"/>
      <c r="AZ318" s="1"/>
      <c r="BA318" s="1"/>
      <c r="BB318" s="1"/>
      <c r="BC318" s="1"/>
      <c r="BD318" s="1"/>
      <c r="BE318" s="1"/>
      <c r="BF318" s="1"/>
    </row>
    <row r="319" spans="22:58"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  <c r="AX319" s="1"/>
      <c r="AY319" s="1"/>
      <c r="AZ319" s="1"/>
      <c r="BA319" s="1"/>
      <c r="BB319" s="1"/>
      <c r="BC319" s="1"/>
      <c r="BD319" s="1"/>
      <c r="BE319" s="1"/>
      <c r="BF319" s="1"/>
    </row>
    <row r="320" spans="22:58"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  <c r="AX320" s="1"/>
      <c r="AY320" s="1"/>
      <c r="AZ320" s="1"/>
      <c r="BA320" s="1"/>
      <c r="BB320" s="1"/>
      <c r="BC320" s="1"/>
      <c r="BD320" s="1"/>
      <c r="BE320" s="1"/>
      <c r="BF320" s="1"/>
    </row>
    <row r="321" spans="22:58"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  <c r="AX321" s="1"/>
      <c r="AY321" s="1"/>
      <c r="AZ321" s="1"/>
      <c r="BA321" s="1"/>
      <c r="BB321" s="1"/>
      <c r="BC321" s="1"/>
      <c r="BD321" s="1"/>
      <c r="BE321" s="1"/>
      <c r="BF321" s="1"/>
    </row>
    <row r="322" spans="22:58"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  <c r="AX322" s="1"/>
      <c r="AY322" s="1"/>
      <c r="AZ322" s="1"/>
      <c r="BA322" s="1"/>
      <c r="BB322" s="1"/>
      <c r="BC322" s="1"/>
      <c r="BD322" s="1"/>
      <c r="BE322" s="1"/>
      <c r="BF322" s="1"/>
    </row>
    <row r="323" spans="22:58"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  <c r="AX323" s="1"/>
      <c r="AY323" s="1"/>
      <c r="AZ323" s="1"/>
      <c r="BA323" s="1"/>
      <c r="BB323" s="1"/>
      <c r="BC323" s="1"/>
      <c r="BD323" s="1"/>
      <c r="BE323" s="1"/>
      <c r="BF323" s="1"/>
    </row>
    <row r="324" spans="22:58"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  <c r="AX324" s="1"/>
      <c r="AY324" s="1"/>
      <c r="AZ324" s="1"/>
      <c r="BA324" s="1"/>
      <c r="BB324" s="1"/>
      <c r="BC324" s="1"/>
      <c r="BD324" s="1"/>
      <c r="BE324" s="1"/>
      <c r="BF324" s="1"/>
    </row>
    <row r="325" spans="22:58"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  <c r="AX325" s="1"/>
      <c r="AY325" s="1"/>
      <c r="AZ325" s="1"/>
      <c r="BA325" s="1"/>
      <c r="BB325" s="1"/>
      <c r="BC325" s="1"/>
      <c r="BD325" s="1"/>
      <c r="BE325" s="1"/>
      <c r="BF325" s="1"/>
    </row>
    <row r="326" spans="22:58"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  <c r="AX326" s="1"/>
      <c r="AY326" s="1"/>
      <c r="AZ326" s="1"/>
      <c r="BA326" s="1"/>
      <c r="BB326" s="1"/>
      <c r="BC326" s="1"/>
      <c r="BD326" s="1"/>
      <c r="BE326" s="1"/>
      <c r="BF326" s="1"/>
    </row>
    <row r="327" spans="22:58"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  <c r="AX327" s="1"/>
      <c r="AY327" s="1"/>
      <c r="AZ327" s="1"/>
      <c r="BA327" s="1"/>
      <c r="BB327" s="1"/>
      <c r="BC327" s="1"/>
      <c r="BD327" s="1"/>
      <c r="BE327" s="1"/>
      <c r="BF327" s="1"/>
    </row>
    <row r="328" spans="22:58"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  <c r="AX328" s="1"/>
      <c r="AY328" s="1"/>
      <c r="AZ328" s="1"/>
      <c r="BA328" s="1"/>
      <c r="BB328" s="1"/>
      <c r="BC328" s="1"/>
      <c r="BD328" s="1"/>
      <c r="BE328" s="1"/>
      <c r="BF328" s="1"/>
    </row>
    <row r="329" spans="22:58"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  <c r="AX329" s="1"/>
      <c r="AY329" s="1"/>
      <c r="AZ329" s="1"/>
      <c r="BA329" s="1"/>
      <c r="BB329" s="1"/>
      <c r="BC329" s="1"/>
      <c r="BD329" s="1"/>
      <c r="BE329" s="1"/>
      <c r="BF329" s="1"/>
    </row>
    <row r="330" spans="22:58"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  <c r="AX330" s="1"/>
      <c r="AY330" s="1"/>
      <c r="AZ330" s="1"/>
      <c r="BA330" s="1"/>
      <c r="BB330" s="1"/>
      <c r="BC330" s="1"/>
      <c r="BD330" s="1"/>
      <c r="BE330" s="1"/>
      <c r="BF330" s="1"/>
    </row>
    <row r="331" spans="22:58"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  <c r="AX331" s="1"/>
      <c r="AY331" s="1"/>
      <c r="AZ331" s="1"/>
      <c r="BA331" s="1"/>
      <c r="BB331" s="1"/>
      <c r="BC331" s="1"/>
      <c r="BD331" s="1"/>
      <c r="BE331" s="1"/>
      <c r="BF331" s="1"/>
    </row>
    <row r="332" spans="22:58"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  <c r="AX332" s="1"/>
      <c r="AY332" s="1"/>
      <c r="AZ332" s="1"/>
      <c r="BA332" s="1"/>
      <c r="BB332" s="1"/>
      <c r="BC332" s="1"/>
      <c r="BD332" s="1"/>
      <c r="BE332" s="1"/>
      <c r="BF332" s="1"/>
    </row>
    <row r="333" spans="22:58"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  <c r="AX333" s="1"/>
      <c r="AY333" s="1"/>
      <c r="AZ333" s="1"/>
      <c r="BA333" s="1"/>
      <c r="BB333" s="1"/>
      <c r="BC333" s="1"/>
      <c r="BD333" s="1"/>
      <c r="BE333" s="1"/>
      <c r="BF333" s="1"/>
    </row>
    <row r="334" spans="22:58"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  <c r="AX334" s="1"/>
      <c r="AY334" s="1"/>
      <c r="AZ334" s="1"/>
      <c r="BA334" s="1"/>
      <c r="BB334" s="1"/>
      <c r="BC334" s="1"/>
      <c r="BD334" s="1"/>
      <c r="BE334" s="1"/>
      <c r="BF334" s="1"/>
    </row>
    <row r="335" spans="22:58"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  <c r="AX335" s="1"/>
      <c r="AY335" s="1"/>
      <c r="AZ335" s="1"/>
      <c r="BA335" s="1"/>
      <c r="BB335" s="1"/>
      <c r="BC335" s="1"/>
      <c r="BD335" s="1"/>
      <c r="BE335" s="1"/>
      <c r="BF335" s="1"/>
    </row>
    <row r="336" spans="22:58"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  <c r="AX336" s="1"/>
      <c r="AY336" s="1"/>
      <c r="AZ336" s="1"/>
      <c r="BA336" s="1"/>
      <c r="BB336" s="1"/>
      <c r="BC336" s="1"/>
      <c r="BD336" s="1"/>
      <c r="BE336" s="1"/>
      <c r="BF336" s="1"/>
    </row>
    <row r="337" spans="22:58"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  <c r="AX337" s="1"/>
      <c r="AY337" s="1"/>
      <c r="AZ337" s="1"/>
      <c r="BA337" s="1"/>
      <c r="BB337" s="1"/>
      <c r="BC337" s="1"/>
      <c r="BD337" s="1"/>
      <c r="BE337" s="1"/>
      <c r="BF337" s="1"/>
    </row>
    <row r="338" spans="22:58"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  <c r="AX338" s="1"/>
      <c r="AY338" s="1"/>
      <c r="AZ338" s="1"/>
      <c r="BA338" s="1"/>
      <c r="BB338" s="1"/>
      <c r="BC338" s="1"/>
      <c r="BD338" s="1"/>
      <c r="BE338" s="1"/>
      <c r="BF338" s="1"/>
    </row>
    <row r="339" spans="22:58"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  <c r="AX339" s="1"/>
      <c r="AY339" s="1"/>
      <c r="AZ339" s="1"/>
      <c r="BA339" s="1"/>
      <c r="BB339" s="1"/>
      <c r="BC339" s="1"/>
      <c r="BD339" s="1"/>
      <c r="BE339" s="1"/>
      <c r="BF339" s="1"/>
    </row>
    <row r="340" spans="22:58"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  <c r="AX340" s="1"/>
      <c r="AY340" s="1"/>
      <c r="AZ340" s="1"/>
      <c r="BA340" s="1"/>
      <c r="BB340" s="1"/>
      <c r="BC340" s="1"/>
      <c r="BD340" s="1"/>
      <c r="BE340" s="1"/>
      <c r="BF340" s="1"/>
    </row>
    <row r="341" spans="22:58"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  <c r="AX341" s="1"/>
      <c r="AY341" s="1"/>
      <c r="AZ341" s="1"/>
      <c r="BA341" s="1"/>
      <c r="BB341" s="1"/>
      <c r="BC341" s="1"/>
      <c r="BD341" s="1"/>
      <c r="BE341" s="1"/>
      <c r="BF341" s="1"/>
    </row>
    <row r="342" spans="22:58"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  <c r="AX342" s="1"/>
      <c r="AY342" s="1"/>
      <c r="AZ342" s="1"/>
      <c r="BA342" s="1"/>
      <c r="BB342" s="1"/>
      <c r="BC342" s="1"/>
      <c r="BD342" s="1"/>
      <c r="BE342" s="1"/>
      <c r="BF342" s="1"/>
    </row>
    <row r="343" spans="22:58"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  <c r="AX343" s="1"/>
      <c r="AY343" s="1"/>
      <c r="AZ343" s="1"/>
      <c r="BA343" s="1"/>
      <c r="BB343" s="1"/>
      <c r="BC343" s="1"/>
      <c r="BD343" s="1"/>
      <c r="BE343" s="1"/>
      <c r="BF343" s="1"/>
    </row>
    <row r="344" spans="22:58"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  <c r="AX344" s="1"/>
      <c r="AY344" s="1"/>
      <c r="AZ344" s="1"/>
      <c r="BA344" s="1"/>
      <c r="BB344" s="1"/>
      <c r="BC344" s="1"/>
      <c r="BD344" s="1"/>
      <c r="BE344" s="1"/>
      <c r="BF344" s="1"/>
    </row>
    <row r="345" spans="22:58"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  <c r="AX345" s="1"/>
      <c r="AY345" s="1"/>
      <c r="AZ345" s="1"/>
      <c r="BA345" s="1"/>
      <c r="BB345" s="1"/>
      <c r="BC345" s="1"/>
      <c r="BD345" s="1"/>
      <c r="BE345" s="1"/>
      <c r="BF345" s="1"/>
    </row>
    <row r="346" spans="22:58"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  <c r="AX346" s="1"/>
      <c r="AY346" s="1"/>
      <c r="AZ346" s="1"/>
      <c r="BA346" s="1"/>
      <c r="BB346" s="1"/>
      <c r="BC346" s="1"/>
      <c r="BD346" s="1"/>
      <c r="BE346" s="1"/>
      <c r="BF346" s="1"/>
    </row>
    <row r="347" spans="22:58"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  <c r="AX347" s="1"/>
      <c r="AY347" s="1"/>
      <c r="AZ347" s="1"/>
      <c r="BA347" s="1"/>
      <c r="BB347" s="1"/>
      <c r="BC347" s="1"/>
      <c r="BD347" s="1"/>
      <c r="BE347" s="1"/>
      <c r="BF347" s="1"/>
    </row>
    <row r="348" spans="22:58"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  <c r="AX348" s="1"/>
      <c r="AY348" s="1"/>
      <c r="AZ348" s="1"/>
      <c r="BA348" s="1"/>
      <c r="BB348" s="1"/>
      <c r="BC348" s="1"/>
      <c r="BD348" s="1"/>
      <c r="BE348" s="1"/>
      <c r="BF348" s="1"/>
    </row>
    <row r="349" spans="22:58"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  <c r="AX349" s="1"/>
      <c r="AY349" s="1"/>
      <c r="AZ349" s="1"/>
      <c r="BA349" s="1"/>
      <c r="BB349" s="1"/>
      <c r="BC349" s="1"/>
      <c r="BD349" s="1"/>
      <c r="BE349" s="1"/>
      <c r="BF349" s="1"/>
    </row>
    <row r="350" spans="22:58"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  <c r="AX350" s="1"/>
      <c r="AY350" s="1"/>
      <c r="AZ350" s="1"/>
      <c r="BA350" s="1"/>
      <c r="BB350" s="1"/>
      <c r="BC350" s="1"/>
      <c r="BD350" s="1"/>
      <c r="BE350" s="1"/>
      <c r="BF350" s="1"/>
    </row>
    <row r="351" spans="22:58"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  <c r="AX351" s="1"/>
      <c r="AY351" s="1"/>
      <c r="AZ351" s="1"/>
      <c r="BA351" s="1"/>
      <c r="BB351" s="1"/>
      <c r="BC351" s="1"/>
      <c r="BD351" s="1"/>
      <c r="BE351" s="1"/>
      <c r="BF351" s="1"/>
    </row>
    <row r="352" spans="22:58"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  <c r="AX352" s="1"/>
      <c r="AY352" s="1"/>
      <c r="AZ352" s="1"/>
      <c r="BA352" s="1"/>
      <c r="BB352" s="1"/>
      <c r="BC352" s="1"/>
      <c r="BD352" s="1"/>
      <c r="BE352" s="1"/>
      <c r="BF352" s="1"/>
    </row>
    <row r="353" spans="22:58"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  <c r="AX353" s="1"/>
      <c r="AY353" s="1"/>
      <c r="AZ353" s="1"/>
      <c r="BA353" s="1"/>
      <c r="BB353" s="1"/>
      <c r="BC353" s="1"/>
      <c r="BD353" s="1"/>
      <c r="BE353" s="1"/>
      <c r="BF353" s="1"/>
    </row>
    <row r="354" spans="22:58"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  <c r="AX354" s="1"/>
      <c r="AY354" s="1"/>
      <c r="AZ354" s="1"/>
      <c r="BA354" s="1"/>
      <c r="BB354" s="1"/>
      <c r="BC354" s="1"/>
      <c r="BD354" s="1"/>
      <c r="BE354" s="1"/>
      <c r="BF354" s="1"/>
    </row>
    <row r="355" spans="22:58"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  <c r="AX355" s="1"/>
      <c r="AY355" s="1"/>
      <c r="AZ355" s="1"/>
      <c r="BA355" s="1"/>
      <c r="BB355" s="1"/>
      <c r="BC355" s="1"/>
      <c r="BD355" s="1"/>
      <c r="BE355" s="1"/>
      <c r="BF355" s="1"/>
    </row>
    <row r="356" spans="22:58"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  <c r="AX356" s="1"/>
      <c r="AY356" s="1"/>
      <c r="AZ356" s="1"/>
      <c r="BA356" s="1"/>
      <c r="BB356" s="1"/>
      <c r="BC356" s="1"/>
      <c r="BD356" s="1"/>
      <c r="BE356" s="1"/>
      <c r="BF356" s="1"/>
    </row>
    <row r="357" spans="22:58"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  <c r="AX357" s="1"/>
      <c r="AY357" s="1"/>
      <c r="AZ357" s="1"/>
      <c r="BA357" s="1"/>
      <c r="BB357" s="1"/>
      <c r="BC357" s="1"/>
      <c r="BD357" s="1"/>
      <c r="BE357" s="1"/>
      <c r="BF357" s="1"/>
    </row>
    <row r="358" spans="22:58"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  <c r="AX358" s="1"/>
      <c r="AY358" s="1"/>
      <c r="AZ358" s="1"/>
      <c r="BA358" s="1"/>
      <c r="BB358" s="1"/>
      <c r="BC358" s="1"/>
      <c r="BD358" s="1"/>
      <c r="BE358" s="1"/>
      <c r="BF358" s="1"/>
    </row>
    <row r="359" spans="22:58"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  <c r="AX359" s="1"/>
      <c r="AY359" s="1"/>
      <c r="AZ359" s="1"/>
      <c r="BA359" s="1"/>
      <c r="BB359" s="1"/>
      <c r="BC359" s="1"/>
      <c r="BD359" s="1"/>
      <c r="BE359" s="1"/>
      <c r="BF359" s="1"/>
    </row>
    <row r="360" spans="22:58"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  <c r="AX360" s="1"/>
      <c r="AY360" s="1"/>
      <c r="AZ360" s="1"/>
      <c r="BA360" s="1"/>
      <c r="BB360" s="1"/>
      <c r="BC360" s="1"/>
      <c r="BD360" s="1"/>
      <c r="BE360" s="1"/>
      <c r="BF360" s="1"/>
    </row>
    <row r="361" spans="22:58"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  <c r="AX361" s="1"/>
      <c r="AY361" s="1"/>
      <c r="AZ361" s="1"/>
      <c r="BA361" s="1"/>
      <c r="BB361" s="1"/>
      <c r="BC361" s="1"/>
      <c r="BD361" s="1"/>
      <c r="BE361" s="1"/>
      <c r="BF361" s="1"/>
    </row>
    <row r="362" spans="22:58"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  <c r="AX362" s="1"/>
      <c r="AY362" s="1"/>
      <c r="AZ362" s="1"/>
      <c r="BA362" s="1"/>
      <c r="BB362" s="1"/>
      <c r="BC362" s="1"/>
      <c r="BD362" s="1"/>
      <c r="BE362" s="1"/>
      <c r="BF362" s="1"/>
    </row>
    <row r="363" spans="22:58"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  <c r="AX363" s="1"/>
      <c r="AY363" s="1"/>
      <c r="AZ363" s="1"/>
      <c r="BA363" s="1"/>
      <c r="BB363" s="1"/>
      <c r="BC363" s="1"/>
      <c r="BD363" s="1"/>
      <c r="BE363" s="1"/>
      <c r="BF363" s="1"/>
    </row>
    <row r="364" spans="22:58"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  <c r="AX364" s="1"/>
      <c r="AY364" s="1"/>
      <c r="AZ364" s="1"/>
      <c r="BA364" s="1"/>
      <c r="BB364" s="1"/>
      <c r="BC364" s="1"/>
      <c r="BD364" s="1"/>
      <c r="BE364" s="1"/>
      <c r="BF364" s="1"/>
    </row>
    <row r="365" spans="22:58"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  <c r="AX365" s="1"/>
      <c r="AY365" s="1"/>
      <c r="AZ365" s="1"/>
      <c r="BA365" s="1"/>
      <c r="BB365" s="1"/>
      <c r="BC365" s="1"/>
      <c r="BD365" s="1"/>
      <c r="BE365" s="1"/>
      <c r="BF365" s="1"/>
    </row>
    <row r="366" spans="22:58"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  <c r="AX366" s="1"/>
      <c r="AY366" s="1"/>
      <c r="AZ366" s="1"/>
      <c r="BA366" s="1"/>
      <c r="BB366" s="1"/>
      <c r="BC366" s="1"/>
      <c r="BD366" s="1"/>
      <c r="BE366" s="1"/>
      <c r="BF366" s="1"/>
    </row>
    <row r="367" spans="22:58"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  <c r="AX367" s="1"/>
      <c r="AY367" s="1"/>
      <c r="AZ367" s="1"/>
      <c r="BA367" s="1"/>
      <c r="BB367" s="1"/>
      <c r="BC367" s="1"/>
      <c r="BD367" s="1"/>
      <c r="BE367" s="1"/>
      <c r="BF367" s="1"/>
    </row>
    <row r="368" spans="22:58"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  <c r="AX368" s="1"/>
      <c r="AY368" s="1"/>
      <c r="AZ368" s="1"/>
      <c r="BA368" s="1"/>
      <c r="BB368" s="1"/>
      <c r="BC368" s="1"/>
      <c r="BD368" s="1"/>
      <c r="BE368" s="1"/>
      <c r="BF368" s="1"/>
    </row>
    <row r="369" spans="22:58"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  <c r="AX369" s="1"/>
      <c r="AY369" s="1"/>
      <c r="AZ369" s="1"/>
      <c r="BA369" s="1"/>
      <c r="BB369" s="1"/>
      <c r="BC369" s="1"/>
      <c r="BD369" s="1"/>
      <c r="BE369" s="1"/>
      <c r="BF369" s="1"/>
    </row>
    <row r="370" spans="22:58"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  <c r="AX370" s="1"/>
      <c r="AY370" s="1"/>
      <c r="AZ370" s="1"/>
      <c r="BA370" s="1"/>
      <c r="BB370" s="1"/>
      <c r="BC370" s="1"/>
      <c r="BD370" s="1"/>
      <c r="BE370" s="1"/>
      <c r="BF370" s="1"/>
    </row>
    <row r="371" spans="22:58"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  <c r="AX371" s="1"/>
      <c r="AY371" s="1"/>
      <c r="AZ371" s="1"/>
      <c r="BA371" s="1"/>
      <c r="BB371" s="1"/>
      <c r="BC371" s="1"/>
      <c r="BD371" s="1"/>
      <c r="BE371" s="1"/>
      <c r="BF371" s="1"/>
    </row>
    <row r="372" spans="22:58"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  <c r="AX372" s="1"/>
      <c r="AY372" s="1"/>
      <c r="AZ372" s="1"/>
      <c r="BA372" s="1"/>
      <c r="BB372" s="1"/>
      <c r="BC372" s="1"/>
      <c r="BD372" s="1"/>
      <c r="BE372" s="1"/>
      <c r="BF372" s="1"/>
    </row>
    <row r="373" spans="22:58"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  <c r="AX373" s="1"/>
      <c r="AY373" s="1"/>
      <c r="AZ373" s="1"/>
      <c r="BA373" s="1"/>
      <c r="BB373" s="1"/>
      <c r="BC373" s="1"/>
      <c r="BD373" s="1"/>
      <c r="BE373" s="1"/>
      <c r="BF373" s="1"/>
    </row>
    <row r="374" spans="22:58"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  <c r="AX374" s="1"/>
      <c r="AY374" s="1"/>
      <c r="AZ374" s="1"/>
      <c r="BA374" s="1"/>
      <c r="BB374" s="1"/>
      <c r="BC374" s="1"/>
      <c r="BD374" s="1"/>
      <c r="BE374" s="1"/>
      <c r="BF374" s="1"/>
    </row>
    <row r="375" spans="22:58"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  <c r="AX375" s="1"/>
      <c r="AY375" s="1"/>
      <c r="AZ375" s="1"/>
      <c r="BA375" s="1"/>
      <c r="BB375" s="1"/>
      <c r="BC375" s="1"/>
      <c r="BD375" s="1"/>
      <c r="BE375" s="1"/>
      <c r="BF375" s="1"/>
    </row>
    <row r="376" spans="22:58"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  <c r="AX376" s="1"/>
      <c r="AY376" s="1"/>
      <c r="AZ376" s="1"/>
      <c r="BA376" s="1"/>
      <c r="BB376" s="1"/>
      <c r="BC376" s="1"/>
      <c r="BD376" s="1"/>
      <c r="BE376" s="1"/>
      <c r="BF376" s="1"/>
    </row>
    <row r="377" spans="22:58"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  <c r="AX377" s="1"/>
      <c r="AY377" s="1"/>
      <c r="AZ377" s="1"/>
      <c r="BA377" s="1"/>
      <c r="BB377" s="1"/>
      <c r="BC377" s="1"/>
      <c r="BD377" s="1"/>
      <c r="BE377" s="1"/>
      <c r="BF377" s="1"/>
    </row>
    <row r="378" spans="22:58"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  <c r="AX378" s="1"/>
      <c r="AY378" s="1"/>
      <c r="AZ378" s="1"/>
      <c r="BA378" s="1"/>
      <c r="BB378" s="1"/>
      <c r="BC378" s="1"/>
      <c r="BD378" s="1"/>
      <c r="BE378" s="1"/>
      <c r="BF378" s="1"/>
    </row>
    <row r="379" spans="22:58"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  <c r="AX379" s="1"/>
      <c r="AY379" s="1"/>
      <c r="AZ379" s="1"/>
      <c r="BA379" s="1"/>
      <c r="BB379" s="1"/>
      <c r="BC379" s="1"/>
      <c r="BD379" s="1"/>
      <c r="BE379" s="1"/>
      <c r="BF379" s="1"/>
    </row>
    <row r="380" spans="22:58"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  <c r="AX380" s="1"/>
      <c r="AY380" s="1"/>
      <c r="AZ380" s="1"/>
      <c r="BA380" s="1"/>
      <c r="BB380" s="1"/>
      <c r="BC380" s="1"/>
      <c r="BD380" s="1"/>
      <c r="BE380" s="1"/>
      <c r="BF380" s="1"/>
    </row>
    <row r="381" spans="22:58"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  <c r="AX381" s="1"/>
      <c r="AY381" s="1"/>
      <c r="AZ381" s="1"/>
      <c r="BA381" s="1"/>
      <c r="BB381" s="1"/>
      <c r="BC381" s="1"/>
      <c r="BD381" s="1"/>
      <c r="BE381" s="1"/>
      <c r="BF381" s="1"/>
    </row>
    <row r="382" spans="22:58"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  <c r="AX382" s="1"/>
      <c r="AY382" s="1"/>
      <c r="AZ382" s="1"/>
      <c r="BA382" s="1"/>
      <c r="BB382" s="1"/>
      <c r="BC382" s="1"/>
      <c r="BD382" s="1"/>
      <c r="BE382" s="1"/>
      <c r="BF382" s="1"/>
    </row>
    <row r="383" spans="22:58"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  <c r="AX383" s="1"/>
      <c r="AY383" s="1"/>
      <c r="AZ383" s="1"/>
      <c r="BA383" s="1"/>
      <c r="BB383" s="1"/>
      <c r="BC383" s="1"/>
      <c r="BD383" s="1"/>
      <c r="BE383" s="1"/>
      <c r="BF383" s="1"/>
    </row>
    <row r="384" spans="22:58"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  <c r="AX384" s="1"/>
      <c r="AY384" s="1"/>
      <c r="AZ384" s="1"/>
      <c r="BA384" s="1"/>
      <c r="BB384" s="1"/>
      <c r="BC384" s="1"/>
      <c r="BD384" s="1"/>
      <c r="BE384" s="1"/>
      <c r="BF384" s="1"/>
    </row>
    <row r="385" spans="22:58"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  <c r="AX385" s="1"/>
      <c r="AY385" s="1"/>
      <c r="AZ385" s="1"/>
      <c r="BA385" s="1"/>
      <c r="BB385" s="1"/>
      <c r="BC385" s="1"/>
      <c r="BD385" s="1"/>
      <c r="BE385" s="1"/>
      <c r="BF385" s="1"/>
    </row>
    <row r="386" spans="22:58"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  <c r="AX386" s="1"/>
      <c r="AY386" s="1"/>
      <c r="AZ386" s="1"/>
      <c r="BA386" s="1"/>
      <c r="BB386" s="1"/>
      <c r="BC386" s="1"/>
      <c r="BD386" s="1"/>
      <c r="BE386" s="1"/>
      <c r="BF386" s="1"/>
    </row>
    <row r="387" spans="22:58"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  <c r="AX387" s="1"/>
      <c r="AY387" s="1"/>
      <c r="AZ387" s="1"/>
      <c r="BA387" s="1"/>
      <c r="BB387" s="1"/>
      <c r="BC387" s="1"/>
      <c r="BD387" s="1"/>
      <c r="BE387" s="1"/>
      <c r="BF387" s="1"/>
    </row>
    <row r="388" spans="22:58"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  <c r="AX388" s="1"/>
      <c r="AY388" s="1"/>
      <c r="AZ388" s="1"/>
      <c r="BA388" s="1"/>
      <c r="BB388" s="1"/>
      <c r="BC388" s="1"/>
      <c r="BD388" s="1"/>
      <c r="BE388" s="1"/>
      <c r="BF388" s="1"/>
    </row>
    <row r="389" spans="22:58"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  <c r="AX389" s="1"/>
      <c r="AY389" s="1"/>
      <c r="AZ389" s="1"/>
      <c r="BA389" s="1"/>
      <c r="BB389" s="1"/>
      <c r="BC389" s="1"/>
      <c r="BD389" s="1"/>
      <c r="BE389" s="1"/>
      <c r="BF389" s="1"/>
    </row>
    <row r="390" spans="22:58"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  <c r="AX390" s="1"/>
      <c r="AY390" s="1"/>
      <c r="AZ390" s="1"/>
      <c r="BA390" s="1"/>
      <c r="BB390" s="1"/>
      <c r="BC390" s="1"/>
      <c r="BD390" s="1"/>
      <c r="BE390" s="1"/>
      <c r="BF390" s="1"/>
    </row>
    <row r="391" spans="22:58"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  <c r="AX391" s="1"/>
      <c r="AY391" s="1"/>
      <c r="AZ391" s="1"/>
      <c r="BA391" s="1"/>
      <c r="BB391" s="1"/>
      <c r="BC391" s="1"/>
      <c r="BD391" s="1"/>
      <c r="BE391" s="1"/>
      <c r="BF391" s="1"/>
    </row>
    <row r="392" spans="22:58"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  <c r="AX392" s="1"/>
      <c r="AY392" s="1"/>
      <c r="AZ392" s="1"/>
      <c r="BA392" s="1"/>
      <c r="BB392" s="1"/>
      <c r="BC392" s="1"/>
      <c r="BD392" s="1"/>
      <c r="BE392" s="1"/>
      <c r="BF392" s="1"/>
    </row>
    <row r="393" spans="22:58"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  <c r="AX393" s="1"/>
      <c r="AY393" s="1"/>
      <c r="AZ393" s="1"/>
      <c r="BA393" s="1"/>
      <c r="BB393" s="1"/>
      <c r="BC393" s="1"/>
      <c r="BD393" s="1"/>
      <c r="BE393" s="1"/>
      <c r="BF393" s="1"/>
    </row>
    <row r="394" spans="22:58"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  <c r="AX394" s="1"/>
      <c r="AY394" s="1"/>
      <c r="AZ394" s="1"/>
      <c r="BA394" s="1"/>
      <c r="BB394" s="1"/>
      <c r="BC394" s="1"/>
      <c r="BD394" s="1"/>
      <c r="BE394" s="1"/>
      <c r="BF394" s="1"/>
    </row>
    <row r="395" spans="22:58"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  <c r="AX395" s="1"/>
      <c r="AY395" s="1"/>
      <c r="AZ395" s="1"/>
      <c r="BA395" s="1"/>
      <c r="BB395" s="1"/>
      <c r="BC395" s="1"/>
      <c r="BD395" s="1"/>
      <c r="BE395" s="1"/>
      <c r="BF395" s="1"/>
    </row>
    <row r="396" spans="22:58"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  <c r="AX396" s="1"/>
      <c r="AY396" s="1"/>
      <c r="AZ396" s="1"/>
      <c r="BA396" s="1"/>
      <c r="BB396" s="1"/>
      <c r="BC396" s="1"/>
      <c r="BD396" s="1"/>
      <c r="BE396" s="1"/>
      <c r="BF396" s="1"/>
    </row>
    <row r="397" spans="22:58"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  <c r="AX397" s="1"/>
      <c r="AY397" s="1"/>
      <c r="AZ397" s="1"/>
      <c r="BA397" s="1"/>
      <c r="BB397" s="1"/>
      <c r="BC397" s="1"/>
      <c r="BD397" s="1"/>
      <c r="BE397" s="1"/>
      <c r="BF397" s="1"/>
    </row>
    <row r="398" spans="22:58"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  <c r="AX398" s="1"/>
      <c r="AY398" s="1"/>
      <c r="AZ398" s="1"/>
      <c r="BA398" s="1"/>
      <c r="BB398" s="1"/>
      <c r="BC398" s="1"/>
      <c r="BD398" s="1"/>
      <c r="BE398" s="1"/>
      <c r="BF398" s="1"/>
    </row>
    <row r="399" spans="22:58"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  <c r="AX399" s="1"/>
      <c r="AY399" s="1"/>
      <c r="AZ399" s="1"/>
      <c r="BA399" s="1"/>
      <c r="BB399" s="1"/>
      <c r="BC399" s="1"/>
      <c r="BD399" s="1"/>
      <c r="BE399" s="1"/>
      <c r="BF399" s="1"/>
    </row>
    <row r="400" spans="22:58"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  <c r="AX400" s="1"/>
      <c r="AY400" s="1"/>
      <c r="AZ400" s="1"/>
      <c r="BA400" s="1"/>
      <c r="BB400" s="1"/>
      <c r="BC400" s="1"/>
      <c r="BD400" s="1"/>
      <c r="BE400" s="1"/>
      <c r="BF400" s="1"/>
    </row>
    <row r="401" spans="22:58"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  <c r="AX401" s="1"/>
      <c r="AY401" s="1"/>
      <c r="AZ401" s="1"/>
      <c r="BA401" s="1"/>
      <c r="BB401" s="1"/>
      <c r="BC401" s="1"/>
      <c r="BD401" s="1"/>
      <c r="BE401" s="1"/>
      <c r="BF401" s="1"/>
    </row>
  </sheetData>
  <conditionalFormatting sqref="J2:J6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dataValidations count="1">
    <dataValidation type="list" allowBlank="1" showInputMessage="1" showErrorMessage="1" sqref="C11:C13" xr:uid="{1965C288-A57D-4759-83B4-5909D3C61745}">
      <formula1>$A$2:$A$6</formula1>
    </dataValidation>
  </dataValidations>
  <hyperlinks>
    <hyperlink ref="L1" r:id="rId1" xr:uid="{7E8C70AE-5A4D-48CB-A3DB-1EB3CC1E3BD5}"/>
  </hyperlinks>
  <pageMargins left="0.7" right="0.7" top="0.75" bottom="0.75" header="0.3" footer="0.3"/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12684-D9B3-467A-91F3-AFAE584248F1}">
  <sheetPr codeName="Sheet5"/>
  <dimension ref="A1:AZ260"/>
  <sheetViews>
    <sheetView zoomScale="90" zoomScaleNormal="90" workbookViewId="0">
      <selection activeCell="J8" sqref="J8"/>
    </sheetView>
  </sheetViews>
  <sheetFormatPr defaultColWidth="8.90625" defaultRowHeight="14.5"/>
  <cols>
    <col min="1" max="1" width="21" style="11" customWidth="1"/>
    <col min="2" max="2" width="17.453125" style="11" customWidth="1"/>
    <col min="3" max="3" width="9.453125" style="11" bestFit="1" customWidth="1"/>
    <col min="4" max="4" width="14.08984375" style="11" customWidth="1"/>
    <col min="5" max="5" width="12.08984375" style="11" bestFit="1" customWidth="1"/>
    <col min="6" max="6" width="15.453125" style="11" bestFit="1" customWidth="1"/>
    <col min="7" max="7" width="17.6328125" style="11" customWidth="1"/>
    <col min="8" max="8" width="26.6328125" style="11" customWidth="1"/>
    <col min="9" max="9" width="13.90625" style="11" bestFit="1" customWidth="1"/>
    <col min="10" max="10" width="17.54296875" style="11" customWidth="1"/>
    <col min="11" max="11" width="12" style="11" bestFit="1" customWidth="1"/>
    <col min="12" max="12" width="11.54296875" style="11" customWidth="1"/>
    <col min="13" max="13" width="9.453125" style="11" bestFit="1" customWidth="1"/>
    <col min="14" max="14" width="11" style="11" bestFit="1" customWidth="1"/>
    <col min="15" max="16384" width="8.90625" style="11"/>
  </cols>
  <sheetData>
    <row r="1" spans="1:52" ht="29">
      <c r="A1" s="9" t="s">
        <v>40</v>
      </c>
      <c r="B1" s="9" t="s">
        <v>41</v>
      </c>
      <c r="C1" s="9" t="s">
        <v>42</v>
      </c>
      <c r="D1" s="9" t="s">
        <v>43</v>
      </c>
      <c r="E1" s="9" t="s">
        <v>44</v>
      </c>
      <c r="F1" s="9" t="s">
        <v>45</v>
      </c>
      <c r="G1" s="17" t="s">
        <v>48</v>
      </c>
      <c r="H1" s="17" t="s">
        <v>49</v>
      </c>
      <c r="I1" s="16" t="s">
        <v>50</v>
      </c>
      <c r="J1" s="17" t="s">
        <v>103</v>
      </c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</row>
    <row r="2" spans="1:52">
      <c r="A2" s="9" t="s">
        <v>150</v>
      </c>
      <c r="B2" s="14" t="s">
        <v>47</v>
      </c>
      <c r="C2" s="9">
        <v>28</v>
      </c>
      <c r="D2" s="9">
        <v>2.7</v>
      </c>
      <c r="E2" s="22">
        <v>20250</v>
      </c>
      <c r="F2" s="12">
        <f>Table12[[#This Row],[List Price]]/Table12[[#This Row],[Cores]]</f>
        <v>723.21428571428567</v>
      </c>
      <c r="G2" s="13">
        <f t="shared" ref="G2:G27" si="0">C2*D2</f>
        <v>75.600000000000009</v>
      </c>
      <c r="H2" s="9">
        <f t="shared" ref="H2:H27" si="1">G2*2</f>
        <v>151.20000000000002</v>
      </c>
      <c r="I2" s="12">
        <f>E2/G2</f>
        <v>267.85714285714283</v>
      </c>
      <c r="J2" s="21">
        <f>1-(I2/$I$8)</f>
        <v>0.30114358322744594</v>
      </c>
      <c r="K2" s="10"/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</row>
    <row r="3" spans="1:52">
      <c r="A3" s="9" t="s">
        <v>152</v>
      </c>
      <c r="B3" s="14" t="s">
        <v>46</v>
      </c>
      <c r="C3" s="9">
        <v>28</v>
      </c>
      <c r="D3" s="9">
        <v>2.7</v>
      </c>
      <c r="E3" s="22">
        <v>26400</v>
      </c>
      <c r="F3" s="12">
        <f>Table12[[#This Row],[List Price]]/Table12[[#This Row],[Cores]]</f>
        <v>942.85714285714289</v>
      </c>
      <c r="G3" s="13">
        <f t="shared" si="0"/>
        <v>75.600000000000009</v>
      </c>
      <c r="H3" s="9">
        <f t="shared" si="1"/>
        <v>151.20000000000002</v>
      </c>
      <c r="I3" s="12">
        <f t="shared" ref="I3:I27" si="2">E3/G3</f>
        <v>349.20634920634916</v>
      </c>
      <c r="J3" s="21">
        <f>1-(I3/$I$8)</f>
        <v>8.8898301096522192E-2</v>
      </c>
      <c r="K3" s="10"/>
      <c r="L3" s="10"/>
      <c r="M3" s="10"/>
      <c r="N3" s="10"/>
      <c r="O3" s="10"/>
      <c r="P3" s="10"/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</row>
    <row r="4" spans="1:52">
      <c r="A4" s="9" t="s">
        <v>153</v>
      </c>
      <c r="B4" s="14">
        <v>8280</v>
      </c>
      <c r="C4" s="9">
        <v>28</v>
      </c>
      <c r="D4" s="9">
        <v>2.7</v>
      </c>
      <c r="E4" s="22">
        <v>15800</v>
      </c>
      <c r="F4" s="18">
        <f>Table12[[#This Row],[List Price]]/Table12[[#This Row],[Cores]]</f>
        <v>564.28571428571433</v>
      </c>
      <c r="G4" s="13">
        <f t="shared" si="0"/>
        <v>75.600000000000009</v>
      </c>
      <c r="H4" s="9">
        <f t="shared" si="1"/>
        <v>151.20000000000002</v>
      </c>
      <c r="I4" s="12">
        <f t="shared" si="2"/>
        <v>208.99470899470896</v>
      </c>
      <c r="J4" s="21">
        <f>1-(I4/$I$8)</f>
        <v>0.45471943777746404</v>
      </c>
      <c r="K4" s="10"/>
      <c r="L4" s="10"/>
      <c r="M4" s="10"/>
      <c r="N4" s="10"/>
      <c r="O4" s="10"/>
      <c r="P4" s="10"/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</row>
    <row r="5" spans="1:52">
      <c r="A5" s="9" t="s">
        <v>154</v>
      </c>
      <c r="B5" s="14">
        <v>8270</v>
      </c>
      <c r="C5" s="9">
        <v>26</v>
      </c>
      <c r="D5" s="9">
        <v>2.7</v>
      </c>
      <c r="E5" s="23">
        <v>10820</v>
      </c>
      <c r="F5" s="20">
        <f>Table12[[#This Row],[List Price]]/Table12[[#This Row],[Cores]]</f>
        <v>416.15384615384613</v>
      </c>
      <c r="G5" s="13">
        <f t="shared" si="0"/>
        <v>70.2</v>
      </c>
      <c r="H5" s="9">
        <f t="shared" si="1"/>
        <v>140.4</v>
      </c>
      <c r="I5" s="12">
        <f t="shared" si="2"/>
        <v>154.13105413105413</v>
      </c>
      <c r="J5" s="21">
        <f>1-(I5/$I$8)</f>
        <v>0.59786222217395446</v>
      </c>
      <c r="K5" s="10"/>
      <c r="L5" s="10"/>
      <c r="M5" s="10"/>
      <c r="N5" s="10"/>
      <c r="O5" s="10"/>
      <c r="P5" s="10"/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</row>
    <row r="6" spans="1:52">
      <c r="A6" s="9" t="s">
        <v>151</v>
      </c>
      <c r="B6" s="14">
        <v>8268</v>
      </c>
      <c r="C6" s="9">
        <v>24</v>
      </c>
      <c r="D6" s="9">
        <v>2.9</v>
      </c>
      <c r="E6" s="22">
        <v>8480</v>
      </c>
      <c r="F6" s="12">
        <f>Table12[[#This Row],[List Price]]/Table12[[#This Row],[Cores]]</f>
        <v>353.33333333333331</v>
      </c>
      <c r="G6" s="13">
        <f t="shared" si="0"/>
        <v>69.599999999999994</v>
      </c>
      <c r="H6" s="9">
        <f t="shared" si="1"/>
        <v>139.19999999999999</v>
      </c>
      <c r="I6" s="12">
        <f t="shared" si="2"/>
        <v>121.83908045977013</v>
      </c>
      <c r="J6" s="21">
        <f t="shared" ref="J6:J27" si="3">1-(I6/$I$8)</f>
        <v>0.6821140467462159</v>
      </c>
      <c r="K6" s="10"/>
      <c r="L6" s="10"/>
      <c r="M6" s="10"/>
      <c r="N6" s="10"/>
      <c r="O6" s="10"/>
      <c r="P6" s="10"/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</row>
    <row r="7" spans="1:52">
      <c r="A7" s="9" t="s">
        <v>155</v>
      </c>
      <c r="B7" s="19" t="s">
        <v>53</v>
      </c>
      <c r="C7" s="9">
        <v>28</v>
      </c>
      <c r="D7" s="9">
        <v>2.2000000000000002</v>
      </c>
      <c r="E7" s="23">
        <v>18000</v>
      </c>
      <c r="F7" s="20">
        <f>Table12[[#This Row],[List Price]]/Table12[[#This Row],[Cores]]</f>
        <v>642.85714285714289</v>
      </c>
      <c r="G7" s="13">
        <f t="shared" si="0"/>
        <v>61.600000000000009</v>
      </c>
      <c r="H7" s="9">
        <f t="shared" si="1"/>
        <v>123.20000000000002</v>
      </c>
      <c r="I7" s="12">
        <f t="shared" si="2"/>
        <v>292.20779220779218</v>
      </c>
      <c r="J7" s="21">
        <f t="shared" si="3"/>
        <v>0.23761118170266837</v>
      </c>
      <c r="K7" s="10"/>
      <c r="L7" s="10"/>
      <c r="M7" s="10"/>
      <c r="N7" s="10"/>
      <c r="O7" s="10"/>
      <c r="P7" s="10"/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</row>
    <row r="8" spans="1:52">
      <c r="A8" s="9" t="s">
        <v>156</v>
      </c>
      <c r="B8" s="19" t="s">
        <v>54</v>
      </c>
      <c r="C8" s="9">
        <v>28</v>
      </c>
      <c r="D8" s="9">
        <v>2.2000000000000002</v>
      </c>
      <c r="E8" s="23">
        <v>23610</v>
      </c>
      <c r="F8" s="20">
        <f>Table12[[#This Row],[List Price]]/Table12[[#This Row],[Cores]]</f>
        <v>843.21428571428567</v>
      </c>
      <c r="G8" s="13">
        <f t="shared" si="0"/>
        <v>61.600000000000009</v>
      </c>
      <c r="H8" s="9">
        <f t="shared" si="1"/>
        <v>123.20000000000002</v>
      </c>
      <c r="I8" s="12">
        <f t="shared" si="2"/>
        <v>383.27922077922074</v>
      </c>
      <c r="J8" s="21">
        <f t="shared" si="3"/>
        <v>0</v>
      </c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</row>
    <row r="9" spans="1:52">
      <c r="A9" s="9" t="s">
        <v>157</v>
      </c>
      <c r="B9" s="14">
        <v>8276</v>
      </c>
      <c r="C9" s="9">
        <v>28</v>
      </c>
      <c r="D9" s="9">
        <v>2.2000000000000002</v>
      </c>
      <c r="E9" s="23">
        <v>12938</v>
      </c>
      <c r="F9" s="20">
        <f>Table12[[#This Row],[List Price]]/Table12[[#This Row],[Cores]]</f>
        <v>462.07142857142856</v>
      </c>
      <c r="G9" s="13">
        <f t="shared" si="0"/>
        <v>61.600000000000009</v>
      </c>
      <c r="H9" s="9">
        <f t="shared" si="1"/>
        <v>123.20000000000002</v>
      </c>
      <c r="I9" s="12">
        <f t="shared" si="2"/>
        <v>210.03246753246751</v>
      </c>
      <c r="J9" s="21">
        <f t="shared" si="3"/>
        <v>0.45201185938161792</v>
      </c>
      <c r="K9" s="10"/>
      <c r="L9" s="10"/>
      <c r="M9" s="10"/>
      <c r="N9" s="10"/>
      <c r="O9" s="10"/>
      <c r="P9" s="10"/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</row>
    <row r="10" spans="1:52">
      <c r="A10" s="9" t="s">
        <v>158</v>
      </c>
      <c r="B10" s="19" t="s">
        <v>52</v>
      </c>
      <c r="C10" s="9">
        <v>24</v>
      </c>
      <c r="D10" s="9">
        <v>2.4</v>
      </c>
      <c r="E10" s="22">
        <v>10320</v>
      </c>
      <c r="F10" s="20">
        <f>Table12[[#This Row],[List Price]]/Table12[[#This Row],[Cores]]</f>
        <v>430</v>
      </c>
      <c r="G10" s="13">
        <f t="shared" si="0"/>
        <v>57.599999999999994</v>
      </c>
      <c r="H10" s="9">
        <f t="shared" si="1"/>
        <v>115.19999999999999</v>
      </c>
      <c r="I10" s="12">
        <f t="shared" si="2"/>
        <v>179.16666666666669</v>
      </c>
      <c r="J10" s="21">
        <f t="shared" si="3"/>
        <v>0.53254270789213598</v>
      </c>
      <c r="K10" s="10"/>
      <c r="L10" s="10"/>
      <c r="M10" s="10"/>
      <c r="N10" s="10"/>
      <c r="O10" s="10"/>
      <c r="P10" s="10"/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</row>
    <row r="11" spans="1:52">
      <c r="A11" s="9" t="s">
        <v>159</v>
      </c>
      <c r="B11" s="19" t="s">
        <v>51</v>
      </c>
      <c r="C11" s="9">
        <v>24</v>
      </c>
      <c r="D11" s="9">
        <v>2.4</v>
      </c>
      <c r="E11" s="23">
        <v>16640</v>
      </c>
      <c r="F11" s="20">
        <f>Table12[[#This Row],[List Price]]/Table12[[#This Row],[Cores]]</f>
        <v>693.33333333333337</v>
      </c>
      <c r="G11" s="13">
        <f t="shared" si="0"/>
        <v>57.599999999999994</v>
      </c>
      <c r="H11" s="9">
        <f t="shared" si="1"/>
        <v>115.19999999999999</v>
      </c>
      <c r="I11" s="12">
        <f t="shared" si="2"/>
        <v>288.88888888888891</v>
      </c>
      <c r="J11" s="21">
        <f t="shared" si="3"/>
        <v>0.24627041272530459</v>
      </c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</row>
    <row r="12" spans="1:52">
      <c r="A12" s="9" t="s">
        <v>160</v>
      </c>
      <c r="B12" s="14">
        <v>8260</v>
      </c>
      <c r="C12" s="9">
        <v>24</v>
      </c>
      <c r="D12" s="9">
        <v>2.4</v>
      </c>
      <c r="E12" s="23">
        <v>6560</v>
      </c>
      <c r="F12" s="20">
        <f>Table12[[#This Row],[List Price]]/Table12[[#This Row],[Cores]]</f>
        <v>273.33333333333331</v>
      </c>
      <c r="G12" s="13">
        <f t="shared" si="0"/>
        <v>57.599999999999994</v>
      </c>
      <c r="H12" s="9">
        <f t="shared" si="1"/>
        <v>115.19999999999999</v>
      </c>
      <c r="I12" s="12">
        <f t="shared" si="2"/>
        <v>113.8888888888889</v>
      </c>
      <c r="J12" s="21">
        <f t="shared" si="3"/>
        <v>0.70285660501670666</v>
      </c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</row>
    <row r="13" spans="1:52">
      <c r="A13" s="9" t="s">
        <v>161</v>
      </c>
      <c r="B13" s="14">
        <v>6254</v>
      </c>
      <c r="C13" s="9">
        <v>18</v>
      </c>
      <c r="D13" s="9">
        <v>3.1</v>
      </c>
      <c r="E13" s="22">
        <v>4670</v>
      </c>
      <c r="F13" s="12">
        <f>Table12[[#This Row],[List Price]]/Table12[[#This Row],[Cores]]</f>
        <v>259.44444444444446</v>
      </c>
      <c r="G13" s="13">
        <f t="shared" si="0"/>
        <v>55.800000000000004</v>
      </c>
      <c r="H13" s="9">
        <f t="shared" si="1"/>
        <v>111.60000000000001</v>
      </c>
      <c r="I13" s="12">
        <f t="shared" si="2"/>
        <v>83.69175627240142</v>
      </c>
      <c r="J13" s="21">
        <f t="shared" si="3"/>
        <v>0.78164285529945243</v>
      </c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</row>
    <row r="14" spans="1:52">
      <c r="A14" s="9" t="s">
        <v>162</v>
      </c>
      <c r="B14" s="14">
        <v>6252</v>
      </c>
      <c r="C14" s="9">
        <v>24</v>
      </c>
      <c r="D14" s="9">
        <v>2.1</v>
      </c>
      <c r="E14" s="23">
        <v>4740</v>
      </c>
      <c r="F14" s="20">
        <f>Table12[[#This Row],[List Price]]/Table12[[#This Row],[Cores]]</f>
        <v>197.5</v>
      </c>
      <c r="G14" s="13">
        <f t="shared" si="0"/>
        <v>50.400000000000006</v>
      </c>
      <c r="H14" s="9">
        <f t="shared" si="1"/>
        <v>100.80000000000001</v>
      </c>
      <c r="I14" s="12">
        <f t="shared" si="2"/>
        <v>94.047619047619037</v>
      </c>
      <c r="J14" s="21">
        <f t="shared" si="3"/>
        <v>0.75462374699985879</v>
      </c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</row>
    <row r="15" spans="1:52">
      <c r="A15" s="9" t="s">
        <v>163</v>
      </c>
      <c r="B15" s="14">
        <v>6248</v>
      </c>
      <c r="C15" s="9">
        <v>20</v>
      </c>
      <c r="D15" s="9">
        <v>2.5</v>
      </c>
      <c r="E15" s="22">
        <v>3690</v>
      </c>
      <c r="F15" s="20">
        <f>Table12[[#This Row],[List Price]]/Table12[[#This Row],[Cores]]</f>
        <v>184.5</v>
      </c>
      <c r="G15" s="13">
        <f t="shared" si="0"/>
        <v>50</v>
      </c>
      <c r="H15" s="13">
        <f t="shared" si="1"/>
        <v>100</v>
      </c>
      <c r="I15" s="12">
        <f t="shared" si="2"/>
        <v>73.8</v>
      </c>
      <c r="J15" s="21">
        <f t="shared" si="3"/>
        <v>0.80745108005082589</v>
      </c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</row>
    <row r="16" spans="1:52">
      <c r="A16" s="9" t="s">
        <v>164</v>
      </c>
      <c r="B16" s="14">
        <v>6240</v>
      </c>
      <c r="C16" s="9">
        <v>18</v>
      </c>
      <c r="D16" s="9">
        <v>2.6</v>
      </c>
      <c r="E16" s="23">
        <v>2649</v>
      </c>
      <c r="F16" s="20">
        <f>Table12[[#This Row],[List Price]]/Table12[[#This Row],[Cores]]</f>
        <v>147.16666666666666</v>
      </c>
      <c r="G16" s="13">
        <f t="shared" si="0"/>
        <v>46.800000000000004</v>
      </c>
      <c r="H16" s="9">
        <f t="shared" si="1"/>
        <v>93.600000000000009</v>
      </c>
      <c r="I16" s="12">
        <f t="shared" si="2"/>
        <v>56.602564102564095</v>
      </c>
      <c r="J16" s="21">
        <f t="shared" si="3"/>
        <v>0.85232029018560151</v>
      </c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</row>
    <row r="17" spans="1:52">
      <c r="A17" s="9" t="s">
        <v>165</v>
      </c>
      <c r="B17" s="19" t="s">
        <v>57</v>
      </c>
      <c r="C17" s="9">
        <v>18</v>
      </c>
      <c r="D17" s="9">
        <v>2.6</v>
      </c>
      <c r="E17" s="23">
        <v>6920</v>
      </c>
      <c r="F17" s="20">
        <f>Table12[[#This Row],[List Price]]/Table12[[#This Row],[Cores]]</f>
        <v>384.44444444444446</v>
      </c>
      <c r="G17" s="13">
        <f t="shared" si="0"/>
        <v>46.800000000000004</v>
      </c>
      <c r="H17" s="13">
        <f t="shared" si="1"/>
        <v>93.600000000000009</v>
      </c>
      <c r="I17" s="12">
        <f t="shared" si="2"/>
        <v>147.86324786324786</v>
      </c>
      <c r="J17" s="21">
        <f t="shared" si="3"/>
        <v>0.61421532959017067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</row>
    <row r="18" spans="1:52">
      <c r="A18" s="9" t="s">
        <v>166</v>
      </c>
      <c r="B18" s="19" t="s">
        <v>58</v>
      </c>
      <c r="C18" s="9">
        <v>18</v>
      </c>
      <c r="D18" s="9">
        <v>2.6</v>
      </c>
      <c r="E18" s="23">
        <v>17270</v>
      </c>
      <c r="F18" s="20">
        <f>Table12[[#This Row],[List Price]]/Table12[[#This Row],[Cores]]</f>
        <v>959.44444444444446</v>
      </c>
      <c r="G18" s="13">
        <f t="shared" si="0"/>
        <v>46.800000000000004</v>
      </c>
      <c r="H18" s="13">
        <f t="shared" si="1"/>
        <v>93.600000000000009</v>
      </c>
      <c r="I18" s="12">
        <f t="shared" si="2"/>
        <v>369.017094017094</v>
      </c>
      <c r="J18" s="21">
        <f t="shared" si="3"/>
        <v>3.721080087026718E-2</v>
      </c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</row>
    <row r="19" spans="1:52">
      <c r="A19" s="9" t="s">
        <v>167</v>
      </c>
      <c r="B19" s="19" t="s">
        <v>55</v>
      </c>
      <c r="C19" s="9">
        <v>24</v>
      </c>
      <c r="D19" s="9">
        <v>1.9</v>
      </c>
      <c r="E19" s="23">
        <v>4320</v>
      </c>
      <c r="F19" s="20">
        <f>Table12[[#This Row],[List Price]]/Table12[[#This Row],[Cores]]</f>
        <v>180</v>
      </c>
      <c r="G19" s="13">
        <f t="shared" si="0"/>
        <v>45.599999999999994</v>
      </c>
      <c r="H19" s="9">
        <f t="shared" si="1"/>
        <v>91.199999999999989</v>
      </c>
      <c r="I19" s="12">
        <f t="shared" si="2"/>
        <v>94.736842105263165</v>
      </c>
      <c r="J19" s="21">
        <f t="shared" si="3"/>
        <v>0.75282551996254932</v>
      </c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</row>
    <row r="20" spans="1:52">
      <c r="A20" s="9" t="s">
        <v>168</v>
      </c>
      <c r="B20" s="14">
        <v>6242</v>
      </c>
      <c r="C20" s="9">
        <v>16</v>
      </c>
      <c r="D20" s="9">
        <v>2.8</v>
      </c>
      <c r="E20" s="22">
        <v>3170</v>
      </c>
      <c r="F20" s="12">
        <f>Table12[[#This Row],[List Price]]/Table12[[#This Row],[Cores]]</f>
        <v>198.125</v>
      </c>
      <c r="G20" s="13">
        <f t="shared" si="0"/>
        <v>44.8</v>
      </c>
      <c r="H20" s="9">
        <f t="shared" si="1"/>
        <v>89.6</v>
      </c>
      <c r="I20" s="12">
        <f t="shared" si="2"/>
        <v>70.758928571428569</v>
      </c>
      <c r="J20" s="21">
        <f t="shared" si="3"/>
        <v>0.81538542990258367</v>
      </c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</row>
    <row r="21" spans="1:52">
      <c r="A21" s="9" t="s">
        <v>169</v>
      </c>
      <c r="B21" s="14">
        <v>6246</v>
      </c>
      <c r="C21" s="9">
        <v>12</v>
      </c>
      <c r="D21" s="9">
        <v>3.3</v>
      </c>
      <c r="E21" s="22">
        <v>11550</v>
      </c>
      <c r="F21" s="12">
        <f>Table12[[#This Row],[List Price]]/Table12[[#This Row],[Cores]]</f>
        <v>962.5</v>
      </c>
      <c r="G21" s="13">
        <f t="shared" si="0"/>
        <v>39.599999999999994</v>
      </c>
      <c r="H21" s="9">
        <f t="shared" si="1"/>
        <v>79.199999999999989</v>
      </c>
      <c r="I21" s="12">
        <f t="shared" si="2"/>
        <v>291.66666666666669</v>
      </c>
      <c r="J21" s="21">
        <f t="shared" si="3"/>
        <v>0.23902301284766325</v>
      </c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</row>
    <row r="22" spans="1:52">
      <c r="A22" s="9" t="s">
        <v>170</v>
      </c>
      <c r="B22" s="19" t="s">
        <v>56</v>
      </c>
      <c r="C22" s="9">
        <v>20</v>
      </c>
      <c r="D22" s="9">
        <v>1.8</v>
      </c>
      <c r="E22" s="23">
        <v>1470</v>
      </c>
      <c r="F22" s="20">
        <f>Table12[[#This Row],[List Price]]/Table12[[#This Row],[Cores]]</f>
        <v>73.5</v>
      </c>
      <c r="G22" s="13">
        <f t="shared" si="0"/>
        <v>36</v>
      </c>
      <c r="H22" s="13">
        <f t="shared" si="1"/>
        <v>72</v>
      </c>
      <c r="I22" s="12">
        <f t="shared" si="2"/>
        <v>40.833333333333336</v>
      </c>
      <c r="J22" s="21">
        <f t="shared" si="3"/>
        <v>0.89346322179867288</v>
      </c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</row>
    <row r="23" spans="1:52">
      <c r="A23" s="9" t="s">
        <v>171</v>
      </c>
      <c r="B23" s="14">
        <v>8253</v>
      </c>
      <c r="C23" s="9">
        <v>16</v>
      </c>
      <c r="D23" s="9">
        <v>2.2000000000000002</v>
      </c>
      <c r="E23" s="23">
        <v>3930</v>
      </c>
      <c r="F23" s="20">
        <f>Table12[[#This Row],[List Price]]/Table12[[#This Row],[Cores]]</f>
        <v>245.625</v>
      </c>
      <c r="G23" s="13">
        <f t="shared" si="0"/>
        <v>35.200000000000003</v>
      </c>
      <c r="H23" s="9">
        <f t="shared" si="1"/>
        <v>70.400000000000006</v>
      </c>
      <c r="I23" s="12">
        <f t="shared" si="2"/>
        <v>111.64772727272727</v>
      </c>
      <c r="J23" s="21">
        <f t="shared" si="3"/>
        <v>0.7087039390088945</v>
      </c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</row>
    <row r="24" spans="1:52">
      <c r="A24" s="9" t="s">
        <v>172</v>
      </c>
      <c r="B24" s="14">
        <v>6244</v>
      </c>
      <c r="C24" s="9">
        <v>8</v>
      </c>
      <c r="D24" s="9">
        <v>3.6</v>
      </c>
      <c r="E24" s="22">
        <v>10290</v>
      </c>
      <c r="F24" s="12">
        <f>Table12[[#This Row],[List Price]]/Table12[[#This Row],[Cores]]</f>
        <v>1286.25</v>
      </c>
      <c r="G24" s="13">
        <f t="shared" si="0"/>
        <v>28.8</v>
      </c>
      <c r="H24" s="9">
        <f t="shared" si="1"/>
        <v>57.6</v>
      </c>
      <c r="I24" s="12">
        <f t="shared" si="2"/>
        <v>357.29166666666669</v>
      </c>
      <c r="J24" s="21">
        <f t="shared" si="3"/>
        <v>6.7803190738387586E-2</v>
      </c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</row>
    <row r="25" spans="1:52">
      <c r="A25" s="9" t="s">
        <v>173</v>
      </c>
      <c r="B25" s="14">
        <v>6234</v>
      </c>
      <c r="C25" s="9">
        <v>8</v>
      </c>
      <c r="D25" s="9">
        <v>3.3</v>
      </c>
      <c r="E25" s="22">
        <v>3469</v>
      </c>
      <c r="F25" s="12">
        <f>Table12[[#This Row],[List Price]]/Table12[[#This Row],[Cores]]</f>
        <v>433.625</v>
      </c>
      <c r="G25" s="13">
        <f t="shared" si="0"/>
        <v>26.4</v>
      </c>
      <c r="H25" s="9">
        <f t="shared" si="1"/>
        <v>52.8</v>
      </c>
      <c r="I25" s="12">
        <f t="shared" si="2"/>
        <v>131.40151515151516</v>
      </c>
      <c r="J25" s="21">
        <f t="shared" si="3"/>
        <v>0.65716504306084988</v>
      </c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</row>
    <row r="26" spans="1:52">
      <c r="A26" s="9" t="s">
        <v>174</v>
      </c>
      <c r="B26" s="14">
        <v>5217</v>
      </c>
      <c r="C26" s="9">
        <v>8</v>
      </c>
      <c r="D26" s="13">
        <v>3</v>
      </c>
      <c r="E26" s="22">
        <v>2479</v>
      </c>
      <c r="F26" s="12">
        <f>Table12[[#This Row],[List Price]]/Table12[[#This Row],[Cores]]</f>
        <v>309.875</v>
      </c>
      <c r="G26" s="13">
        <f t="shared" si="0"/>
        <v>24</v>
      </c>
      <c r="H26" s="13">
        <f t="shared" si="1"/>
        <v>48</v>
      </c>
      <c r="I26" s="12">
        <f t="shared" si="2"/>
        <v>103.29166666666667</v>
      </c>
      <c r="J26" s="21">
        <f t="shared" si="3"/>
        <v>0.73050543554990821</v>
      </c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</row>
    <row r="27" spans="1:52">
      <c r="A27" s="9" t="s">
        <v>175</v>
      </c>
      <c r="B27" s="14">
        <v>4215</v>
      </c>
      <c r="C27" s="9">
        <v>8</v>
      </c>
      <c r="D27" s="13">
        <v>2.5</v>
      </c>
      <c r="E27" s="22">
        <v>1379</v>
      </c>
      <c r="F27" s="12">
        <f>Table12[[#This Row],[List Price]]/Table12[[#This Row],[Cores]]</f>
        <v>172.375</v>
      </c>
      <c r="G27" s="13">
        <f t="shared" si="0"/>
        <v>20</v>
      </c>
      <c r="H27" s="13">
        <f t="shared" si="1"/>
        <v>40</v>
      </c>
      <c r="I27" s="12">
        <f t="shared" si="2"/>
        <v>68.95</v>
      </c>
      <c r="J27" s="21">
        <f t="shared" si="3"/>
        <v>0.82010504023718767</v>
      </c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</row>
    <row r="28" spans="1:52">
      <c r="A28" s="9"/>
      <c r="B28" s="14">
        <v>4110</v>
      </c>
      <c r="C28" s="9"/>
      <c r="D28" s="9"/>
      <c r="E28" s="23"/>
      <c r="F28" s="9" t="e">
        <f>Table12[[#This Row],[List Price]]/Table12[[#This Row],[Cores]]</f>
        <v>#DIV/0!</v>
      </c>
      <c r="G28" s="13"/>
      <c r="H28" s="9"/>
      <c r="I28" s="9"/>
      <c r="J28" s="9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</row>
    <row r="29" spans="1:52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</row>
    <row r="30" spans="1:52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</row>
    <row r="31" spans="1:52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</row>
    <row r="32" spans="1:52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</row>
    <row r="33" spans="1:52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</row>
    <row r="34" spans="1:52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</row>
    <row r="35" spans="1:52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</row>
    <row r="36" spans="1:52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</row>
    <row r="37" spans="1:52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</row>
    <row r="38" spans="1:52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</row>
    <row r="39" spans="1:52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</row>
    <row r="40" spans="1:52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</row>
    <row r="41" spans="1:52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</row>
    <row r="42" spans="1:52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</row>
    <row r="43" spans="1:52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</row>
    <row r="44" spans="1:52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</row>
    <row r="45" spans="1:52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</row>
    <row r="46" spans="1:52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</row>
    <row r="47" spans="1:52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</row>
    <row r="48" spans="1:52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</row>
    <row r="49" spans="1:52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</row>
    <row r="50" spans="1:52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</row>
    <row r="51" spans="1:52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</row>
    <row r="52" spans="1:52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</row>
    <row r="53" spans="1:52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</row>
    <row r="54" spans="1:52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</row>
    <row r="55" spans="1:52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</row>
    <row r="56" spans="1:52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</row>
    <row r="57" spans="1:52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</row>
    <row r="58" spans="1:52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</row>
    <row r="59" spans="1:52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</row>
    <row r="60" spans="1:52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</row>
    <row r="61" spans="1:52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</row>
    <row r="62" spans="1:52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</row>
    <row r="63" spans="1:52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</row>
    <row r="64" spans="1:52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</row>
    <row r="65" spans="1:52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</row>
    <row r="66" spans="1:52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</row>
    <row r="67" spans="1:52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</row>
    <row r="68" spans="1:5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</row>
    <row r="69" spans="1:5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</row>
    <row r="70" spans="1:5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</row>
    <row r="71" spans="1:5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</row>
    <row r="72" spans="1:5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</row>
    <row r="73" spans="1:5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</row>
    <row r="74" spans="1:5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</row>
    <row r="75" spans="1:5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</row>
    <row r="76" spans="1:5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</row>
    <row r="77" spans="1:5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</row>
    <row r="78" spans="1:5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</row>
    <row r="79" spans="1:5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</row>
    <row r="80" spans="1:5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</row>
    <row r="81" spans="1:5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</row>
    <row r="82" spans="1:5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</row>
    <row r="83" spans="1:5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</row>
    <row r="84" spans="1:5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</row>
    <row r="85" spans="1:5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</row>
    <row r="86" spans="1:5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0"/>
      <c r="M86" s="10"/>
      <c r="N86" s="10"/>
      <c r="O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</row>
    <row r="87" spans="1:5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0"/>
      <c r="M87" s="10"/>
      <c r="N87" s="10"/>
      <c r="O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</row>
    <row r="88" spans="1:5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0"/>
      <c r="M88" s="10"/>
      <c r="N88" s="10"/>
      <c r="O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</row>
    <row r="89" spans="1:5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0"/>
      <c r="M89" s="10"/>
      <c r="N89" s="10"/>
      <c r="O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</row>
    <row r="90" spans="1:5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0"/>
      <c r="M90" s="10"/>
      <c r="N90" s="10"/>
      <c r="O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</row>
    <row r="91" spans="1:5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0"/>
      <c r="M91" s="10"/>
      <c r="N91" s="10"/>
      <c r="O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</row>
    <row r="92" spans="1:5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0"/>
      <c r="M92" s="10"/>
      <c r="N92" s="10"/>
      <c r="O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</row>
    <row r="93" spans="1:5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0"/>
      <c r="M93" s="10"/>
      <c r="N93" s="10"/>
      <c r="O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</row>
    <row r="94" spans="1:5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0"/>
      <c r="M94" s="10"/>
      <c r="N94" s="10"/>
      <c r="O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</row>
    <row r="95" spans="1:5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0"/>
      <c r="M95" s="10"/>
      <c r="N95" s="10"/>
      <c r="O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</row>
    <row r="96" spans="1:5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0"/>
      <c r="M96" s="10"/>
      <c r="N96" s="10"/>
      <c r="O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</row>
    <row r="97" spans="1:5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0"/>
      <c r="M97" s="10"/>
      <c r="N97" s="10"/>
      <c r="O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</row>
    <row r="98" spans="1:5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0"/>
      <c r="M98" s="10"/>
      <c r="N98" s="10"/>
      <c r="O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</row>
    <row r="99" spans="1:5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0"/>
      <c r="M99" s="10"/>
      <c r="N99" s="10"/>
      <c r="O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</row>
    <row r="100" spans="1:5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0"/>
      <c r="M100" s="10"/>
      <c r="N100" s="10"/>
      <c r="O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</row>
    <row r="101" spans="1:5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0"/>
      <c r="M101" s="10"/>
      <c r="N101" s="10"/>
      <c r="O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</row>
    <row r="102" spans="1:5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0"/>
      <c r="M102" s="10"/>
      <c r="N102" s="10"/>
      <c r="O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</row>
    <row r="103" spans="1:5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0"/>
      <c r="M103" s="10"/>
      <c r="N103" s="10"/>
      <c r="O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</row>
    <row r="104" spans="1:5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0"/>
      <c r="M104" s="10"/>
      <c r="N104" s="10"/>
      <c r="O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</row>
    <row r="105" spans="1:5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0"/>
      <c r="M105" s="10"/>
      <c r="N105" s="10"/>
      <c r="O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</row>
    <row r="106" spans="1:5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0"/>
      <c r="M106" s="10"/>
      <c r="N106" s="10"/>
      <c r="O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</row>
    <row r="107" spans="1:5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0"/>
      <c r="M107" s="10"/>
      <c r="N107" s="10"/>
      <c r="O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</row>
    <row r="108" spans="1:5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0"/>
      <c r="M108" s="10"/>
      <c r="N108" s="10"/>
      <c r="O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</row>
    <row r="109" spans="1:5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0"/>
      <c r="M109" s="10"/>
      <c r="N109" s="10"/>
      <c r="O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</row>
    <row r="110" spans="1:5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0"/>
      <c r="M110" s="10"/>
      <c r="N110" s="10"/>
      <c r="O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</row>
    <row r="111" spans="1:5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0"/>
      <c r="M111" s="10"/>
      <c r="N111" s="10"/>
      <c r="O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</row>
    <row r="112" spans="1:5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0"/>
      <c r="M112" s="10"/>
      <c r="N112" s="10"/>
      <c r="O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</row>
    <row r="113" spans="1:5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0"/>
      <c r="M113" s="10"/>
      <c r="N113" s="10"/>
      <c r="O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</row>
    <row r="114" spans="1:5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0"/>
      <c r="M114" s="10"/>
      <c r="N114" s="10"/>
      <c r="O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</row>
    <row r="115" spans="1:5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0"/>
      <c r="M115" s="10"/>
      <c r="N115" s="10"/>
      <c r="O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</row>
    <row r="116" spans="1:5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0"/>
      <c r="M116" s="10"/>
      <c r="N116" s="10"/>
      <c r="O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</row>
    <row r="117" spans="1:5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0"/>
      <c r="M117" s="10"/>
      <c r="N117" s="10"/>
      <c r="O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</row>
    <row r="118" spans="1:5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0"/>
      <c r="M118" s="10"/>
      <c r="N118" s="10"/>
      <c r="O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</row>
    <row r="119" spans="1:5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0"/>
      <c r="M119" s="10"/>
      <c r="N119" s="10"/>
      <c r="O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</row>
    <row r="120" spans="1:5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0"/>
      <c r="M120" s="10"/>
      <c r="N120" s="10"/>
      <c r="O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</row>
    <row r="121" spans="1:5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0"/>
      <c r="M121" s="10"/>
      <c r="N121" s="10"/>
      <c r="O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</row>
    <row r="122" spans="1:5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0"/>
      <c r="M122" s="10"/>
      <c r="N122" s="10"/>
      <c r="O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</row>
    <row r="123" spans="1:5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0"/>
      <c r="M123" s="10"/>
      <c r="N123" s="10"/>
      <c r="O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</row>
    <row r="124" spans="1:5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0"/>
      <c r="M124" s="10"/>
      <c r="N124" s="10"/>
      <c r="O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</row>
    <row r="125" spans="1:5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0"/>
      <c r="M125" s="10"/>
      <c r="N125" s="10"/>
      <c r="O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</row>
    <row r="126" spans="1:5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0"/>
      <c r="M126" s="10"/>
      <c r="N126" s="10"/>
      <c r="O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</row>
    <row r="127" spans="1:5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0"/>
      <c r="M127" s="10"/>
      <c r="N127" s="10"/>
      <c r="O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</row>
    <row r="128" spans="1:5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0"/>
      <c r="M128" s="10"/>
      <c r="N128" s="10"/>
      <c r="O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</row>
    <row r="129" spans="1:5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0"/>
      <c r="M129" s="10"/>
      <c r="N129" s="10"/>
      <c r="O129" s="10"/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</row>
    <row r="130" spans="1:5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0"/>
      <c r="M130" s="10"/>
      <c r="N130" s="10"/>
      <c r="O130" s="10"/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</row>
    <row r="131" spans="1:5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0"/>
      <c r="M131" s="10"/>
      <c r="N131" s="10"/>
      <c r="O131" s="10"/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</row>
    <row r="132" spans="1:5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0"/>
      <c r="M132" s="10"/>
      <c r="N132" s="10"/>
      <c r="O132" s="10"/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</row>
    <row r="133" spans="1:5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0"/>
      <c r="M133" s="10"/>
      <c r="N133" s="10"/>
      <c r="O133" s="10"/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</row>
    <row r="134" spans="1:5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0"/>
      <c r="M134" s="10"/>
      <c r="N134" s="10"/>
      <c r="O134" s="10"/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</row>
    <row r="135" spans="1:5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0"/>
      <c r="M135" s="10"/>
      <c r="N135" s="10"/>
      <c r="O135" s="10"/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</row>
    <row r="136" spans="1:5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0"/>
      <c r="M136" s="10"/>
      <c r="N136" s="10"/>
      <c r="O136" s="10"/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</row>
    <row r="137" spans="1:5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0"/>
      <c r="M137" s="10"/>
      <c r="N137" s="10"/>
      <c r="O137" s="10"/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</row>
    <row r="138" spans="1:5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0"/>
      <c r="M138" s="10"/>
      <c r="N138" s="10"/>
      <c r="O138" s="10"/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</row>
    <row r="139" spans="1:5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0"/>
      <c r="M139" s="10"/>
      <c r="N139" s="10"/>
      <c r="O139" s="10"/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</row>
    <row r="140" spans="1:5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0"/>
      <c r="M140" s="10"/>
      <c r="N140" s="10"/>
      <c r="O140" s="10"/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</row>
    <row r="141" spans="1:5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0"/>
      <c r="M141" s="10"/>
      <c r="N141" s="10"/>
      <c r="O141" s="10"/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</row>
    <row r="142" spans="1:5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0"/>
      <c r="M142" s="10"/>
      <c r="N142" s="10"/>
      <c r="O142" s="10"/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</row>
    <row r="143" spans="1:5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0"/>
      <c r="M143" s="10"/>
      <c r="N143" s="10"/>
      <c r="O143" s="10"/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</row>
    <row r="144" spans="1:5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0"/>
      <c r="M144" s="10"/>
      <c r="N144" s="10"/>
      <c r="O144" s="10"/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</row>
    <row r="145" spans="1:5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0"/>
      <c r="M145" s="10"/>
      <c r="N145" s="10"/>
      <c r="O145" s="10"/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</row>
    <row r="146" spans="1:5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0"/>
      <c r="M146" s="10"/>
      <c r="N146" s="10"/>
      <c r="O146" s="10"/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</row>
    <row r="147" spans="1:5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0"/>
      <c r="M147" s="10"/>
      <c r="N147" s="10"/>
      <c r="O147" s="10"/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</row>
    <row r="148" spans="1:5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0"/>
      <c r="M148" s="10"/>
      <c r="N148" s="10"/>
      <c r="O148" s="10"/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</row>
    <row r="149" spans="1:5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0"/>
      <c r="M149" s="10"/>
      <c r="N149" s="10"/>
      <c r="O149" s="10"/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</row>
    <row r="150" spans="1:5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0"/>
      <c r="M150" s="10"/>
      <c r="N150" s="10"/>
      <c r="O150" s="10"/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</row>
    <row r="151" spans="1:5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0"/>
      <c r="M151" s="10"/>
      <c r="N151" s="10"/>
      <c r="O151" s="10"/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</row>
    <row r="152" spans="1:5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0"/>
      <c r="M152" s="10"/>
      <c r="N152" s="10"/>
      <c r="O152" s="10"/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</row>
    <row r="153" spans="1:5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0"/>
      <c r="M153" s="10"/>
      <c r="N153" s="10"/>
      <c r="O153" s="10"/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</row>
    <row r="154" spans="1:5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0"/>
      <c r="M154" s="10"/>
      <c r="N154" s="10"/>
      <c r="O154" s="10"/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</row>
    <row r="155" spans="1:5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0"/>
      <c r="M155" s="10"/>
      <c r="N155" s="10"/>
      <c r="O155" s="10"/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</row>
    <row r="156" spans="1:5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0"/>
      <c r="M156" s="10"/>
      <c r="N156" s="10"/>
      <c r="O156" s="10"/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</row>
    <row r="157" spans="1:5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0"/>
      <c r="M157" s="10"/>
      <c r="N157" s="10"/>
      <c r="O157" s="10"/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</row>
    <row r="158" spans="1:5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0"/>
      <c r="M158" s="10"/>
      <c r="N158" s="10"/>
      <c r="O158" s="10"/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</row>
    <row r="159" spans="1:5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0"/>
      <c r="M159" s="10"/>
      <c r="N159" s="10"/>
      <c r="O159" s="10"/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</row>
    <row r="160" spans="1:5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0"/>
      <c r="M160" s="10"/>
      <c r="N160" s="10"/>
      <c r="O160" s="10"/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</row>
    <row r="161" spans="1:5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0"/>
      <c r="M161" s="10"/>
      <c r="N161" s="10"/>
      <c r="O161" s="10"/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</row>
    <row r="162" spans="1:5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0"/>
      <c r="M162" s="10"/>
      <c r="N162" s="10"/>
      <c r="O162" s="10"/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</row>
    <row r="163" spans="1:5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0"/>
      <c r="M163" s="10"/>
      <c r="N163" s="10"/>
      <c r="O163" s="10"/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</row>
    <row r="164" spans="1:5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0"/>
      <c r="M164" s="10"/>
      <c r="N164" s="10"/>
      <c r="O164" s="10"/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</row>
    <row r="165" spans="1:5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0"/>
      <c r="M165" s="10"/>
      <c r="N165" s="10"/>
      <c r="O165" s="10"/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</row>
    <row r="166" spans="1:5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0"/>
      <c r="M166" s="10"/>
      <c r="N166" s="10"/>
      <c r="O166" s="10"/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</row>
    <row r="167" spans="1:5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0"/>
      <c r="M167" s="10"/>
      <c r="N167" s="10"/>
      <c r="O167" s="10"/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</row>
    <row r="168" spans="1:5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0"/>
      <c r="M168" s="10"/>
      <c r="N168" s="10"/>
      <c r="O168" s="10"/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</row>
    <row r="169" spans="1:5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0"/>
      <c r="M169" s="10"/>
      <c r="N169" s="10"/>
      <c r="O169" s="10"/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</row>
    <row r="170" spans="1:5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0"/>
      <c r="M170" s="10"/>
      <c r="N170" s="10"/>
      <c r="O170" s="10"/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</row>
    <row r="171" spans="1:5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0"/>
      <c r="M171" s="10"/>
      <c r="N171" s="10"/>
      <c r="O171" s="10"/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</row>
    <row r="172" spans="1:5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0"/>
      <c r="M172" s="10"/>
      <c r="N172" s="10"/>
      <c r="O172" s="10"/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</row>
    <row r="173" spans="1:5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0"/>
      <c r="M173" s="10"/>
      <c r="N173" s="10"/>
      <c r="O173" s="10"/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</row>
    <row r="174" spans="1:5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0"/>
      <c r="M174" s="10"/>
      <c r="N174" s="10"/>
      <c r="O174" s="10"/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</row>
    <row r="175" spans="1:5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0"/>
      <c r="M175" s="10"/>
      <c r="N175" s="10"/>
      <c r="O175" s="10"/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</row>
    <row r="176" spans="1:5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0"/>
      <c r="M176" s="10"/>
      <c r="N176" s="10"/>
      <c r="O176" s="10"/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</row>
    <row r="177" spans="1:5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0"/>
      <c r="M177" s="10"/>
      <c r="N177" s="10"/>
      <c r="O177" s="10"/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</row>
    <row r="178" spans="1:5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0"/>
      <c r="M178" s="10"/>
      <c r="N178" s="10"/>
      <c r="O178" s="10"/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</row>
    <row r="179" spans="1:5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0"/>
      <c r="M179" s="10"/>
      <c r="N179" s="10"/>
      <c r="O179" s="10"/>
      <c r="P179" s="10"/>
      <c r="Q179" s="10"/>
      <c r="R179" s="10"/>
      <c r="S179" s="10"/>
      <c r="T179" s="10"/>
      <c r="U179" s="10"/>
      <c r="V179" s="10"/>
      <c r="W179" s="10"/>
      <c r="X179" s="10"/>
      <c r="Y179" s="10"/>
      <c r="Z179" s="10"/>
      <c r="AA179" s="10"/>
      <c r="AB179" s="10"/>
      <c r="AC179" s="10"/>
      <c r="AD179" s="10"/>
      <c r="AE179" s="10"/>
      <c r="AF179" s="10"/>
      <c r="AG179" s="10"/>
      <c r="AH179" s="10"/>
      <c r="AI179" s="10"/>
      <c r="AJ179" s="10"/>
      <c r="AK179" s="10"/>
      <c r="AL179" s="10"/>
      <c r="AM179" s="10"/>
      <c r="AN179" s="10"/>
      <c r="AO179" s="10"/>
      <c r="AP179" s="10"/>
      <c r="AQ179" s="10"/>
      <c r="AR179" s="10"/>
      <c r="AS179" s="10"/>
      <c r="AT179" s="10"/>
      <c r="AU179" s="10"/>
      <c r="AV179" s="10"/>
      <c r="AW179" s="10"/>
      <c r="AX179" s="10"/>
      <c r="AY179" s="10"/>
      <c r="AZ179" s="10"/>
    </row>
    <row r="180" spans="1:5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0"/>
      <c r="M180" s="10"/>
      <c r="N180" s="10"/>
      <c r="O180" s="10"/>
      <c r="P180" s="10"/>
      <c r="Q180" s="10"/>
      <c r="R180" s="10"/>
      <c r="S180" s="10"/>
      <c r="T180" s="10"/>
      <c r="U180" s="10"/>
      <c r="V180" s="10"/>
      <c r="W180" s="10"/>
      <c r="X180" s="10"/>
      <c r="Y180" s="10"/>
      <c r="Z180" s="10"/>
      <c r="AA180" s="10"/>
      <c r="AB180" s="10"/>
      <c r="AC180" s="10"/>
      <c r="AD180" s="10"/>
      <c r="AE180" s="10"/>
      <c r="AF180" s="10"/>
      <c r="AG180" s="10"/>
      <c r="AH180" s="10"/>
      <c r="AI180" s="10"/>
      <c r="AJ180" s="10"/>
      <c r="AK180" s="10"/>
      <c r="AL180" s="10"/>
      <c r="AM180" s="10"/>
      <c r="AN180" s="10"/>
      <c r="AO180" s="10"/>
      <c r="AP180" s="10"/>
      <c r="AQ180" s="10"/>
      <c r="AR180" s="10"/>
      <c r="AS180" s="10"/>
      <c r="AT180" s="10"/>
      <c r="AU180" s="10"/>
      <c r="AV180" s="10"/>
      <c r="AW180" s="10"/>
      <c r="AX180" s="10"/>
      <c r="AY180" s="10"/>
      <c r="AZ180" s="10"/>
    </row>
    <row r="181" spans="1:5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0"/>
      <c r="M181" s="10"/>
      <c r="N181" s="10"/>
      <c r="O181" s="10"/>
      <c r="P181" s="10"/>
      <c r="Q181" s="10"/>
      <c r="R181" s="10"/>
      <c r="S181" s="10"/>
      <c r="T181" s="10"/>
      <c r="U181" s="10"/>
      <c r="V181" s="10"/>
      <c r="W181" s="10"/>
      <c r="X181" s="10"/>
      <c r="Y181" s="10"/>
      <c r="Z181" s="10"/>
      <c r="AA181" s="10"/>
      <c r="AB181" s="10"/>
      <c r="AC181" s="10"/>
      <c r="AD181" s="10"/>
      <c r="AE181" s="10"/>
      <c r="AF181" s="10"/>
      <c r="AG181" s="10"/>
      <c r="AH181" s="10"/>
      <c r="AI181" s="10"/>
      <c r="AJ181" s="10"/>
      <c r="AK181" s="10"/>
      <c r="AL181" s="10"/>
      <c r="AM181" s="10"/>
      <c r="AN181" s="10"/>
      <c r="AO181" s="10"/>
      <c r="AP181" s="10"/>
      <c r="AQ181" s="10"/>
      <c r="AR181" s="10"/>
      <c r="AS181" s="10"/>
      <c r="AT181" s="10"/>
      <c r="AU181" s="10"/>
      <c r="AV181" s="10"/>
      <c r="AW181" s="10"/>
      <c r="AX181" s="10"/>
      <c r="AY181" s="10"/>
      <c r="AZ181" s="10"/>
    </row>
    <row r="182" spans="1:5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0"/>
      <c r="M182" s="10"/>
      <c r="N182" s="10"/>
      <c r="O182" s="10"/>
      <c r="P182" s="10"/>
      <c r="Q182" s="10"/>
      <c r="R182" s="10"/>
      <c r="S182" s="10"/>
      <c r="T182" s="10"/>
      <c r="U182" s="10"/>
      <c r="V182" s="10"/>
      <c r="W182" s="10"/>
      <c r="X182" s="10"/>
      <c r="Y182" s="10"/>
      <c r="Z182" s="10"/>
      <c r="AA182" s="10"/>
      <c r="AB182" s="10"/>
      <c r="AC182" s="10"/>
      <c r="AD182" s="10"/>
      <c r="AE182" s="10"/>
      <c r="AF182" s="10"/>
      <c r="AG182" s="10"/>
      <c r="AH182" s="10"/>
      <c r="AI182" s="10"/>
      <c r="AJ182" s="10"/>
      <c r="AK182" s="10"/>
      <c r="AL182" s="10"/>
      <c r="AM182" s="10"/>
      <c r="AN182" s="10"/>
      <c r="AO182" s="10"/>
      <c r="AP182" s="10"/>
      <c r="AQ182" s="10"/>
      <c r="AR182" s="10"/>
      <c r="AS182" s="10"/>
      <c r="AT182" s="10"/>
      <c r="AU182" s="10"/>
      <c r="AV182" s="10"/>
      <c r="AW182" s="10"/>
      <c r="AX182" s="10"/>
      <c r="AY182" s="10"/>
      <c r="AZ182" s="10"/>
    </row>
    <row r="183" spans="1:5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0"/>
      <c r="M183" s="10"/>
      <c r="N183" s="10"/>
      <c r="O183" s="10"/>
      <c r="P183" s="10"/>
      <c r="Q183" s="10"/>
      <c r="R183" s="10"/>
      <c r="S183" s="10"/>
      <c r="T183" s="10"/>
      <c r="U183" s="10"/>
      <c r="V183" s="10"/>
      <c r="W183" s="10"/>
      <c r="X183" s="10"/>
      <c r="Y183" s="10"/>
      <c r="Z183" s="10"/>
      <c r="AA183" s="10"/>
      <c r="AB183" s="10"/>
      <c r="AC183" s="10"/>
      <c r="AD183" s="10"/>
      <c r="AE183" s="10"/>
      <c r="AF183" s="10"/>
      <c r="AG183" s="10"/>
      <c r="AH183" s="10"/>
      <c r="AI183" s="10"/>
      <c r="AJ183" s="10"/>
      <c r="AK183" s="10"/>
      <c r="AL183" s="10"/>
      <c r="AM183" s="10"/>
      <c r="AN183" s="10"/>
      <c r="AO183" s="10"/>
      <c r="AP183" s="10"/>
      <c r="AQ183" s="10"/>
      <c r="AR183" s="10"/>
      <c r="AS183" s="10"/>
      <c r="AT183" s="10"/>
      <c r="AU183" s="10"/>
      <c r="AV183" s="10"/>
      <c r="AW183" s="10"/>
      <c r="AX183" s="10"/>
      <c r="AY183" s="10"/>
      <c r="AZ183" s="10"/>
    </row>
    <row r="184" spans="1:5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0"/>
      <c r="M184" s="10"/>
      <c r="N184" s="10"/>
      <c r="O184" s="10"/>
      <c r="P184" s="10"/>
      <c r="Q184" s="10"/>
      <c r="R184" s="10"/>
      <c r="S184" s="10"/>
      <c r="T184" s="10"/>
      <c r="U184" s="10"/>
      <c r="V184" s="10"/>
      <c r="W184" s="10"/>
      <c r="X184" s="10"/>
      <c r="Y184" s="10"/>
      <c r="Z184" s="10"/>
      <c r="AA184" s="10"/>
      <c r="AB184" s="10"/>
      <c r="AC184" s="10"/>
      <c r="AD184" s="10"/>
      <c r="AE184" s="10"/>
      <c r="AF184" s="10"/>
      <c r="AG184" s="10"/>
      <c r="AH184" s="10"/>
      <c r="AI184" s="10"/>
      <c r="AJ184" s="10"/>
      <c r="AK184" s="10"/>
      <c r="AL184" s="10"/>
      <c r="AM184" s="10"/>
      <c r="AN184" s="10"/>
      <c r="AO184" s="10"/>
      <c r="AP184" s="10"/>
      <c r="AQ184" s="10"/>
      <c r="AR184" s="10"/>
      <c r="AS184" s="10"/>
      <c r="AT184" s="10"/>
      <c r="AU184" s="10"/>
      <c r="AV184" s="10"/>
      <c r="AW184" s="10"/>
      <c r="AX184" s="10"/>
      <c r="AY184" s="10"/>
      <c r="AZ184" s="10"/>
    </row>
    <row r="185" spans="1:5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0"/>
      <c r="M185" s="10"/>
      <c r="N185" s="10"/>
      <c r="O185" s="10"/>
      <c r="P185" s="10"/>
      <c r="Q185" s="10"/>
      <c r="R185" s="10"/>
      <c r="S185" s="10"/>
      <c r="T185" s="10"/>
      <c r="U185" s="10"/>
      <c r="V185" s="10"/>
      <c r="W185" s="10"/>
      <c r="X185" s="10"/>
      <c r="Y185" s="10"/>
      <c r="Z185" s="10"/>
      <c r="AA185" s="10"/>
      <c r="AB185" s="10"/>
      <c r="AC185" s="10"/>
      <c r="AD185" s="10"/>
      <c r="AE185" s="10"/>
      <c r="AF185" s="10"/>
      <c r="AG185" s="10"/>
      <c r="AH185" s="10"/>
      <c r="AI185" s="10"/>
      <c r="AJ185" s="10"/>
      <c r="AK185" s="10"/>
      <c r="AL185" s="10"/>
      <c r="AM185" s="10"/>
      <c r="AN185" s="10"/>
      <c r="AO185" s="10"/>
      <c r="AP185" s="10"/>
      <c r="AQ185" s="10"/>
      <c r="AR185" s="10"/>
      <c r="AS185" s="10"/>
      <c r="AT185" s="10"/>
      <c r="AU185" s="10"/>
      <c r="AV185" s="10"/>
      <c r="AW185" s="10"/>
      <c r="AX185" s="10"/>
      <c r="AY185" s="10"/>
      <c r="AZ185" s="10"/>
    </row>
    <row r="186" spans="1:5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0"/>
      <c r="M186" s="10"/>
      <c r="N186" s="10"/>
      <c r="O186" s="10"/>
      <c r="P186" s="10"/>
      <c r="Q186" s="10"/>
      <c r="R186" s="10"/>
      <c r="S186" s="10"/>
      <c r="T186" s="10"/>
      <c r="U186" s="10"/>
      <c r="V186" s="10"/>
      <c r="W186" s="10"/>
      <c r="X186" s="10"/>
      <c r="Y186" s="10"/>
      <c r="Z186" s="10"/>
      <c r="AA186" s="10"/>
      <c r="AB186" s="10"/>
      <c r="AC186" s="10"/>
      <c r="AD186" s="10"/>
      <c r="AE186" s="10"/>
      <c r="AF186" s="10"/>
      <c r="AG186" s="10"/>
      <c r="AH186" s="10"/>
      <c r="AI186" s="10"/>
      <c r="AJ186" s="10"/>
      <c r="AK186" s="10"/>
      <c r="AL186" s="10"/>
      <c r="AM186" s="10"/>
      <c r="AN186" s="10"/>
      <c r="AO186" s="10"/>
      <c r="AP186" s="10"/>
      <c r="AQ186" s="10"/>
      <c r="AR186" s="10"/>
      <c r="AS186" s="10"/>
      <c r="AT186" s="10"/>
      <c r="AU186" s="10"/>
      <c r="AV186" s="10"/>
      <c r="AW186" s="10"/>
      <c r="AX186" s="10"/>
      <c r="AY186" s="10"/>
      <c r="AZ186" s="10"/>
    </row>
    <row r="187" spans="1:5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0"/>
      <c r="M187" s="10"/>
      <c r="N187" s="10"/>
      <c r="O187" s="10"/>
      <c r="P187" s="10"/>
      <c r="Q187" s="10"/>
      <c r="R187" s="10"/>
      <c r="S187" s="10"/>
      <c r="T187" s="10"/>
      <c r="U187" s="10"/>
      <c r="V187" s="10"/>
      <c r="W187" s="10"/>
      <c r="X187" s="10"/>
      <c r="Y187" s="10"/>
      <c r="Z187" s="10"/>
      <c r="AA187" s="10"/>
      <c r="AB187" s="10"/>
      <c r="AC187" s="10"/>
      <c r="AD187" s="10"/>
      <c r="AE187" s="10"/>
      <c r="AF187" s="10"/>
      <c r="AG187" s="10"/>
      <c r="AH187" s="10"/>
      <c r="AI187" s="10"/>
      <c r="AJ187" s="10"/>
      <c r="AK187" s="10"/>
      <c r="AL187" s="10"/>
      <c r="AM187" s="10"/>
      <c r="AN187" s="10"/>
      <c r="AO187" s="10"/>
      <c r="AP187" s="10"/>
      <c r="AQ187" s="10"/>
      <c r="AR187" s="10"/>
      <c r="AS187" s="10"/>
      <c r="AT187" s="10"/>
      <c r="AU187" s="10"/>
      <c r="AV187" s="10"/>
      <c r="AW187" s="10"/>
      <c r="AX187" s="10"/>
      <c r="AY187" s="10"/>
      <c r="AZ187" s="10"/>
    </row>
    <row r="188" spans="1:5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0"/>
      <c r="M188" s="10"/>
      <c r="N188" s="10"/>
      <c r="O188" s="10"/>
      <c r="P188" s="10"/>
      <c r="Q188" s="10"/>
      <c r="R188" s="10"/>
      <c r="S188" s="10"/>
      <c r="T188" s="10"/>
      <c r="U188" s="10"/>
      <c r="V188" s="10"/>
      <c r="W188" s="10"/>
      <c r="X188" s="10"/>
      <c r="Y188" s="10"/>
      <c r="Z188" s="10"/>
      <c r="AA188" s="10"/>
      <c r="AB188" s="10"/>
      <c r="AC188" s="10"/>
      <c r="AD188" s="10"/>
      <c r="AE188" s="10"/>
      <c r="AF188" s="10"/>
      <c r="AG188" s="10"/>
      <c r="AH188" s="10"/>
      <c r="AI188" s="10"/>
      <c r="AJ188" s="10"/>
      <c r="AK188" s="10"/>
      <c r="AL188" s="10"/>
      <c r="AM188" s="10"/>
      <c r="AN188" s="10"/>
      <c r="AO188" s="10"/>
      <c r="AP188" s="10"/>
      <c r="AQ188" s="10"/>
      <c r="AR188" s="10"/>
      <c r="AS188" s="10"/>
      <c r="AT188" s="10"/>
      <c r="AU188" s="10"/>
      <c r="AV188" s="10"/>
      <c r="AW188" s="10"/>
      <c r="AX188" s="10"/>
      <c r="AY188" s="10"/>
      <c r="AZ188" s="10"/>
    </row>
    <row r="189" spans="1:5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0"/>
      <c r="M189" s="10"/>
      <c r="N189" s="10"/>
      <c r="O189" s="10"/>
      <c r="P189" s="10"/>
      <c r="Q189" s="10"/>
      <c r="R189" s="10"/>
      <c r="S189" s="10"/>
      <c r="T189" s="10"/>
      <c r="U189" s="10"/>
      <c r="V189" s="10"/>
      <c r="W189" s="10"/>
      <c r="X189" s="10"/>
      <c r="Y189" s="10"/>
      <c r="Z189" s="10"/>
      <c r="AA189" s="10"/>
      <c r="AB189" s="10"/>
      <c r="AC189" s="10"/>
      <c r="AD189" s="10"/>
      <c r="AE189" s="10"/>
      <c r="AF189" s="10"/>
      <c r="AG189" s="10"/>
      <c r="AH189" s="10"/>
      <c r="AI189" s="10"/>
      <c r="AJ189" s="10"/>
      <c r="AK189" s="10"/>
      <c r="AL189" s="10"/>
      <c r="AM189" s="10"/>
      <c r="AN189" s="10"/>
      <c r="AO189" s="10"/>
      <c r="AP189" s="10"/>
      <c r="AQ189" s="10"/>
      <c r="AR189" s="10"/>
      <c r="AS189" s="10"/>
      <c r="AT189" s="10"/>
      <c r="AU189" s="10"/>
      <c r="AV189" s="10"/>
      <c r="AW189" s="10"/>
      <c r="AX189" s="10"/>
      <c r="AY189" s="10"/>
      <c r="AZ189" s="10"/>
    </row>
    <row r="190" spans="1:5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0"/>
      <c r="M190" s="10"/>
      <c r="N190" s="10"/>
      <c r="O190" s="10"/>
      <c r="P190" s="10"/>
      <c r="Q190" s="10"/>
      <c r="R190" s="10"/>
      <c r="S190" s="10"/>
      <c r="T190" s="10"/>
      <c r="U190" s="10"/>
      <c r="V190" s="10"/>
      <c r="W190" s="10"/>
      <c r="X190" s="10"/>
      <c r="Y190" s="10"/>
      <c r="Z190" s="10"/>
      <c r="AA190" s="10"/>
      <c r="AB190" s="10"/>
      <c r="AC190" s="10"/>
      <c r="AD190" s="10"/>
      <c r="AE190" s="10"/>
      <c r="AF190" s="10"/>
      <c r="AG190" s="10"/>
      <c r="AH190" s="10"/>
      <c r="AI190" s="10"/>
      <c r="AJ190" s="10"/>
      <c r="AK190" s="10"/>
      <c r="AL190" s="10"/>
      <c r="AM190" s="10"/>
      <c r="AN190" s="10"/>
      <c r="AO190" s="10"/>
      <c r="AP190" s="10"/>
      <c r="AQ190" s="10"/>
      <c r="AR190" s="10"/>
      <c r="AS190" s="10"/>
      <c r="AT190" s="10"/>
      <c r="AU190" s="10"/>
      <c r="AV190" s="10"/>
      <c r="AW190" s="10"/>
      <c r="AX190" s="10"/>
      <c r="AY190" s="10"/>
      <c r="AZ190" s="10"/>
    </row>
    <row r="191" spans="1:5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0"/>
      <c r="M191" s="10"/>
      <c r="N191" s="10"/>
      <c r="O191" s="10"/>
      <c r="P191" s="10"/>
      <c r="Q191" s="10"/>
      <c r="R191" s="10"/>
      <c r="S191" s="10"/>
      <c r="T191" s="10"/>
      <c r="U191" s="10"/>
      <c r="V191" s="10"/>
      <c r="W191" s="10"/>
      <c r="X191" s="10"/>
      <c r="Y191" s="10"/>
      <c r="Z191" s="10"/>
      <c r="AA191" s="10"/>
      <c r="AB191" s="10"/>
      <c r="AC191" s="10"/>
      <c r="AD191" s="10"/>
      <c r="AE191" s="10"/>
      <c r="AF191" s="10"/>
      <c r="AG191" s="10"/>
      <c r="AH191" s="10"/>
      <c r="AI191" s="10"/>
      <c r="AJ191" s="10"/>
      <c r="AK191" s="10"/>
      <c r="AL191" s="10"/>
      <c r="AM191" s="10"/>
      <c r="AN191" s="10"/>
      <c r="AO191" s="10"/>
      <c r="AP191" s="10"/>
      <c r="AQ191" s="10"/>
      <c r="AR191" s="10"/>
      <c r="AS191" s="10"/>
      <c r="AT191" s="10"/>
      <c r="AU191" s="10"/>
      <c r="AV191" s="10"/>
      <c r="AW191" s="10"/>
      <c r="AX191" s="10"/>
      <c r="AY191" s="10"/>
      <c r="AZ191" s="10"/>
    </row>
    <row r="192" spans="1:5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0"/>
      <c r="M192" s="10"/>
      <c r="N192" s="10"/>
      <c r="O192" s="10"/>
      <c r="P192" s="10"/>
      <c r="Q192" s="10"/>
      <c r="R192" s="10"/>
      <c r="S192" s="10"/>
      <c r="T192" s="10"/>
      <c r="U192" s="10"/>
      <c r="V192" s="10"/>
      <c r="W192" s="10"/>
      <c r="X192" s="10"/>
      <c r="Y192" s="10"/>
      <c r="Z192" s="10"/>
      <c r="AA192" s="10"/>
      <c r="AB192" s="10"/>
      <c r="AC192" s="10"/>
      <c r="AD192" s="10"/>
      <c r="AE192" s="10"/>
      <c r="AF192" s="10"/>
      <c r="AG192" s="10"/>
      <c r="AH192" s="10"/>
      <c r="AI192" s="10"/>
      <c r="AJ192" s="10"/>
      <c r="AK192" s="10"/>
      <c r="AL192" s="10"/>
      <c r="AM192" s="10"/>
      <c r="AN192" s="10"/>
      <c r="AO192" s="10"/>
      <c r="AP192" s="10"/>
      <c r="AQ192" s="10"/>
      <c r="AR192" s="10"/>
      <c r="AS192" s="10"/>
      <c r="AT192" s="10"/>
      <c r="AU192" s="10"/>
      <c r="AV192" s="10"/>
      <c r="AW192" s="10"/>
      <c r="AX192" s="10"/>
      <c r="AY192" s="10"/>
      <c r="AZ192" s="10"/>
    </row>
    <row r="193" spans="1:5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0"/>
      <c r="M193" s="10"/>
      <c r="N193" s="10"/>
      <c r="O193" s="10"/>
      <c r="P193" s="10"/>
      <c r="Q193" s="10"/>
      <c r="R193" s="10"/>
      <c r="S193" s="10"/>
      <c r="T193" s="10"/>
      <c r="U193" s="10"/>
      <c r="V193" s="10"/>
      <c r="W193" s="10"/>
      <c r="X193" s="10"/>
      <c r="Y193" s="10"/>
      <c r="Z193" s="10"/>
      <c r="AA193" s="10"/>
      <c r="AB193" s="10"/>
      <c r="AC193" s="10"/>
      <c r="AD193" s="10"/>
      <c r="AE193" s="10"/>
      <c r="AF193" s="10"/>
      <c r="AG193" s="10"/>
      <c r="AH193" s="10"/>
      <c r="AI193" s="10"/>
      <c r="AJ193" s="10"/>
      <c r="AK193" s="10"/>
      <c r="AL193" s="10"/>
      <c r="AM193" s="10"/>
      <c r="AN193" s="10"/>
      <c r="AO193" s="10"/>
      <c r="AP193" s="10"/>
      <c r="AQ193" s="10"/>
      <c r="AR193" s="10"/>
      <c r="AS193" s="10"/>
      <c r="AT193" s="10"/>
      <c r="AU193" s="10"/>
      <c r="AV193" s="10"/>
      <c r="AW193" s="10"/>
      <c r="AX193" s="10"/>
      <c r="AY193" s="10"/>
      <c r="AZ193" s="10"/>
    </row>
    <row r="194" spans="1:5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0"/>
      <c r="M194" s="10"/>
      <c r="N194" s="10"/>
      <c r="O194" s="10"/>
      <c r="P194" s="10"/>
      <c r="Q194" s="10"/>
      <c r="R194" s="10"/>
      <c r="S194" s="10"/>
      <c r="T194" s="10"/>
      <c r="U194" s="10"/>
      <c r="V194" s="10"/>
      <c r="W194" s="10"/>
      <c r="X194" s="10"/>
      <c r="Y194" s="10"/>
      <c r="Z194" s="10"/>
      <c r="AA194" s="10"/>
      <c r="AB194" s="10"/>
      <c r="AC194" s="10"/>
      <c r="AD194" s="10"/>
      <c r="AE194" s="10"/>
      <c r="AF194" s="10"/>
      <c r="AG194" s="10"/>
      <c r="AH194" s="10"/>
      <c r="AI194" s="10"/>
      <c r="AJ194" s="10"/>
      <c r="AK194" s="10"/>
      <c r="AL194" s="10"/>
      <c r="AM194" s="10"/>
      <c r="AN194" s="10"/>
      <c r="AO194" s="10"/>
      <c r="AP194" s="10"/>
      <c r="AQ194" s="10"/>
      <c r="AR194" s="10"/>
      <c r="AS194" s="10"/>
      <c r="AT194" s="10"/>
      <c r="AU194" s="10"/>
      <c r="AV194" s="10"/>
      <c r="AW194" s="10"/>
      <c r="AX194" s="10"/>
      <c r="AY194" s="10"/>
      <c r="AZ194" s="10"/>
    </row>
    <row r="195" spans="1:5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0"/>
      <c r="M195" s="10"/>
      <c r="N195" s="10"/>
      <c r="O195" s="10"/>
      <c r="P195" s="10"/>
      <c r="Q195" s="10"/>
      <c r="R195" s="10"/>
      <c r="S195" s="10"/>
      <c r="T195" s="10"/>
      <c r="U195" s="10"/>
      <c r="V195" s="10"/>
      <c r="W195" s="10"/>
      <c r="X195" s="10"/>
      <c r="Y195" s="10"/>
      <c r="Z195" s="10"/>
      <c r="AA195" s="10"/>
      <c r="AB195" s="10"/>
      <c r="AC195" s="10"/>
      <c r="AD195" s="10"/>
      <c r="AE195" s="10"/>
      <c r="AF195" s="10"/>
      <c r="AG195" s="10"/>
      <c r="AH195" s="10"/>
      <c r="AI195" s="10"/>
      <c r="AJ195" s="10"/>
      <c r="AK195" s="10"/>
      <c r="AL195" s="10"/>
      <c r="AM195" s="10"/>
      <c r="AN195" s="10"/>
      <c r="AO195" s="10"/>
      <c r="AP195" s="10"/>
      <c r="AQ195" s="10"/>
      <c r="AR195" s="10"/>
      <c r="AS195" s="10"/>
      <c r="AT195" s="10"/>
      <c r="AU195" s="10"/>
      <c r="AV195" s="10"/>
      <c r="AW195" s="10"/>
      <c r="AX195" s="10"/>
      <c r="AY195" s="10"/>
      <c r="AZ195" s="10"/>
    </row>
    <row r="196" spans="1:5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0"/>
      <c r="M196" s="10"/>
      <c r="N196" s="10"/>
      <c r="O196" s="10"/>
      <c r="P196" s="10"/>
      <c r="Q196" s="10"/>
      <c r="R196" s="10"/>
      <c r="S196" s="10"/>
      <c r="T196" s="10"/>
      <c r="U196" s="10"/>
      <c r="V196" s="10"/>
      <c r="W196" s="10"/>
      <c r="X196" s="10"/>
      <c r="Y196" s="10"/>
      <c r="Z196" s="10"/>
      <c r="AA196" s="10"/>
      <c r="AB196" s="10"/>
      <c r="AC196" s="10"/>
      <c r="AD196" s="10"/>
      <c r="AE196" s="10"/>
      <c r="AF196" s="10"/>
      <c r="AG196" s="10"/>
      <c r="AH196" s="10"/>
      <c r="AI196" s="10"/>
      <c r="AJ196" s="10"/>
      <c r="AK196" s="10"/>
      <c r="AL196" s="10"/>
      <c r="AM196" s="10"/>
      <c r="AN196" s="10"/>
      <c r="AO196" s="10"/>
      <c r="AP196" s="10"/>
      <c r="AQ196" s="10"/>
      <c r="AR196" s="10"/>
      <c r="AS196" s="10"/>
      <c r="AT196" s="10"/>
      <c r="AU196" s="10"/>
      <c r="AV196" s="10"/>
      <c r="AW196" s="10"/>
      <c r="AX196" s="10"/>
      <c r="AY196" s="10"/>
      <c r="AZ196" s="10"/>
    </row>
    <row r="197" spans="1:5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0"/>
      <c r="M197" s="10"/>
      <c r="N197" s="10"/>
      <c r="O197" s="10"/>
      <c r="P197" s="10"/>
      <c r="Q197" s="10"/>
      <c r="R197" s="10"/>
      <c r="S197" s="10"/>
      <c r="T197" s="10"/>
      <c r="U197" s="10"/>
      <c r="V197" s="10"/>
      <c r="W197" s="10"/>
      <c r="X197" s="10"/>
      <c r="Y197" s="10"/>
      <c r="Z197" s="10"/>
      <c r="AA197" s="10"/>
      <c r="AB197" s="10"/>
      <c r="AC197" s="10"/>
      <c r="AD197" s="10"/>
      <c r="AE197" s="10"/>
      <c r="AF197" s="10"/>
      <c r="AG197" s="10"/>
      <c r="AH197" s="10"/>
      <c r="AI197" s="10"/>
      <c r="AJ197" s="10"/>
      <c r="AK197" s="10"/>
      <c r="AL197" s="10"/>
      <c r="AM197" s="10"/>
      <c r="AN197" s="10"/>
      <c r="AO197" s="10"/>
      <c r="AP197" s="10"/>
      <c r="AQ197" s="10"/>
      <c r="AR197" s="10"/>
      <c r="AS197" s="10"/>
      <c r="AT197" s="10"/>
      <c r="AU197" s="10"/>
      <c r="AV197" s="10"/>
      <c r="AW197" s="10"/>
      <c r="AX197" s="10"/>
      <c r="AY197" s="10"/>
      <c r="AZ197" s="10"/>
    </row>
    <row r="198" spans="1:5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0"/>
      <c r="M198" s="10"/>
      <c r="N198" s="10"/>
      <c r="O198" s="10"/>
      <c r="P198" s="10"/>
      <c r="Q198" s="10"/>
      <c r="R198" s="10"/>
      <c r="S198" s="10"/>
      <c r="T198" s="10"/>
      <c r="U198" s="10"/>
      <c r="V198" s="10"/>
      <c r="W198" s="10"/>
      <c r="X198" s="10"/>
      <c r="Y198" s="10"/>
      <c r="Z198" s="10"/>
      <c r="AA198" s="10"/>
      <c r="AB198" s="10"/>
      <c r="AC198" s="10"/>
      <c r="AD198" s="10"/>
      <c r="AE198" s="10"/>
      <c r="AF198" s="10"/>
      <c r="AG198" s="10"/>
      <c r="AH198" s="10"/>
      <c r="AI198" s="10"/>
      <c r="AJ198" s="10"/>
      <c r="AK198" s="10"/>
      <c r="AL198" s="10"/>
      <c r="AM198" s="10"/>
      <c r="AN198" s="10"/>
      <c r="AO198" s="10"/>
      <c r="AP198" s="10"/>
      <c r="AQ198" s="10"/>
      <c r="AR198" s="10"/>
      <c r="AS198" s="10"/>
      <c r="AT198" s="10"/>
      <c r="AU198" s="10"/>
      <c r="AV198" s="10"/>
      <c r="AW198" s="10"/>
      <c r="AX198" s="10"/>
      <c r="AY198" s="10"/>
      <c r="AZ198" s="10"/>
    </row>
    <row r="199" spans="1:5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0"/>
      <c r="M199" s="10"/>
      <c r="N199" s="10"/>
      <c r="O199" s="10"/>
      <c r="P199" s="10"/>
      <c r="Q199" s="10"/>
      <c r="R199" s="10"/>
      <c r="S199" s="10"/>
      <c r="T199" s="10"/>
      <c r="U199" s="10"/>
      <c r="V199" s="10"/>
      <c r="W199" s="10"/>
      <c r="X199" s="10"/>
      <c r="Y199" s="10"/>
      <c r="Z199" s="10"/>
      <c r="AA199" s="10"/>
      <c r="AB199" s="10"/>
      <c r="AC199" s="10"/>
      <c r="AD199" s="10"/>
      <c r="AE199" s="10"/>
      <c r="AF199" s="10"/>
      <c r="AG199" s="10"/>
      <c r="AH199" s="10"/>
      <c r="AI199" s="10"/>
      <c r="AJ199" s="10"/>
      <c r="AK199" s="10"/>
      <c r="AL199" s="10"/>
      <c r="AM199" s="10"/>
      <c r="AN199" s="10"/>
      <c r="AO199" s="10"/>
      <c r="AP199" s="10"/>
      <c r="AQ199" s="10"/>
      <c r="AR199" s="10"/>
      <c r="AS199" s="10"/>
      <c r="AT199" s="10"/>
      <c r="AU199" s="10"/>
      <c r="AV199" s="10"/>
      <c r="AW199" s="10"/>
      <c r="AX199" s="10"/>
      <c r="AY199" s="10"/>
      <c r="AZ199" s="10"/>
    </row>
    <row r="200" spans="1:5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0"/>
      <c r="M200" s="10"/>
      <c r="N200" s="10"/>
      <c r="O200" s="10"/>
      <c r="P200" s="10"/>
      <c r="Q200" s="10"/>
      <c r="R200" s="10"/>
      <c r="S200" s="10"/>
      <c r="T200" s="10"/>
      <c r="U200" s="10"/>
      <c r="V200" s="10"/>
      <c r="W200" s="10"/>
      <c r="X200" s="10"/>
      <c r="Y200" s="10"/>
      <c r="Z200" s="10"/>
      <c r="AA200" s="10"/>
      <c r="AB200" s="10"/>
      <c r="AC200" s="10"/>
      <c r="AD200" s="10"/>
      <c r="AE200" s="10"/>
      <c r="AF200" s="10"/>
      <c r="AG200" s="10"/>
      <c r="AH200" s="10"/>
      <c r="AI200" s="10"/>
      <c r="AJ200" s="10"/>
      <c r="AK200" s="10"/>
      <c r="AL200" s="10"/>
      <c r="AM200" s="10"/>
      <c r="AN200" s="10"/>
      <c r="AO200" s="10"/>
      <c r="AP200" s="10"/>
      <c r="AQ200" s="10"/>
      <c r="AR200" s="10"/>
      <c r="AS200" s="10"/>
      <c r="AT200" s="10"/>
      <c r="AU200" s="10"/>
      <c r="AV200" s="10"/>
      <c r="AW200" s="10"/>
      <c r="AX200" s="10"/>
      <c r="AY200" s="10"/>
      <c r="AZ200" s="10"/>
    </row>
    <row r="201" spans="1:5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0"/>
      <c r="M201" s="10"/>
      <c r="N201" s="10"/>
      <c r="O201" s="10"/>
      <c r="P201" s="10"/>
      <c r="Q201" s="10"/>
      <c r="R201" s="10"/>
      <c r="S201" s="10"/>
      <c r="T201" s="10"/>
      <c r="U201" s="10"/>
      <c r="V201" s="10"/>
      <c r="W201" s="10"/>
      <c r="X201" s="10"/>
      <c r="Y201" s="10"/>
      <c r="Z201" s="10"/>
      <c r="AA201" s="10"/>
      <c r="AB201" s="10"/>
      <c r="AC201" s="10"/>
      <c r="AD201" s="10"/>
      <c r="AE201" s="10"/>
      <c r="AF201" s="10"/>
      <c r="AG201" s="10"/>
      <c r="AH201" s="10"/>
      <c r="AI201" s="10"/>
      <c r="AJ201" s="10"/>
      <c r="AK201" s="10"/>
      <c r="AL201" s="10"/>
      <c r="AM201" s="10"/>
      <c r="AN201" s="10"/>
      <c r="AO201" s="10"/>
      <c r="AP201" s="10"/>
      <c r="AQ201" s="10"/>
      <c r="AR201" s="10"/>
      <c r="AS201" s="10"/>
      <c r="AT201" s="10"/>
      <c r="AU201" s="10"/>
      <c r="AV201" s="10"/>
      <c r="AW201" s="10"/>
      <c r="AX201" s="10"/>
      <c r="AY201" s="10"/>
      <c r="AZ201" s="10"/>
    </row>
    <row r="202" spans="1:5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0"/>
      <c r="M202" s="10"/>
      <c r="N202" s="10"/>
      <c r="O202" s="10"/>
      <c r="P202" s="10"/>
      <c r="Q202" s="10"/>
      <c r="R202" s="10"/>
      <c r="S202" s="10"/>
      <c r="T202" s="10"/>
      <c r="U202" s="10"/>
      <c r="V202" s="10"/>
      <c r="W202" s="10"/>
      <c r="X202" s="10"/>
      <c r="Y202" s="10"/>
      <c r="Z202" s="10"/>
      <c r="AA202" s="10"/>
      <c r="AB202" s="10"/>
      <c r="AC202" s="10"/>
      <c r="AD202" s="10"/>
      <c r="AE202" s="10"/>
      <c r="AF202" s="10"/>
      <c r="AG202" s="10"/>
      <c r="AH202" s="10"/>
      <c r="AI202" s="10"/>
      <c r="AJ202" s="10"/>
      <c r="AK202" s="10"/>
      <c r="AL202" s="10"/>
      <c r="AM202" s="10"/>
      <c r="AN202" s="10"/>
      <c r="AO202" s="10"/>
      <c r="AP202" s="10"/>
      <c r="AQ202" s="10"/>
      <c r="AR202" s="10"/>
      <c r="AS202" s="10"/>
      <c r="AT202" s="10"/>
      <c r="AU202" s="10"/>
      <c r="AV202" s="10"/>
      <c r="AW202" s="10"/>
      <c r="AX202" s="10"/>
      <c r="AY202" s="10"/>
      <c r="AZ202" s="10"/>
    </row>
    <row r="203" spans="1:5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0"/>
      <c r="M203" s="10"/>
      <c r="N203" s="10"/>
      <c r="O203" s="10"/>
      <c r="P203" s="10"/>
      <c r="Q203" s="10"/>
      <c r="R203" s="10"/>
      <c r="S203" s="10"/>
      <c r="T203" s="10"/>
      <c r="U203" s="10"/>
      <c r="V203" s="10"/>
      <c r="W203" s="10"/>
      <c r="X203" s="10"/>
      <c r="Y203" s="10"/>
      <c r="Z203" s="10"/>
      <c r="AA203" s="10"/>
      <c r="AB203" s="10"/>
      <c r="AC203" s="10"/>
      <c r="AD203" s="10"/>
      <c r="AE203" s="10"/>
      <c r="AF203" s="10"/>
      <c r="AG203" s="10"/>
      <c r="AH203" s="10"/>
      <c r="AI203" s="10"/>
      <c r="AJ203" s="10"/>
      <c r="AK203" s="10"/>
      <c r="AL203" s="10"/>
      <c r="AM203" s="10"/>
      <c r="AN203" s="10"/>
      <c r="AO203" s="10"/>
      <c r="AP203" s="10"/>
      <c r="AQ203" s="10"/>
      <c r="AR203" s="10"/>
      <c r="AS203" s="10"/>
      <c r="AT203" s="10"/>
      <c r="AU203" s="10"/>
      <c r="AV203" s="10"/>
      <c r="AW203" s="10"/>
      <c r="AX203" s="10"/>
      <c r="AY203" s="10"/>
      <c r="AZ203" s="10"/>
    </row>
    <row r="204" spans="1:5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0"/>
      <c r="M204" s="10"/>
      <c r="N204" s="10"/>
      <c r="O204" s="10"/>
      <c r="P204" s="10"/>
      <c r="Q204" s="10"/>
      <c r="R204" s="10"/>
      <c r="S204" s="10"/>
      <c r="T204" s="10"/>
      <c r="U204" s="10"/>
      <c r="V204" s="10"/>
      <c r="W204" s="10"/>
      <c r="X204" s="10"/>
      <c r="Y204" s="10"/>
      <c r="Z204" s="10"/>
      <c r="AA204" s="10"/>
      <c r="AB204" s="10"/>
      <c r="AC204" s="10"/>
      <c r="AD204" s="10"/>
      <c r="AE204" s="10"/>
      <c r="AF204" s="10"/>
      <c r="AG204" s="10"/>
      <c r="AH204" s="10"/>
      <c r="AI204" s="10"/>
      <c r="AJ204" s="10"/>
      <c r="AK204" s="10"/>
      <c r="AL204" s="10"/>
      <c r="AM204" s="10"/>
      <c r="AN204" s="10"/>
      <c r="AO204" s="10"/>
      <c r="AP204" s="10"/>
      <c r="AQ204" s="10"/>
      <c r="AR204" s="10"/>
      <c r="AS204" s="10"/>
      <c r="AT204" s="10"/>
      <c r="AU204" s="10"/>
      <c r="AV204" s="10"/>
      <c r="AW204" s="10"/>
      <c r="AX204" s="10"/>
      <c r="AY204" s="10"/>
      <c r="AZ204" s="10"/>
    </row>
    <row r="205" spans="1:5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0"/>
      <c r="M205" s="10"/>
      <c r="N205" s="10"/>
      <c r="O205" s="10"/>
      <c r="P205" s="10"/>
      <c r="Q205" s="10"/>
      <c r="R205" s="10"/>
      <c r="S205" s="10"/>
      <c r="T205" s="10"/>
      <c r="U205" s="10"/>
      <c r="V205" s="10"/>
      <c r="W205" s="10"/>
      <c r="X205" s="10"/>
      <c r="Y205" s="10"/>
      <c r="Z205" s="10"/>
      <c r="AA205" s="10"/>
      <c r="AB205" s="10"/>
      <c r="AC205" s="10"/>
      <c r="AD205" s="10"/>
      <c r="AE205" s="10"/>
      <c r="AF205" s="10"/>
      <c r="AG205" s="10"/>
      <c r="AH205" s="10"/>
      <c r="AI205" s="10"/>
      <c r="AJ205" s="10"/>
      <c r="AK205" s="10"/>
      <c r="AL205" s="10"/>
      <c r="AM205" s="10"/>
      <c r="AN205" s="10"/>
      <c r="AO205" s="10"/>
      <c r="AP205" s="10"/>
      <c r="AQ205" s="10"/>
      <c r="AR205" s="10"/>
      <c r="AS205" s="10"/>
      <c r="AT205" s="10"/>
      <c r="AU205" s="10"/>
      <c r="AV205" s="10"/>
      <c r="AW205" s="10"/>
      <c r="AX205" s="10"/>
      <c r="AY205" s="10"/>
      <c r="AZ205" s="10"/>
    </row>
    <row r="206" spans="1:5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0"/>
      <c r="M206" s="10"/>
      <c r="N206" s="10"/>
      <c r="O206" s="10"/>
      <c r="P206" s="10"/>
      <c r="Q206" s="10"/>
      <c r="R206" s="10"/>
      <c r="S206" s="10"/>
      <c r="T206" s="10"/>
      <c r="U206" s="10"/>
      <c r="V206" s="10"/>
      <c r="W206" s="10"/>
      <c r="X206" s="10"/>
      <c r="Y206" s="10"/>
      <c r="Z206" s="10"/>
      <c r="AA206" s="10"/>
      <c r="AB206" s="10"/>
      <c r="AC206" s="10"/>
      <c r="AD206" s="10"/>
      <c r="AE206" s="10"/>
      <c r="AF206" s="10"/>
      <c r="AG206" s="10"/>
      <c r="AH206" s="10"/>
      <c r="AI206" s="10"/>
      <c r="AJ206" s="10"/>
      <c r="AK206" s="10"/>
      <c r="AL206" s="10"/>
      <c r="AM206" s="10"/>
      <c r="AN206" s="10"/>
      <c r="AO206" s="10"/>
      <c r="AP206" s="10"/>
      <c r="AQ206" s="10"/>
      <c r="AR206" s="10"/>
      <c r="AS206" s="10"/>
      <c r="AT206" s="10"/>
      <c r="AU206" s="10"/>
      <c r="AV206" s="10"/>
      <c r="AW206" s="10"/>
      <c r="AX206" s="10"/>
      <c r="AY206" s="10"/>
      <c r="AZ206" s="10"/>
    </row>
    <row r="207" spans="1:5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0"/>
      <c r="M207" s="10"/>
      <c r="N207" s="10"/>
      <c r="O207" s="10"/>
      <c r="P207" s="10"/>
      <c r="Q207" s="10"/>
      <c r="R207" s="10"/>
      <c r="S207" s="10"/>
      <c r="T207" s="10"/>
      <c r="U207" s="10"/>
      <c r="V207" s="10"/>
      <c r="W207" s="10"/>
      <c r="X207" s="10"/>
      <c r="Y207" s="10"/>
      <c r="Z207" s="10"/>
      <c r="AA207" s="10"/>
      <c r="AB207" s="10"/>
      <c r="AC207" s="10"/>
      <c r="AD207" s="10"/>
      <c r="AE207" s="10"/>
      <c r="AF207" s="10"/>
      <c r="AG207" s="10"/>
      <c r="AH207" s="10"/>
      <c r="AI207" s="10"/>
      <c r="AJ207" s="10"/>
      <c r="AK207" s="10"/>
      <c r="AL207" s="10"/>
      <c r="AM207" s="10"/>
      <c r="AN207" s="10"/>
      <c r="AO207" s="10"/>
      <c r="AP207" s="10"/>
      <c r="AQ207" s="10"/>
      <c r="AR207" s="10"/>
      <c r="AS207" s="10"/>
      <c r="AT207" s="10"/>
      <c r="AU207" s="10"/>
      <c r="AV207" s="10"/>
      <c r="AW207" s="10"/>
      <c r="AX207" s="10"/>
      <c r="AY207" s="10"/>
      <c r="AZ207" s="10"/>
    </row>
    <row r="208" spans="1:5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0"/>
      <c r="M208" s="10"/>
      <c r="N208" s="10"/>
      <c r="O208" s="10"/>
      <c r="P208" s="10"/>
      <c r="Q208" s="10"/>
      <c r="R208" s="10"/>
      <c r="S208" s="10"/>
      <c r="T208" s="10"/>
      <c r="U208" s="10"/>
      <c r="V208" s="10"/>
      <c r="W208" s="10"/>
      <c r="X208" s="10"/>
      <c r="Y208" s="10"/>
      <c r="Z208" s="10"/>
      <c r="AA208" s="10"/>
      <c r="AB208" s="10"/>
      <c r="AC208" s="10"/>
      <c r="AD208" s="10"/>
      <c r="AE208" s="10"/>
      <c r="AF208" s="10"/>
      <c r="AG208" s="10"/>
      <c r="AH208" s="10"/>
      <c r="AI208" s="10"/>
      <c r="AJ208" s="10"/>
      <c r="AK208" s="10"/>
      <c r="AL208" s="10"/>
      <c r="AM208" s="10"/>
      <c r="AN208" s="10"/>
      <c r="AO208" s="10"/>
      <c r="AP208" s="10"/>
      <c r="AQ208" s="10"/>
      <c r="AR208" s="10"/>
      <c r="AS208" s="10"/>
      <c r="AT208" s="10"/>
      <c r="AU208" s="10"/>
      <c r="AV208" s="10"/>
      <c r="AW208" s="10"/>
      <c r="AX208" s="10"/>
      <c r="AY208" s="10"/>
      <c r="AZ208" s="10"/>
    </row>
    <row r="209" spans="1:5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0"/>
      <c r="M209" s="10"/>
      <c r="N209" s="10"/>
      <c r="O209" s="10"/>
      <c r="P209" s="10"/>
      <c r="Q209" s="10"/>
      <c r="R209" s="10"/>
      <c r="S209" s="10"/>
      <c r="T209" s="10"/>
      <c r="U209" s="10"/>
      <c r="V209" s="10"/>
      <c r="W209" s="10"/>
      <c r="X209" s="10"/>
      <c r="Y209" s="10"/>
      <c r="Z209" s="10"/>
      <c r="AA209" s="10"/>
      <c r="AB209" s="10"/>
      <c r="AC209" s="10"/>
      <c r="AD209" s="10"/>
      <c r="AE209" s="10"/>
      <c r="AF209" s="10"/>
      <c r="AG209" s="10"/>
      <c r="AH209" s="10"/>
      <c r="AI209" s="10"/>
      <c r="AJ209" s="10"/>
      <c r="AK209" s="10"/>
      <c r="AL209" s="10"/>
      <c r="AM209" s="10"/>
      <c r="AN209" s="10"/>
      <c r="AO209" s="10"/>
      <c r="AP209" s="10"/>
      <c r="AQ209" s="10"/>
      <c r="AR209" s="10"/>
      <c r="AS209" s="10"/>
      <c r="AT209" s="10"/>
      <c r="AU209" s="10"/>
      <c r="AV209" s="10"/>
      <c r="AW209" s="10"/>
      <c r="AX209" s="10"/>
      <c r="AY209" s="10"/>
      <c r="AZ209" s="10"/>
    </row>
    <row r="210" spans="1:5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0"/>
      <c r="M210" s="10"/>
      <c r="N210" s="10"/>
      <c r="O210" s="10"/>
      <c r="P210" s="10"/>
      <c r="Q210" s="10"/>
      <c r="R210" s="10"/>
      <c r="S210" s="10"/>
      <c r="T210" s="10"/>
      <c r="U210" s="10"/>
      <c r="V210" s="10"/>
      <c r="W210" s="10"/>
      <c r="X210" s="10"/>
      <c r="Y210" s="10"/>
      <c r="Z210" s="10"/>
      <c r="AA210" s="10"/>
      <c r="AB210" s="10"/>
      <c r="AC210" s="10"/>
      <c r="AD210" s="10"/>
      <c r="AE210" s="10"/>
      <c r="AF210" s="10"/>
      <c r="AG210" s="10"/>
      <c r="AH210" s="10"/>
      <c r="AI210" s="10"/>
      <c r="AJ210" s="10"/>
      <c r="AK210" s="10"/>
      <c r="AL210" s="10"/>
      <c r="AM210" s="10"/>
      <c r="AN210" s="10"/>
      <c r="AO210" s="10"/>
      <c r="AP210" s="10"/>
      <c r="AQ210" s="10"/>
      <c r="AR210" s="10"/>
      <c r="AS210" s="10"/>
      <c r="AT210" s="10"/>
      <c r="AU210" s="10"/>
      <c r="AV210" s="10"/>
      <c r="AW210" s="10"/>
      <c r="AX210" s="10"/>
      <c r="AY210" s="10"/>
      <c r="AZ210" s="10"/>
    </row>
    <row r="211" spans="1:5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0"/>
      <c r="M211" s="10"/>
      <c r="N211" s="10"/>
      <c r="O211" s="10"/>
      <c r="P211" s="10"/>
      <c r="Q211" s="10"/>
      <c r="R211" s="10"/>
      <c r="S211" s="10"/>
      <c r="T211" s="10"/>
      <c r="U211" s="10"/>
      <c r="V211" s="10"/>
      <c r="W211" s="10"/>
      <c r="X211" s="10"/>
      <c r="Y211" s="10"/>
      <c r="Z211" s="10"/>
      <c r="AA211" s="10"/>
      <c r="AB211" s="10"/>
      <c r="AC211" s="10"/>
      <c r="AD211" s="10"/>
      <c r="AE211" s="10"/>
      <c r="AF211" s="10"/>
      <c r="AG211" s="10"/>
      <c r="AH211" s="10"/>
      <c r="AI211" s="10"/>
      <c r="AJ211" s="10"/>
      <c r="AK211" s="10"/>
      <c r="AL211" s="10"/>
      <c r="AM211" s="10"/>
      <c r="AN211" s="10"/>
      <c r="AO211" s="10"/>
      <c r="AP211" s="10"/>
      <c r="AQ211" s="10"/>
      <c r="AR211" s="10"/>
      <c r="AS211" s="10"/>
      <c r="AT211" s="10"/>
      <c r="AU211" s="10"/>
      <c r="AV211" s="10"/>
      <c r="AW211" s="10"/>
      <c r="AX211" s="10"/>
      <c r="AY211" s="10"/>
      <c r="AZ211" s="10"/>
    </row>
    <row r="212" spans="1:5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0"/>
      <c r="M212" s="10"/>
      <c r="N212" s="10"/>
      <c r="O212" s="10"/>
      <c r="P212" s="10"/>
      <c r="Q212" s="10"/>
      <c r="R212" s="10"/>
      <c r="S212" s="10"/>
      <c r="T212" s="10"/>
      <c r="U212" s="10"/>
      <c r="V212" s="10"/>
      <c r="W212" s="10"/>
      <c r="X212" s="10"/>
      <c r="Y212" s="10"/>
      <c r="Z212" s="10"/>
      <c r="AA212" s="10"/>
      <c r="AB212" s="10"/>
      <c r="AC212" s="10"/>
      <c r="AD212" s="10"/>
      <c r="AE212" s="10"/>
      <c r="AF212" s="10"/>
      <c r="AG212" s="10"/>
      <c r="AH212" s="10"/>
      <c r="AI212" s="10"/>
      <c r="AJ212" s="10"/>
      <c r="AK212" s="10"/>
      <c r="AL212" s="10"/>
      <c r="AM212" s="10"/>
      <c r="AN212" s="10"/>
      <c r="AO212" s="10"/>
      <c r="AP212" s="10"/>
      <c r="AQ212" s="10"/>
      <c r="AR212" s="10"/>
      <c r="AS212" s="10"/>
      <c r="AT212" s="10"/>
      <c r="AU212" s="10"/>
      <c r="AV212" s="10"/>
      <c r="AW212" s="10"/>
      <c r="AX212" s="10"/>
      <c r="AY212" s="10"/>
      <c r="AZ212" s="10"/>
    </row>
    <row r="213" spans="1:5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0"/>
      <c r="M213" s="10"/>
      <c r="N213" s="10"/>
      <c r="O213" s="10"/>
      <c r="P213" s="10"/>
      <c r="Q213" s="10"/>
      <c r="R213" s="10"/>
      <c r="S213" s="10"/>
      <c r="T213" s="10"/>
      <c r="U213" s="10"/>
      <c r="V213" s="10"/>
      <c r="W213" s="10"/>
      <c r="X213" s="10"/>
      <c r="Y213" s="10"/>
      <c r="Z213" s="10"/>
      <c r="AA213" s="10"/>
      <c r="AB213" s="10"/>
      <c r="AC213" s="10"/>
      <c r="AD213" s="10"/>
      <c r="AE213" s="10"/>
      <c r="AF213" s="10"/>
      <c r="AG213" s="10"/>
      <c r="AH213" s="10"/>
      <c r="AI213" s="10"/>
      <c r="AJ213" s="10"/>
      <c r="AK213" s="10"/>
      <c r="AL213" s="10"/>
      <c r="AM213" s="10"/>
      <c r="AN213" s="10"/>
      <c r="AO213" s="10"/>
      <c r="AP213" s="10"/>
      <c r="AQ213" s="10"/>
      <c r="AR213" s="10"/>
      <c r="AS213" s="10"/>
      <c r="AT213" s="10"/>
      <c r="AU213" s="10"/>
      <c r="AV213" s="10"/>
      <c r="AW213" s="10"/>
      <c r="AX213" s="10"/>
      <c r="AY213" s="10"/>
      <c r="AZ213" s="10"/>
    </row>
    <row r="214" spans="1:5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0"/>
      <c r="M214" s="10"/>
      <c r="N214" s="10"/>
      <c r="O214" s="10"/>
      <c r="P214" s="10"/>
      <c r="Q214" s="10"/>
      <c r="R214" s="10"/>
      <c r="S214" s="10"/>
      <c r="T214" s="10"/>
      <c r="U214" s="10"/>
      <c r="V214" s="10"/>
      <c r="W214" s="10"/>
      <c r="X214" s="10"/>
      <c r="Y214" s="10"/>
      <c r="Z214" s="10"/>
      <c r="AA214" s="10"/>
      <c r="AB214" s="10"/>
      <c r="AC214" s="10"/>
      <c r="AD214" s="10"/>
      <c r="AE214" s="10"/>
      <c r="AF214" s="10"/>
      <c r="AG214" s="10"/>
      <c r="AH214" s="10"/>
      <c r="AI214" s="10"/>
      <c r="AJ214" s="10"/>
      <c r="AK214" s="10"/>
      <c r="AL214" s="10"/>
      <c r="AM214" s="10"/>
      <c r="AN214" s="10"/>
      <c r="AO214" s="10"/>
      <c r="AP214" s="10"/>
      <c r="AQ214" s="10"/>
      <c r="AR214" s="10"/>
      <c r="AS214" s="10"/>
      <c r="AT214" s="10"/>
      <c r="AU214" s="10"/>
      <c r="AV214" s="10"/>
      <c r="AW214" s="10"/>
      <c r="AX214" s="10"/>
      <c r="AY214" s="10"/>
      <c r="AZ214" s="10"/>
    </row>
    <row r="215" spans="1:5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0"/>
      <c r="M215" s="10"/>
      <c r="N215" s="10"/>
      <c r="O215" s="10"/>
      <c r="P215" s="10"/>
      <c r="Q215" s="10"/>
      <c r="R215" s="10"/>
      <c r="S215" s="10"/>
      <c r="T215" s="10"/>
      <c r="U215" s="10"/>
      <c r="V215" s="10"/>
      <c r="W215" s="10"/>
      <c r="X215" s="10"/>
      <c r="Y215" s="10"/>
      <c r="Z215" s="10"/>
      <c r="AA215" s="10"/>
      <c r="AB215" s="10"/>
      <c r="AC215" s="10"/>
      <c r="AD215" s="10"/>
      <c r="AE215" s="10"/>
      <c r="AF215" s="10"/>
      <c r="AG215" s="10"/>
      <c r="AH215" s="10"/>
      <c r="AI215" s="10"/>
      <c r="AJ215" s="10"/>
      <c r="AK215" s="10"/>
      <c r="AL215" s="10"/>
      <c r="AM215" s="10"/>
      <c r="AN215" s="10"/>
      <c r="AO215" s="10"/>
      <c r="AP215" s="10"/>
      <c r="AQ215" s="10"/>
      <c r="AR215" s="10"/>
      <c r="AS215" s="10"/>
      <c r="AT215" s="10"/>
      <c r="AU215" s="10"/>
      <c r="AV215" s="10"/>
      <c r="AW215" s="10"/>
      <c r="AX215" s="10"/>
      <c r="AY215" s="10"/>
      <c r="AZ215" s="10"/>
    </row>
    <row r="216" spans="1:5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0"/>
      <c r="M216" s="10"/>
      <c r="N216" s="10"/>
      <c r="O216" s="10"/>
      <c r="P216" s="10"/>
      <c r="Q216" s="10"/>
      <c r="R216" s="10"/>
      <c r="S216" s="10"/>
      <c r="T216" s="10"/>
      <c r="U216" s="10"/>
      <c r="V216" s="10"/>
      <c r="W216" s="10"/>
      <c r="X216" s="10"/>
      <c r="Y216" s="10"/>
      <c r="Z216" s="10"/>
      <c r="AA216" s="10"/>
      <c r="AB216" s="10"/>
      <c r="AC216" s="10"/>
      <c r="AD216" s="10"/>
      <c r="AE216" s="10"/>
      <c r="AF216" s="10"/>
      <c r="AG216" s="10"/>
      <c r="AH216" s="10"/>
      <c r="AI216" s="10"/>
      <c r="AJ216" s="10"/>
      <c r="AK216" s="10"/>
      <c r="AL216" s="10"/>
      <c r="AM216" s="10"/>
      <c r="AN216" s="10"/>
      <c r="AO216" s="10"/>
      <c r="AP216" s="10"/>
      <c r="AQ216" s="10"/>
      <c r="AR216" s="10"/>
      <c r="AS216" s="10"/>
      <c r="AT216" s="10"/>
      <c r="AU216" s="10"/>
      <c r="AV216" s="10"/>
      <c r="AW216" s="10"/>
      <c r="AX216" s="10"/>
      <c r="AY216" s="10"/>
      <c r="AZ216" s="10"/>
    </row>
    <row r="217" spans="1:5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0"/>
      <c r="M217" s="10"/>
      <c r="N217" s="10"/>
      <c r="O217" s="10"/>
      <c r="P217" s="10"/>
      <c r="Q217" s="10"/>
      <c r="R217" s="10"/>
      <c r="S217" s="10"/>
      <c r="T217" s="10"/>
      <c r="U217" s="10"/>
      <c r="V217" s="10"/>
      <c r="W217" s="10"/>
      <c r="X217" s="10"/>
      <c r="Y217" s="10"/>
      <c r="Z217" s="10"/>
      <c r="AA217" s="10"/>
      <c r="AB217" s="10"/>
      <c r="AC217" s="10"/>
      <c r="AD217" s="10"/>
      <c r="AE217" s="10"/>
      <c r="AF217" s="10"/>
      <c r="AG217" s="10"/>
      <c r="AH217" s="10"/>
      <c r="AI217" s="10"/>
      <c r="AJ217" s="10"/>
      <c r="AK217" s="10"/>
      <c r="AL217" s="10"/>
      <c r="AM217" s="10"/>
      <c r="AN217" s="10"/>
      <c r="AO217" s="10"/>
      <c r="AP217" s="10"/>
      <c r="AQ217" s="10"/>
      <c r="AR217" s="10"/>
      <c r="AS217" s="10"/>
      <c r="AT217" s="10"/>
      <c r="AU217" s="10"/>
      <c r="AV217" s="10"/>
      <c r="AW217" s="10"/>
      <c r="AX217" s="10"/>
      <c r="AY217" s="10"/>
      <c r="AZ217" s="10"/>
    </row>
    <row r="218" spans="1:5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0"/>
      <c r="M218" s="10"/>
      <c r="N218" s="10"/>
      <c r="O218" s="10"/>
      <c r="P218" s="10"/>
      <c r="Q218" s="10"/>
      <c r="R218" s="10"/>
      <c r="S218" s="10"/>
      <c r="T218" s="10"/>
      <c r="U218" s="10"/>
      <c r="V218" s="10"/>
      <c r="W218" s="10"/>
      <c r="X218" s="10"/>
      <c r="Y218" s="10"/>
      <c r="Z218" s="10"/>
      <c r="AA218" s="10"/>
      <c r="AB218" s="10"/>
      <c r="AC218" s="10"/>
      <c r="AD218" s="10"/>
      <c r="AE218" s="10"/>
      <c r="AF218" s="10"/>
      <c r="AG218" s="10"/>
      <c r="AH218" s="10"/>
      <c r="AI218" s="10"/>
      <c r="AJ218" s="10"/>
      <c r="AK218" s="10"/>
      <c r="AL218" s="10"/>
      <c r="AM218" s="10"/>
      <c r="AN218" s="10"/>
      <c r="AO218" s="10"/>
      <c r="AP218" s="10"/>
      <c r="AQ218" s="10"/>
      <c r="AR218" s="10"/>
      <c r="AS218" s="10"/>
      <c r="AT218" s="10"/>
      <c r="AU218" s="10"/>
      <c r="AV218" s="10"/>
      <c r="AW218" s="10"/>
      <c r="AX218" s="10"/>
      <c r="AY218" s="10"/>
      <c r="AZ218" s="10"/>
    </row>
    <row r="219" spans="1:5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0"/>
      <c r="M219" s="10"/>
      <c r="N219" s="10"/>
      <c r="O219" s="10"/>
      <c r="P219" s="10"/>
      <c r="Q219" s="10"/>
      <c r="R219" s="10"/>
      <c r="S219" s="10"/>
      <c r="T219" s="10"/>
      <c r="U219" s="10"/>
      <c r="V219" s="10"/>
      <c r="W219" s="10"/>
      <c r="X219" s="10"/>
      <c r="Y219" s="10"/>
      <c r="Z219" s="10"/>
      <c r="AA219" s="10"/>
      <c r="AB219" s="10"/>
      <c r="AC219" s="10"/>
      <c r="AD219" s="10"/>
      <c r="AE219" s="10"/>
      <c r="AF219" s="10"/>
      <c r="AG219" s="10"/>
      <c r="AH219" s="10"/>
      <c r="AI219" s="10"/>
      <c r="AJ219" s="10"/>
      <c r="AK219" s="10"/>
      <c r="AL219" s="10"/>
      <c r="AM219" s="10"/>
      <c r="AN219" s="10"/>
      <c r="AO219" s="10"/>
      <c r="AP219" s="10"/>
      <c r="AQ219" s="10"/>
      <c r="AR219" s="10"/>
      <c r="AS219" s="10"/>
      <c r="AT219" s="10"/>
      <c r="AU219" s="10"/>
      <c r="AV219" s="10"/>
      <c r="AW219" s="10"/>
      <c r="AX219" s="10"/>
      <c r="AY219" s="10"/>
      <c r="AZ219" s="10"/>
    </row>
    <row r="220" spans="1:5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0"/>
      <c r="M220" s="10"/>
      <c r="N220" s="10"/>
      <c r="O220" s="10"/>
      <c r="P220" s="10"/>
      <c r="Q220" s="10"/>
      <c r="R220" s="10"/>
      <c r="S220" s="10"/>
      <c r="T220" s="10"/>
      <c r="U220" s="10"/>
      <c r="V220" s="10"/>
      <c r="W220" s="10"/>
      <c r="X220" s="10"/>
      <c r="Y220" s="10"/>
      <c r="Z220" s="10"/>
      <c r="AA220" s="10"/>
      <c r="AB220" s="10"/>
      <c r="AC220" s="10"/>
      <c r="AD220" s="10"/>
      <c r="AE220" s="10"/>
      <c r="AF220" s="10"/>
      <c r="AG220" s="10"/>
      <c r="AH220" s="10"/>
      <c r="AI220" s="10"/>
      <c r="AJ220" s="10"/>
      <c r="AK220" s="10"/>
      <c r="AL220" s="10"/>
      <c r="AM220" s="10"/>
      <c r="AN220" s="10"/>
      <c r="AO220" s="10"/>
      <c r="AP220" s="10"/>
      <c r="AQ220" s="10"/>
      <c r="AR220" s="10"/>
      <c r="AS220" s="10"/>
      <c r="AT220" s="10"/>
      <c r="AU220" s="10"/>
      <c r="AV220" s="10"/>
      <c r="AW220" s="10"/>
      <c r="AX220" s="10"/>
      <c r="AY220" s="10"/>
      <c r="AZ220" s="10"/>
    </row>
    <row r="221" spans="1:5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0"/>
      <c r="M221" s="10"/>
      <c r="N221" s="10"/>
      <c r="O221" s="10"/>
      <c r="P221" s="10"/>
      <c r="Q221" s="10"/>
      <c r="R221" s="10"/>
      <c r="S221" s="10"/>
      <c r="T221" s="10"/>
      <c r="U221" s="10"/>
      <c r="V221" s="10"/>
      <c r="W221" s="10"/>
      <c r="X221" s="10"/>
      <c r="Y221" s="10"/>
      <c r="Z221" s="10"/>
      <c r="AA221" s="10"/>
      <c r="AB221" s="10"/>
      <c r="AC221" s="10"/>
      <c r="AD221" s="10"/>
      <c r="AE221" s="10"/>
      <c r="AF221" s="10"/>
      <c r="AG221" s="10"/>
      <c r="AH221" s="10"/>
      <c r="AI221" s="10"/>
      <c r="AJ221" s="10"/>
      <c r="AK221" s="10"/>
      <c r="AL221" s="10"/>
      <c r="AM221" s="10"/>
      <c r="AN221" s="10"/>
      <c r="AO221" s="10"/>
      <c r="AP221" s="10"/>
      <c r="AQ221" s="10"/>
      <c r="AR221" s="10"/>
      <c r="AS221" s="10"/>
      <c r="AT221" s="10"/>
      <c r="AU221" s="10"/>
      <c r="AV221" s="10"/>
      <c r="AW221" s="10"/>
      <c r="AX221" s="10"/>
      <c r="AY221" s="10"/>
      <c r="AZ221" s="10"/>
    </row>
    <row r="222" spans="1:5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0"/>
      <c r="M222" s="10"/>
      <c r="N222" s="10"/>
      <c r="O222" s="10"/>
      <c r="P222" s="10"/>
      <c r="Q222" s="10"/>
      <c r="R222" s="10"/>
      <c r="S222" s="10"/>
      <c r="T222" s="10"/>
      <c r="U222" s="10"/>
      <c r="V222" s="10"/>
      <c r="W222" s="10"/>
      <c r="X222" s="10"/>
      <c r="Y222" s="10"/>
      <c r="Z222" s="10"/>
      <c r="AA222" s="10"/>
      <c r="AB222" s="10"/>
      <c r="AC222" s="10"/>
      <c r="AD222" s="10"/>
      <c r="AE222" s="10"/>
      <c r="AF222" s="10"/>
      <c r="AG222" s="10"/>
      <c r="AH222" s="10"/>
      <c r="AI222" s="10"/>
      <c r="AJ222" s="10"/>
      <c r="AK222" s="10"/>
      <c r="AL222" s="10"/>
      <c r="AM222" s="10"/>
      <c r="AN222" s="10"/>
      <c r="AO222" s="10"/>
      <c r="AP222" s="10"/>
      <c r="AQ222" s="10"/>
      <c r="AR222" s="10"/>
      <c r="AS222" s="10"/>
      <c r="AT222" s="10"/>
      <c r="AU222" s="10"/>
      <c r="AV222" s="10"/>
      <c r="AW222" s="10"/>
      <c r="AX222" s="10"/>
      <c r="AY222" s="10"/>
      <c r="AZ222" s="10"/>
    </row>
    <row r="223" spans="1:52">
      <c r="A223" s="10"/>
      <c r="B223" s="10"/>
      <c r="C223" s="10"/>
      <c r="D223" s="10"/>
      <c r="E223" s="10"/>
      <c r="F223" s="10"/>
      <c r="G223" s="10"/>
      <c r="H223" s="10"/>
      <c r="I223" s="10"/>
      <c r="J223" s="10"/>
      <c r="K223" s="10"/>
      <c r="L223" s="10"/>
      <c r="M223" s="10"/>
      <c r="N223" s="10"/>
      <c r="O223" s="10"/>
      <c r="P223" s="10"/>
      <c r="Q223" s="10"/>
      <c r="R223" s="10"/>
      <c r="S223" s="10"/>
      <c r="T223" s="10"/>
      <c r="U223" s="10"/>
      <c r="V223" s="10"/>
      <c r="W223" s="10"/>
      <c r="X223" s="10"/>
      <c r="Y223" s="10"/>
      <c r="Z223" s="10"/>
      <c r="AA223" s="10"/>
      <c r="AB223" s="10"/>
      <c r="AC223" s="10"/>
      <c r="AD223" s="10"/>
      <c r="AE223" s="10"/>
      <c r="AF223" s="10"/>
      <c r="AG223" s="10"/>
      <c r="AH223" s="10"/>
      <c r="AI223" s="10"/>
      <c r="AJ223" s="10"/>
      <c r="AK223" s="10"/>
      <c r="AL223" s="10"/>
      <c r="AM223" s="10"/>
      <c r="AN223" s="10"/>
      <c r="AO223" s="10"/>
      <c r="AP223" s="10"/>
      <c r="AQ223" s="10"/>
      <c r="AR223" s="10"/>
      <c r="AS223" s="10"/>
      <c r="AT223" s="10"/>
      <c r="AU223" s="10"/>
      <c r="AV223" s="10"/>
      <c r="AW223" s="10"/>
      <c r="AX223" s="10"/>
      <c r="AY223" s="10"/>
      <c r="AZ223" s="10"/>
    </row>
    <row r="224" spans="1:52">
      <c r="A224" s="10"/>
      <c r="B224" s="10"/>
      <c r="C224" s="10"/>
      <c r="D224" s="10"/>
      <c r="E224" s="10"/>
      <c r="F224" s="10"/>
      <c r="G224" s="10"/>
      <c r="H224" s="10"/>
      <c r="I224" s="10"/>
      <c r="J224" s="10"/>
      <c r="K224" s="10"/>
      <c r="L224" s="10"/>
      <c r="M224" s="10"/>
      <c r="N224" s="10"/>
      <c r="O224" s="10"/>
      <c r="P224" s="10"/>
      <c r="Q224" s="10"/>
      <c r="R224" s="10"/>
      <c r="S224" s="10"/>
      <c r="T224" s="10"/>
      <c r="U224" s="10"/>
      <c r="V224" s="10"/>
      <c r="W224" s="10"/>
      <c r="X224" s="10"/>
      <c r="Y224" s="10"/>
      <c r="Z224" s="10"/>
      <c r="AA224" s="10"/>
      <c r="AB224" s="10"/>
      <c r="AC224" s="10"/>
      <c r="AD224" s="10"/>
      <c r="AE224" s="10"/>
      <c r="AF224" s="10"/>
      <c r="AG224" s="10"/>
      <c r="AH224" s="10"/>
      <c r="AI224" s="10"/>
      <c r="AJ224" s="10"/>
      <c r="AK224" s="10"/>
      <c r="AL224" s="10"/>
      <c r="AM224" s="10"/>
      <c r="AN224" s="10"/>
      <c r="AO224" s="10"/>
      <c r="AP224" s="10"/>
      <c r="AQ224" s="10"/>
      <c r="AR224" s="10"/>
      <c r="AS224" s="10"/>
      <c r="AT224" s="10"/>
      <c r="AU224" s="10"/>
      <c r="AV224" s="10"/>
      <c r="AW224" s="10"/>
      <c r="AX224" s="10"/>
      <c r="AY224" s="10"/>
      <c r="AZ224" s="10"/>
    </row>
    <row r="225" spans="1:52">
      <c r="A225" s="10"/>
      <c r="B225" s="10"/>
      <c r="C225" s="10"/>
      <c r="D225" s="10"/>
      <c r="E225" s="10"/>
      <c r="F225" s="10"/>
      <c r="G225" s="10"/>
      <c r="H225" s="10"/>
      <c r="I225" s="10"/>
      <c r="J225" s="10"/>
      <c r="K225" s="10"/>
      <c r="L225" s="10"/>
      <c r="M225" s="10"/>
      <c r="N225" s="10"/>
      <c r="O225" s="10"/>
      <c r="P225" s="10"/>
      <c r="Q225" s="10"/>
      <c r="R225" s="10"/>
      <c r="S225" s="10"/>
      <c r="T225" s="10"/>
      <c r="U225" s="10"/>
      <c r="V225" s="10"/>
      <c r="W225" s="10"/>
      <c r="X225" s="10"/>
      <c r="Y225" s="10"/>
      <c r="Z225" s="10"/>
      <c r="AA225" s="10"/>
      <c r="AB225" s="10"/>
      <c r="AC225" s="10"/>
      <c r="AD225" s="10"/>
      <c r="AE225" s="10"/>
      <c r="AF225" s="10"/>
      <c r="AG225" s="10"/>
      <c r="AH225" s="10"/>
      <c r="AI225" s="10"/>
      <c r="AJ225" s="10"/>
      <c r="AK225" s="10"/>
      <c r="AL225" s="10"/>
      <c r="AM225" s="10"/>
      <c r="AN225" s="10"/>
      <c r="AO225" s="10"/>
      <c r="AP225" s="10"/>
      <c r="AQ225" s="10"/>
      <c r="AR225" s="10"/>
      <c r="AS225" s="10"/>
      <c r="AT225" s="10"/>
      <c r="AU225" s="10"/>
      <c r="AV225" s="10"/>
      <c r="AW225" s="10"/>
      <c r="AX225" s="10"/>
      <c r="AY225" s="10"/>
      <c r="AZ225" s="10"/>
    </row>
    <row r="226" spans="1:52">
      <c r="A226" s="10"/>
      <c r="B226" s="10"/>
      <c r="C226" s="10"/>
      <c r="D226" s="10"/>
      <c r="E226" s="10"/>
      <c r="F226" s="10"/>
      <c r="G226" s="10"/>
      <c r="H226" s="10"/>
      <c r="I226" s="10"/>
      <c r="J226" s="10"/>
      <c r="K226" s="10"/>
      <c r="L226" s="10"/>
      <c r="M226" s="10"/>
      <c r="N226" s="10"/>
      <c r="O226" s="10"/>
      <c r="P226" s="10"/>
      <c r="Q226" s="10"/>
      <c r="R226" s="10"/>
      <c r="S226" s="10"/>
      <c r="T226" s="10"/>
      <c r="U226" s="10"/>
      <c r="V226" s="10"/>
      <c r="W226" s="10"/>
      <c r="X226" s="10"/>
      <c r="Y226" s="10"/>
      <c r="Z226" s="10"/>
      <c r="AA226" s="10"/>
      <c r="AB226" s="10"/>
      <c r="AC226" s="10"/>
      <c r="AD226" s="10"/>
      <c r="AE226" s="10"/>
      <c r="AF226" s="10"/>
      <c r="AG226" s="10"/>
      <c r="AH226" s="10"/>
      <c r="AI226" s="10"/>
      <c r="AJ226" s="10"/>
      <c r="AK226" s="10"/>
      <c r="AL226" s="10"/>
      <c r="AM226" s="10"/>
      <c r="AN226" s="10"/>
      <c r="AO226" s="10"/>
      <c r="AP226" s="10"/>
      <c r="AQ226" s="10"/>
      <c r="AR226" s="10"/>
      <c r="AS226" s="10"/>
      <c r="AT226" s="10"/>
      <c r="AU226" s="10"/>
      <c r="AV226" s="10"/>
      <c r="AW226" s="10"/>
      <c r="AX226" s="10"/>
      <c r="AY226" s="10"/>
      <c r="AZ226" s="10"/>
    </row>
    <row r="227" spans="1:52">
      <c r="A227" s="10"/>
      <c r="B227" s="10"/>
      <c r="C227" s="10"/>
      <c r="D227" s="10"/>
      <c r="E227" s="10"/>
      <c r="F227" s="10"/>
      <c r="G227" s="10"/>
      <c r="H227" s="10"/>
      <c r="I227" s="10"/>
      <c r="J227" s="10"/>
      <c r="K227" s="10"/>
      <c r="L227" s="10"/>
      <c r="M227" s="10"/>
      <c r="N227" s="10"/>
      <c r="O227" s="10"/>
      <c r="P227" s="10"/>
      <c r="Q227" s="10"/>
      <c r="R227" s="10"/>
      <c r="S227" s="10"/>
      <c r="T227" s="10"/>
      <c r="U227" s="10"/>
      <c r="V227" s="10"/>
      <c r="W227" s="10"/>
      <c r="X227" s="10"/>
      <c r="Y227" s="10"/>
      <c r="Z227" s="10"/>
      <c r="AA227" s="10"/>
      <c r="AB227" s="10"/>
      <c r="AC227" s="10"/>
      <c r="AD227" s="10"/>
      <c r="AE227" s="10"/>
      <c r="AF227" s="10"/>
      <c r="AG227" s="10"/>
      <c r="AH227" s="10"/>
      <c r="AI227" s="10"/>
      <c r="AJ227" s="10"/>
      <c r="AK227" s="10"/>
      <c r="AL227" s="10"/>
      <c r="AM227" s="10"/>
      <c r="AN227" s="10"/>
      <c r="AO227" s="10"/>
      <c r="AP227" s="10"/>
      <c r="AQ227" s="10"/>
      <c r="AR227" s="10"/>
      <c r="AS227" s="10"/>
      <c r="AT227" s="10"/>
      <c r="AU227" s="10"/>
      <c r="AV227" s="10"/>
      <c r="AW227" s="10"/>
      <c r="AX227" s="10"/>
      <c r="AY227" s="10"/>
      <c r="AZ227" s="10"/>
    </row>
    <row r="228" spans="1:52">
      <c r="A228" s="10"/>
      <c r="B228" s="10"/>
      <c r="C228" s="10"/>
      <c r="D228" s="10"/>
      <c r="E228" s="10"/>
      <c r="F228" s="10"/>
      <c r="G228" s="10"/>
      <c r="H228" s="10"/>
      <c r="I228" s="10"/>
      <c r="J228" s="10"/>
      <c r="K228" s="10"/>
      <c r="L228" s="10"/>
      <c r="M228" s="10"/>
      <c r="N228" s="10"/>
      <c r="O228" s="10"/>
      <c r="P228" s="10"/>
      <c r="Q228" s="10"/>
      <c r="R228" s="10"/>
      <c r="S228" s="10"/>
      <c r="T228" s="10"/>
      <c r="U228" s="10"/>
      <c r="V228" s="10"/>
      <c r="W228" s="10"/>
      <c r="X228" s="10"/>
      <c r="Y228" s="10"/>
      <c r="Z228" s="10"/>
      <c r="AA228" s="10"/>
      <c r="AB228" s="10"/>
      <c r="AC228" s="10"/>
      <c r="AD228" s="10"/>
      <c r="AE228" s="10"/>
      <c r="AF228" s="10"/>
      <c r="AG228" s="10"/>
      <c r="AH228" s="10"/>
      <c r="AI228" s="10"/>
      <c r="AJ228" s="10"/>
      <c r="AK228" s="10"/>
      <c r="AL228" s="10"/>
      <c r="AM228" s="10"/>
      <c r="AN228" s="10"/>
      <c r="AO228" s="10"/>
      <c r="AP228" s="10"/>
      <c r="AQ228" s="10"/>
      <c r="AR228" s="10"/>
      <c r="AS228" s="10"/>
      <c r="AT228" s="10"/>
      <c r="AU228" s="10"/>
      <c r="AV228" s="10"/>
      <c r="AW228" s="10"/>
      <c r="AX228" s="10"/>
      <c r="AY228" s="10"/>
      <c r="AZ228" s="10"/>
    </row>
    <row r="229" spans="1:52">
      <c r="A229" s="10"/>
      <c r="B229" s="10"/>
      <c r="C229" s="10"/>
      <c r="D229" s="10"/>
      <c r="E229" s="10"/>
      <c r="F229" s="10"/>
      <c r="G229" s="10"/>
      <c r="H229" s="10"/>
      <c r="I229" s="10"/>
      <c r="J229" s="10"/>
      <c r="K229" s="10"/>
      <c r="L229" s="10"/>
      <c r="M229" s="10"/>
      <c r="N229" s="10"/>
      <c r="O229" s="10"/>
      <c r="P229" s="10"/>
      <c r="Q229" s="10"/>
      <c r="R229" s="10"/>
      <c r="S229" s="10"/>
      <c r="T229" s="10"/>
      <c r="U229" s="10"/>
      <c r="V229" s="10"/>
      <c r="W229" s="10"/>
      <c r="X229" s="10"/>
      <c r="Y229" s="10"/>
      <c r="Z229" s="10"/>
      <c r="AA229" s="10"/>
      <c r="AB229" s="10"/>
      <c r="AC229" s="10"/>
      <c r="AD229" s="10"/>
      <c r="AE229" s="10"/>
      <c r="AF229" s="10"/>
      <c r="AG229" s="10"/>
      <c r="AH229" s="10"/>
      <c r="AI229" s="10"/>
      <c r="AJ229" s="10"/>
      <c r="AK229" s="10"/>
      <c r="AL229" s="10"/>
      <c r="AM229" s="10"/>
      <c r="AN229" s="10"/>
      <c r="AO229" s="10"/>
      <c r="AP229" s="10"/>
      <c r="AQ229" s="10"/>
      <c r="AR229" s="10"/>
      <c r="AS229" s="10"/>
      <c r="AT229" s="10"/>
      <c r="AU229" s="10"/>
      <c r="AV229" s="10"/>
      <c r="AW229" s="10"/>
      <c r="AX229" s="10"/>
      <c r="AY229" s="10"/>
      <c r="AZ229" s="10"/>
    </row>
    <row r="230" spans="1:52">
      <c r="A230" s="10"/>
      <c r="B230" s="10"/>
      <c r="C230" s="10"/>
      <c r="D230" s="10"/>
      <c r="E230" s="10"/>
      <c r="F230" s="10"/>
      <c r="G230" s="10"/>
      <c r="H230" s="10"/>
      <c r="I230" s="10"/>
      <c r="J230" s="10"/>
      <c r="K230" s="10"/>
      <c r="L230" s="10"/>
      <c r="M230" s="10"/>
      <c r="N230" s="10"/>
      <c r="O230" s="10"/>
      <c r="P230" s="10"/>
      <c r="Q230" s="10"/>
      <c r="R230" s="10"/>
      <c r="S230" s="10"/>
      <c r="T230" s="10"/>
      <c r="U230" s="10"/>
      <c r="V230" s="10"/>
      <c r="W230" s="10"/>
      <c r="X230" s="10"/>
      <c r="Y230" s="10"/>
      <c r="Z230" s="10"/>
      <c r="AA230" s="10"/>
      <c r="AB230" s="10"/>
      <c r="AC230" s="10"/>
      <c r="AD230" s="10"/>
      <c r="AE230" s="10"/>
      <c r="AF230" s="10"/>
      <c r="AG230" s="10"/>
      <c r="AH230" s="10"/>
      <c r="AI230" s="10"/>
      <c r="AJ230" s="10"/>
      <c r="AK230" s="10"/>
      <c r="AL230" s="10"/>
      <c r="AM230" s="10"/>
      <c r="AN230" s="10"/>
      <c r="AO230" s="10"/>
      <c r="AP230" s="10"/>
      <c r="AQ230" s="10"/>
      <c r="AR230" s="10"/>
      <c r="AS230" s="10"/>
      <c r="AT230" s="10"/>
      <c r="AU230" s="10"/>
      <c r="AV230" s="10"/>
      <c r="AW230" s="10"/>
      <c r="AX230" s="10"/>
      <c r="AY230" s="10"/>
      <c r="AZ230" s="10"/>
    </row>
    <row r="231" spans="1:52">
      <c r="A231" s="10"/>
      <c r="B231" s="10"/>
      <c r="C231" s="10"/>
      <c r="D231" s="10"/>
      <c r="E231" s="10"/>
      <c r="F231" s="10"/>
      <c r="G231" s="10"/>
      <c r="H231" s="10"/>
      <c r="I231" s="10"/>
      <c r="J231" s="10"/>
      <c r="K231" s="10"/>
      <c r="L231" s="10"/>
      <c r="M231" s="10"/>
      <c r="N231" s="10"/>
      <c r="O231" s="10"/>
      <c r="P231" s="10"/>
      <c r="Q231" s="10"/>
      <c r="R231" s="10"/>
      <c r="S231" s="10"/>
      <c r="T231" s="10"/>
      <c r="U231" s="10"/>
      <c r="V231" s="10"/>
      <c r="W231" s="10"/>
      <c r="X231" s="10"/>
      <c r="Y231" s="10"/>
      <c r="Z231" s="10"/>
      <c r="AA231" s="10"/>
      <c r="AB231" s="10"/>
      <c r="AC231" s="10"/>
      <c r="AD231" s="10"/>
      <c r="AE231" s="10"/>
      <c r="AF231" s="10"/>
      <c r="AG231" s="10"/>
      <c r="AH231" s="10"/>
      <c r="AI231" s="10"/>
      <c r="AJ231" s="10"/>
      <c r="AK231" s="10"/>
      <c r="AL231" s="10"/>
      <c r="AM231" s="10"/>
      <c r="AN231" s="10"/>
      <c r="AO231" s="10"/>
      <c r="AP231" s="10"/>
      <c r="AQ231" s="10"/>
      <c r="AR231" s="10"/>
      <c r="AS231" s="10"/>
      <c r="AT231" s="10"/>
      <c r="AU231" s="10"/>
      <c r="AV231" s="10"/>
      <c r="AW231" s="10"/>
      <c r="AX231" s="10"/>
      <c r="AY231" s="10"/>
      <c r="AZ231" s="10"/>
    </row>
    <row r="232" spans="1:52">
      <c r="A232" s="10"/>
      <c r="B232" s="10"/>
      <c r="C232" s="10"/>
      <c r="D232" s="10"/>
      <c r="E232" s="10"/>
      <c r="F232" s="10"/>
      <c r="G232" s="10"/>
      <c r="H232" s="10"/>
      <c r="I232" s="10"/>
      <c r="J232" s="10"/>
      <c r="K232" s="10"/>
      <c r="L232" s="10"/>
      <c r="M232" s="10"/>
      <c r="N232" s="10"/>
      <c r="O232" s="10"/>
      <c r="P232" s="10"/>
      <c r="Q232" s="10"/>
      <c r="R232" s="10"/>
      <c r="S232" s="10"/>
      <c r="T232" s="10"/>
      <c r="U232" s="10"/>
      <c r="V232" s="10"/>
      <c r="W232" s="10"/>
      <c r="X232" s="10"/>
      <c r="Y232" s="10"/>
      <c r="Z232" s="10"/>
      <c r="AA232" s="10"/>
      <c r="AB232" s="10"/>
      <c r="AC232" s="10"/>
      <c r="AD232" s="10"/>
      <c r="AE232" s="10"/>
      <c r="AF232" s="10"/>
      <c r="AG232" s="10"/>
      <c r="AH232" s="10"/>
      <c r="AI232" s="10"/>
      <c r="AJ232" s="10"/>
      <c r="AK232" s="10"/>
      <c r="AL232" s="10"/>
      <c r="AM232" s="10"/>
      <c r="AN232" s="10"/>
      <c r="AO232" s="10"/>
      <c r="AP232" s="10"/>
      <c r="AQ232" s="10"/>
      <c r="AR232" s="10"/>
      <c r="AS232" s="10"/>
      <c r="AT232" s="10"/>
      <c r="AU232" s="10"/>
      <c r="AV232" s="10"/>
      <c r="AW232" s="10"/>
      <c r="AX232" s="10"/>
      <c r="AY232" s="10"/>
      <c r="AZ232" s="10"/>
    </row>
    <row r="233" spans="1:52">
      <c r="A233" s="10"/>
      <c r="B233" s="10"/>
      <c r="C233" s="10"/>
      <c r="D233" s="10"/>
      <c r="E233" s="10"/>
      <c r="F233" s="10"/>
      <c r="G233" s="10"/>
      <c r="H233" s="10"/>
      <c r="I233" s="10"/>
      <c r="J233" s="10"/>
      <c r="K233" s="10"/>
      <c r="L233" s="10"/>
      <c r="M233" s="10"/>
      <c r="N233" s="10"/>
      <c r="O233" s="10"/>
      <c r="P233" s="10"/>
      <c r="Q233" s="10"/>
      <c r="R233" s="10"/>
      <c r="S233" s="10"/>
      <c r="T233" s="10"/>
      <c r="U233" s="10"/>
      <c r="V233" s="10"/>
      <c r="W233" s="10"/>
      <c r="X233" s="10"/>
      <c r="Y233" s="10"/>
      <c r="Z233" s="10"/>
      <c r="AA233" s="10"/>
      <c r="AB233" s="10"/>
      <c r="AC233" s="10"/>
      <c r="AD233" s="10"/>
      <c r="AE233" s="10"/>
      <c r="AF233" s="10"/>
      <c r="AG233" s="10"/>
      <c r="AH233" s="10"/>
      <c r="AI233" s="10"/>
      <c r="AJ233" s="10"/>
      <c r="AK233" s="10"/>
      <c r="AL233" s="10"/>
      <c r="AM233" s="10"/>
      <c r="AN233" s="10"/>
      <c r="AO233" s="10"/>
      <c r="AP233" s="10"/>
      <c r="AQ233" s="10"/>
      <c r="AR233" s="10"/>
      <c r="AS233" s="10"/>
      <c r="AT233" s="10"/>
      <c r="AU233" s="10"/>
      <c r="AV233" s="10"/>
      <c r="AW233" s="10"/>
      <c r="AX233" s="10"/>
      <c r="AY233" s="10"/>
      <c r="AZ233" s="10"/>
    </row>
    <row r="234" spans="1:52">
      <c r="A234" s="10"/>
      <c r="B234" s="10"/>
      <c r="C234" s="10"/>
      <c r="D234" s="10"/>
      <c r="E234" s="10"/>
      <c r="F234" s="10"/>
      <c r="G234" s="10"/>
      <c r="H234" s="10"/>
      <c r="I234" s="10"/>
      <c r="J234" s="10"/>
      <c r="K234" s="10"/>
      <c r="L234" s="10"/>
      <c r="M234" s="10"/>
      <c r="N234" s="10"/>
      <c r="O234" s="10"/>
      <c r="P234" s="10"/>
      <c r="Q234" s="10"/>
      <c r="R234" s="10"/>
      <c r="S234" s="10"/>
      <c r="T234" s="10"/>
      <c r="U234" s="10"/>
      <c r="V234" s="10"/>
      <c r="W234" s="10"/>
      <c r="X234" s="10"/>
      <c r="Y234" s="10"/>
      <c r="Z234" s="10"/>
      <c r="AA234" s="10"/>
      <c r="AB234" s="10"/>
      <c r="AC234" s="10"/>
      <c r="AD234" s="10"/>
      <c r="AE234" s="10"/>
      <c r="AF234" s="10"/>
      <c r="AG234" s="10"/>
      <c r="AH234" s="10"/>
      <c r="AI234" s="10"/>
      <c r="AJ234" s="10"/>
      <c r="AK234" s="10"/>
      <c r="AL234" s="10"/>
      <c r="AM234" s="10"/>
      <c r="AN234" s="10"/>
      <c r="AO234" s="10"/>
      <c r="AP234" s="10"/>
      <c r="AQ234" s="10"/>
      <c r="AR234" s="10"/>
      <c r="AS234" s="10"/>
      <c r="AT234" s="10"/>
      <c r="AU234" s="10"/>
      <c r="AV234" s="10"/>
      <c r="AW234" s="10"/>
      <c r="AX234" s="10"/>
      <c r="AY234" s="10"/>
      <c r="AZ234" s="10"/>
    </row>
    <row r="235" spans="1:52">
      <c r="A235" s="10"/>
      <c r="B235" s="10"/>
      <c r="C235" s="10"/>
      <c r="D235" s="10"/>
      <c r="E235" s="10"/>
      <c r="F235" s="10"/>
      <c r="G235" s="10"/>
      <c r="H235" s="10"/>
      <c r="I235" s="10"/>
      <c r="J235" s="10"/>
      <c r="K235" s="10"/>
      <c r="L235" s="10"/>
      <c r="M235" s="10"/>
      <c r="N235" s="10"/>
      <c r="O235" s="10"/>
      <c r="P235" s="10"/>
      <c r="Q235" s="10"/>
      <c r="R235" s="10"/>
      <c r="S235" s="10"/>
      <c r="T235" s="10"/>
      <c r="U235" s="10"/>
      <c r="V235" s="10"/>
      <c r="W235" s="10"/>
      <c r="X235" s="10"/>
      <c r="Y235" s="10"/>
      <c r="Z235" s="10"/>
      <c r="AA235" s="10"/>
      <c r="AB235" s="10"/>
      <c r="AC235" s="10"/>
      <c r="AD235" s="10"/>
      <c r="AE235" s="10"/>
      <c r="AF235" s="10"/>
      <c r="AG235" s="10"/>
      <c r="AH235" s="10"/>
      <c r="AI235" s="10"/>
      <c r="AJ235" s="10"/>
      <c r="AK235" s="10"/>
      <c r="AL235" s="10"/>
      <c r="AM235" s="10"/>
      <c r="AN235" s="10"/>
      <c r="AO235" s="10"/>
      <c r="AP235" s="10"/>
      <c r="AQ235" s="10"/>
      <c r="AR235" s="10"/>
      <c r="AS235" s="10"/>
      <c r="AT235" s="10"/>
      <c r="AU235" s="10"/>
      <c r="AV235" s="10"/>
      <c r="AW235" s="10"/>
      <c r="AX235" s="10"/>
      <c r="AY235" s="10"/>
      <c r="AZ235" s="10"/>
    </row>
    <row r="236" spans="1:52">
      <c r="A236" s="10"/>
      <c r="B236" s="10"/>
      <c r="C236" s="10"/>
      <c r="D236" s="10"/>
      <c r="E236" s="10"/>
      <c r="F236" s="10"/>
      <c r="G236" s="10"/>
      <c r="H236" s="10"/>
      <c r="I236" s="10"/>
      <c r="J236" s="10"/>
      <c r="K236" s="10"/>
      <c r="L236" s="10"/>
      <c r="M236" s="10"/>
      <c r="N236" s="10"/>
      <c r="O236" s="10"/>
      <c r="P236" s="10"/>
      <c r="Q236" s="10"/>
      <c r="R236" s="10"/>
      <c r="S236" s="10"/>
      <c r="T236" s="10"/>
      <c r="U236" s="10"/>
      <c r="V236" s="10"/>
      <c r="W236" s="10"/>
      <c r="X236" s="10"/>
      <c r="Y236" s="10"/>
      <c r="Z236" s="10"/>
      <c r="AA236" s="10"/>
      <c r="AB236" s="10"/>
      <c r="AC236" s="10"/>
      <c r="AD236" s="10"/>
      <c r="AE236" s="10"/>
      <c r="AF236" s="10"/>
      <c r="AG236" s="10"/>
      <c r="AH236" s="10"/>
      <c r="AI236" s="10"/>
      <c r="AJ236" s="10"/>
      <c r="AK236" s="10"/>
      <c r="AL236" s="10"/>
      <c r="AM236" s="10"/>
      <c r="AN236" s="10"/>
      <c r="AO236" s="10"/>
      <c r="AP236" s="10"/>
      <c r="AQ236" s="10"/>
      <c r="AR236" s="10"/>
      <c r="AS236" s="10"/>
      <c r="AT236" s="10"/>
      <c r="AU236" s="10"/>
      <c r="AV236" s="10"/>
      <c r="AW236" s="10"/>
      <c r="AX236" s="10"/>
      <c r="AY236" s="10"/>
      <c r="AZ236" s="10"/>
    </row>
    <row r="237" spans="1:52">
      <c r="A237" s="10"/>
      <c r="B237" s="10"/>
      <c r="C237" s="10"/>
      <c r="D237" s="10"/>
      <c r="E237" s="10"/>
      <c r="F237" s="10"/>
      <c r="G237" s="10"/>
      <c r="H237" s="10"/>
      <c r="I237" s="10"/>
      <c r="J237" s="10"/>
      <c r="K237" s="10"/>
      <c r="L237" s="10"/>
      <c r="M237" s="10"/>
      <c r="N237" s="10"/>
      <c r="O237" s="10"/>
      <c r="P237" s="10"/>
      <c r="Q237" s="10"/>
      <c r="R237" s="10"/>
      <c r="S237" s="10"/>
      <c r="T237" s="10"/>
      <c r="U237" s="10"/>
      <c r="V237" s="10"/>
      <c r="W237" s="10"/>
      <c r="X237" s="10"/>
      <c r="Y237" s="10"/>
      <c r="Z237" s="10"/>
      <c r="AA237" s="10"/>
      <c r="AB237" s="10"/>
      <c r="AC237" s="10"/>
      <c r="AD237" s="10"/>
      <c r="AE237" s="10"/>
      <c r="AF237" s="10"/>
      <c r="AG237" s="10"/>
      <c r="AH237" s="10"/>
      <c r="AI237" s="10"/>
      <c r="AJ237" s="10"/>
      <c r="AK237" s="10"/>
      <c r="AL237" s="10"/>
      <c r="AM237" s="10"/>
      <c r="AN237" s="10"/>
      <c r="AO237" s="10"/>
      <c r="AP237" s="10"/>
      <c r="AQ237" s="10"/>
      <c r="AR237" s="10"/>
      <c r="AS237" s="10"/>
      <c r="AT237" s="10"/>
      <c r="AU237" s="10"/>
      <c r="AV237" s="10"/>
      <c r="AW237" s="10"/>
      <c r="AX237" s="10"/>
      <c r="AY237" s="10"/>
      <c r="AZ237" s="10"/>
    </row>
    <row r="238" spans="1:52">
      <c r="A238" s="10"/>
      <c r="B238" s="10"/>
      <c r="C238" s="10"/>
      <c r="D238" s="10"/>
      <c r="E238" s="10"/>
      <c r="F238" s="10"/>
      <c r="G238" s="10"/>
      <c r="H238" s="10"/>
      <c r="I238" s="10"/>
      <c r="J238" s="10"/>
      <c r="K238" s="10"/>
      <c r="L238" s="10"/>
      <c r="M238" s="10"/>
      <c r="N238" s="10"/>
      <c r="O238" s="10"/>
      <c r="P238" s="10"/>
      <c r="Q238" s="10"/>
      <c r="R238" s="10"/>
      <c r="S238" s="10"/>
      <c r="T238" s="10"/>
      <c r="U238" s="10"/>
      <c r="V238" s="10"/>
      <c r="W238" s="10"/>
      <c r="X238" s="10"/>
      <c r="Y238" s="10"/>
      <c r="Z238" s="10"/>
      <c r="AA238" s="10"/>
      <c r="AB238" s="10"/>
      <c r="AC238" s="10"/>
      <c r="AD238" s="10"/>
      <c r="AE238" s="10"/>
      <c r="AF238" s="10"/>
      <c r="AG238" s="10"/>
      <c r="AH238" s="10"/>
      <c r="AI238" s="10"/>
      <c r="AJ238" s="10"/>
      <c r="AK238" s="10"/>
      <c r="AL238" s="10"/>
      <c r="AM238" s="10"/>
      <c r="AN238" s="10"/>
      <c r="AO238" s="10"/>
      <c r="AP238" s="10"/>
      <c r="AQ238" s="10"/>
      <c r="AR238" s="10"/>
      <c r="AS238" s="10"/>
      <c r="AT238" s="10"/>
      <c r="AU238" s="10"/>
      <c r="AV238" s="10"/>
      <c r="AW238" s="10"/>
      <c r="AX238" s="10"/>
      <c r="AY238" s="10"/>
      <c r="AZ238" s="10"/>
    </row>
    <row r="239" spans="1:52">
      <c r="A239" s="10"/>
      <c r="B239" s="10"/>
      <c r="C239" s="10"/>
      <c r="D239" s="10"/>
      <c r="E239" s="10"/>
      <c r="F239" s="10"/>
      <c r="G239" s="10"/>
      <c r="H239" s="10"/>
      <c r="I239" s="10"/>
      <c r="J239" s="10"/>
      <c r="K239" s="10"/>
      <c r="L239" s="10"/>
      <c r="M239" s="10"/>
      <c r="N239" s="10"/>
      <c r="O239" s="10"/>
      <c r="P239" s="10"/>
      <c r="Q239" s="10"/>
      <c r="R239" s="10"/>
      <c r="S239" s="10"/>
      <c r="T239" s="10"/>
      <c r="U239" s="10"/>
      <c r="V239" s="10"/>
      <c r="W239" s="10"/>
      <c r="X239" s="10"/>
      <c r="Y239" s="10"/>
      <c r="Z239" s="10"/>
      <c r="AA239" s="10"/>
      <c r="AB239" s="10"/>
      <c r="AC239" s="10"/>
      <c r="AD239" s="10"/>
      <c r="AE239" s="10"/>
      <c r="AF239" s="10"/>
      <c r="AG239" s="10"/>
      <c r="AH239" s="10"/>
      <c r="AI239" s="10"/>
      <c r="AJ239" s="10"/>
      <c r="AK239" s="10"/>
      <c r="AL239" s="10"/>
      <c r="AM239" s="10"/>
      <c r="AN239" s="10"/>
      <c r="AO239" s="10"/>
      <c r="AP239" s="10"/>
      <c r="AQ239" s="10"/>
      <c r="AR239" s="10"/>
      <c r="AS239" s="10"/>
      <c r="AT239" s="10"/>
      <c r="AU239" s="10"/>
      <c r="AV239" s="10"/>
      <c r="AW239" s="10"/>
      <c r="AX239" s="10"/>
      <c r="AY239" s="10"/>
      <c r="AZ239" s="10"/>
    </row>
    <row r="240" spans="1:52">
      <c r="A240" s="10"/>
      <c r="B240" s="10"/>
      <c r="C240" s="10"/>
      <c r="D240" s="10"/>
      <c r="E240" s="10"/>
      <c r="F240" s="10"/>
      <c r="G240" s="10"/>
      <c r="H240" s="10"/>
      <c r="I240" s="10"/>
      <c r="J240" s="10"/>
      <c r="K240" s="10"/>
      <c r="L240" s="10"/>
      <c r="M240" s="10"/>
      <c r="N240" s="10"/>
      <c r="O240" s="10"/>
      <c r="P240" s="10"/>
      <c r="Q240" s="10"/>
      <c r="R240" s="10"/>
      <c r="S240" s="10"/>
      <c r="T240" s="10"/>
      <c r="U240" s="10"/>
      <c r="V240" s="10"/>
      <c r="W240" s="10"/>
      <c r="X240" s="10"/>
      <c r="Y240" s="10"/>
      <c r="Z240" s="10"/>
      <c r="AA240" s="10"/>
      <c r="AB240" s="10"/>
      <c r="AC240" s="10"/>
      <c r="AD240" s="10"/>
      <c r="AE240" s="10"/>
      <c r="AF240" s="10"/>
      <c r="AG240" s="10"/>
      <c r="AH240" s="10"/>
      <c r="AI240" s="10"/>
      <c r="AJ240" s="10"/>
      <c r="AK240" s="10"/>
      <c r="AL240" s="10"/>
      <c r="AM240" s="10"/>
      <c r="AN240" s="10"/>
      <c r="AO240" s="10"/>
      <c r="AP240" s="10"/>
      <c r="AQ240" s="10"/>
      <c r="AR240" s="10"/>
      <c r="AS240" s="10"/>
      <c r="AT240" s="10"/>
      <c r="AU240" s="10"/>
      <c r="AV240" s="10"/>
      <c r="AW240" s="10"/>
      <c r="AX240" s="10"/>
      <c r="AY240" s="10"/>
      <c r="AZ240" s="10"/>
    </row>
    <row r="241" spans="1:52">
      <c r="A241" s="10"/>
      <c r="B241" s="10"/>
      <c r="C241" s="10"/>
      <c r="D241" s="10"/>
      <c r="E241" s="10"/>
      <c r="F241" s="10"/>
      <c r="G241" s="10"/>
      <c r="H241" s="10"/>
      <c r="I241" s="10"/>
      <c r="J241" s="10"/>
      <c r="K241" s="10"/>
      <c r="L241" s="10"/>
      <c r="M241" s="10"/>
      <c r="N241" s="10"/>
      <c r="O241" s="10"/>
      <c r="P241" s="10"/>
      <c r="Q241" s="10"/>
      <c r="R241" s="10"/>
      <c r="S241" s="10"/>
      <c r="T241" s="10"/>
      <c r="U241" s="10"/>
      <c r="V241" s="10"/>
      <c r="W241" s="10"/>
      <c r="X241" s="10"/>
      <c r="Y241" s="10"/>
      <c r="Z241" s="10"/>
      <c r="AA241" s="10"/>
      <c r="AB241" s="10"/>
      <c r="AC241" s="10"/>
      <c r="AD241" s="10"/>
      <c r="AE241" s="10"/>
      <c r="AF241" s="10"/>
      <c r="AG241" s="10"/>
      <c r="AH241" s="10"/>
      <c r="AI241" s="10"/>
      <c r="AJ241" s="10"/>
      <c r="AK241" s="10"/>
      <c r="AL241" s="10"/>
      <c r="AM241" s="10"/>
      <c r="AN241" s="10"/>
      <c r="AO241" s="10"/>
      <c r="AP241" s="10"/>
      <c r="AQ241" s="10"/>
      <c r="AR241" s="10"/>
      <c r="AS241" s="10"/>
      <c r="AT241" s="10"/>
      <c r="AU241" s="10"/>
      <c r="AV241" s="10"/>
      <c r="AW241" s="10"/>
      <c r="AX241" s="10"/>
      <c r="AY241" s="10"/>
      <c r="AZ241" s="10"/>
    </row>
    <row r="242" spans="1:52">
      <c r="A242" s="10"/>
      <c r="B242" s="10"/>
      <c r="C242" s="10"/>
      <c r="D242" s="10"/>
      <c r="E242" s="10"/>
      <c r="F242" s="10"/>
      <c r="G242" s="10"/>
      <c r="H242" s="10"/>
      <c r="I242" s="10"/>
      <c r="J242" s="10"/>
      <c r="K242" s="10"/>
      <c r="L242" s="10"/>
      <c r="M242" s="10"/>
      <c r="N242" s="10"/>
      <c r="O242" s="10"/>
      <c r="P242" s="10"/>
      <c r="Q242" s="10"/>
      <c r="R242" s="10"/>
      <c r="S242" s="10"/>
      <c r="T242" s="10"/>
      <c r="U242" s="10"/>
      <c r="V242" s="10"/>
      <c r="W242" s="10"/>
      <c r="X242" s="10"/>
      <c r="Y242" s="10"/>
      <c r="Z242" s="10"/>
      <c r="AA242" s="10"/>
      <c r="AB242" s="10"/>
      <c r="AC242" s="10"/>
      <c r="AD242" s="10"/>
      <c r="AE242" s="10"/>
      <c r="AF242" s="10"/>
      <c r="AG242" s="10"/>
      <c r="AH242" s="10"/>
      <c r="AI242" s="10"/>
      <c r="AJ242" s="10"/>
      <c r="AK242" s="10"/>
      <c r="AL242" s="10"/>
      <c r="AM242" s="10"/>
      <c r="AN242" s="10"/>
      <c r="AO242" s="10"/>
      <c r="AP242" s="10"/>
      <c r="AQ242" s="10"/>
      <c r="AR242" s="10"/>
      <c r="AS242" s="10"/>
      <c r="AT242" s="10"/>
      <c r="AU242" s="10"/>
      <c r="AV242" s="10"/>
      <c r="AW242" s="10"/>
      <c r="AX242" s="10"/>
      <c r="AY242" s="10"/>
      <c r="AZ242" s="10"/>
    </row>
    <row r="243" spans="1:52">
      <c r="A243" s="10"/>
      <c r="B243" s="10"/>
      <c r="C243" s="10"/>
      <c r="D243" s="10"/>
      <c r="E243" s="10"/>
      <c r="F243" s="10"/>
      <c r="G243" s="10"/>
      <c r="H243" s="10"/>
      <c r="I243" s="10"/>
      <c r="J243" s="10"/>
      <c r="K243" s="10"/>
      <c r="L243" s="10"/>
      <c r="M243" s="10"/>
      <c r="N243" s="10"/>
      <c r="O243" s="10"/>
      <c r="P243" s="10"/>
      <c r="Q243" s="10"/>
      <c r="R243" s="10"/>
      <c r="S243" s="10"/>
      <c r="T243" s="10"/>
      <c r="U243" s="10"/>
      <c r="V243" s="10"/>
      <c r="W243" s="10"/>
      <c r="X243" s="10"/>
      <c r="Y243" s="10"/>
      <c r="Z243" s="10"/>
      <c r="AA243" s="10"/>
      <c r="AB243" s="10"/>
      <c r="AC243" s="10"/>
      <c r="AD243" s="10"/>
      <c r="AE243" s="10"/>
      <c r="AF243" s="10"/>
      <c r="AG243" s="10"/>
      <c r="AH243" s="10"/>
      <c r="AI243" s="10"/>
      <c r="AJ243" s="10"/>
      <c r="AK243" s="10"/>
      <c r="AL243" s="10"/>
      <c r="AM243" s="10"/>
      <c r="AN243" s="10"/>
      <c r="AO243" s="10"/>
      <c r="AP243" s="10"/>
      <c r="AQ243" s="10"/>
      <c r="AR243" s="10"/>
      <c r="AS243" s="10"/>
      <c r="AT243" s="10"/>
      <c r="AU243" s="10"/>
      <c r="AV243" s="10"/>
      <c r="AW243" s="10"/>
      <c r="AX243" s="10"/>
      <c r="AY243" s="10"/>
      <c r="AZ243" s="10"/>
    </row>
    <row r="244" spans="1:52">
      <c r="A244" s="10"/>
      <c r="B244" s="10"/>
      <c r="C244" s="10"/>
      <c r="D244" s="10"/>
      <c r="E244" s="10"/>
      <c r="F244" s="10"/>
      <c r="G244" s="10"/>
      <c r="H244" s="10"/>
      <c r="I244" s="10"/>
      <c r="J244" s="10"/>
      <c r="K244" s="10"/>
      <c r="L244" s="10"/>
      <c r="M244" s="10"/>
      <c r="N244" s="10"/>
      <c r="O244" s="10"/>
      <c r="P244" s="10"/>
      <c r="Q244" s="10"/>
      <c r="R244" s="10"/>
      <c r="S244" s="10"/>
      <c r="T244" s="10"/>
      <c r="U244" s="10"/>
      <c r="V244" s="10"/>
      <c r="W244" s="10"/>
      <c r="X244" s="10"/>
      <c r="Y244" s="10"/>
      <c r="Z244" s="10"/>
      <c r="AA244" s="10"/>
      <c r="AB244" s="10"/>
      <c r="AC244" s="10"/>
      <c r="AD244" s="10"/>
      <c r="AE244" s="10"/>
      <c r="AF244" s="10"/>
      <c r="AG244" s="10"/>
      <c r="AH244" s="10"/>
      <c r="AI244" s="10"/>
      <c r="AJ244" s="10"/>
      <c r="AK244" s="10"/>
      <c r="AL244" s="10"/>
      <c r="AM244" s="10"/>
      <c r="AN244" s="10"/>
      <c r="AO244" s="10"/>
      <c r="AP244" s="10"/>
      <c r="AQ244" s="10"/>
      <c r="AR244" s="10"/>
      <c r="AS244" s="10"/>
      <c r="AT244" s="10"/>
      <c r="AU244" s="10"/>
      <c r="AV244" s="10"/>
      <c r="AW244" s="10"/>
      <c r="AX244" s="10"/>
      <c r="AY244" s="10"/>
      <c r="AZ244" s="10"/>
    </row>
    <row r="245" spans="1:52">
      <c r="A245" s="10"/>
      <c r="B245" s="10"/>
      <c r="C245" s="10"/>
      <c r="D245" s="10"/>
      <c r="E245" s="10"/>
      <c r="F245" s="10"/>
      <c r="G245" s="10"/>
      <c r="H245" s="10"/>
      <c r="I245" s="10"/>
      <c r="J245" s="10"/>
      <c r="K245" s="10"/>
      <c r="L245" s="10"/>
      <c r="M245" s="10"/>
      <c r="N245" s="10"/>
      <c r="O245" s="10"/>
      <c r="P245" s="10"/>
      <c r="Q245" s="10"/>
      <c r="R245" s="10"/>
      <c r="S245" s="10"/>
      <c r="T245" s="10"/>
      <c r="U245" s="10"/>
      <c r="V245" s="10"/>
      <c r="W245" s="10"/>
      <c r="X245" s="10"/>
      <c r="Y245" s="10"/>
      <c r="Z245" s="10"/>
      <c r="AA245" s="10"/>
      <c r="AB245" s="10"/>
      <c r="AC245" s="10"/>
      <c r="AD245" s="10"/>
      <c r="AE245" s="10"/>
      <c r="AF245" s="10"/>
      <c r="AG245" s="10"/>
      <c r="AH245" s="10"/>
      <c r="AI245" s="10"/>
      <c r="AJ245" s="10"/>
      <c r="AK245" s="10"/>
      <c r="AL245" s="10"/>
      <c r="AM245" s="10"/>
      <c r="AN245" s="10"/>
      <c r="AO245" s="10"/>
      <c r="AP245" s="10"/>
      <c r="AQ245" s="10"/>
      <c r="AR245" s="10"/>
      <c r="AS245" s="10"/>
      <c r="AT245" s="10"/>
      <c r="AU245" s="10"/>
      <c r="AV245" s="10"/>
      <c r="AW245" s="10"/>
      <c r="AX245" s="10"/>
      <c r="AY245" s="10"/>
      <c r="AZ245" s="10"/>
    </row>
    <row r="246" spans="1:52">
      <c r="A246" s="10"/>
      <c r="B246" s="10"/>
      <c r="C246" s="10"/>
      <c r="D246" s="10"/>
      <c r="E246" s="10"/>
      <c r="F246" s="10"/>
      <c r="G246" s="10"/>
      <c r="H246" s="10"/>
      <c r="I246" s="10"/>
      <c r="J246" s="10"/>
      <c r="K246" s="10"/>
      <c r="L246" s="10"/>
      <c r="M246" s="10"/>
      <c r="N246" s="10"/>
      <c r="O246" s="10"/>
      <c r="P246" s="10"/>
      <c r="Q246" s="10"/>
      <c r="R246" s="10"/>
      <c r="S246" s="10"/>
      <c r="T246" s="10"/>
      <c r="U246" s="10"/>
      <c r="V246" s="10"/>
      <c r="W246" s="10"/>
      <c r="X246" s="10"/>
      <c r="Y246" s="10"/>
      <c r="Z246" s="10"/>
      <c r="AA246" s="10"/>
      <c r="AB246" s="10"/>
      <c r="AC246" s="10"/>
      <c r="AD246" s="10"/>
      <c r="AE246" s="10"/>
      <c r="AF246" s="10"/>
      <c r="AG246" s="10"/>
      <c r="AH246" s="10"/>
      <c r="AI246" s="10"/>
      <c r="AJ246" s="10"/>
      <c r="AK246" s="10"/>
      <c r="AL246" s="10"/>
      <c r="AM246" s="10"/>
      <c r="AN246" s="10"/>
      <c r="AO246" s="10"/>
      <c r="AP246" s="10"/>
      <c r="AQ246" s="10"/>
      <c r="AR246" s="10"/>
      <c r="AS246" s="10"/>
      <c r="AT246" s="10"/>
      <c r="AU246" s="10"/>
      <c r="AV246" s="10"/>
      <c r="AW246" s="10"/>
      <c r="AX246" s="10"/>
      <c r="AY246" s="10"/>
      <c r="AZ246" s="10"/>
    </row>
    <row r="247" spans="1:52">
      <c r="A247" s="10"/>
      <c r="B247" s="10"/>
      <c r="C247" s="10"/>
      <c r="D247" s="10"/>
      <c r="E247" s="10"/>
      <c r="F247" s="10"/>
      <c r="G247" s="10"/>
      <c r="H247" s="10"/>
      <c r="I247" s="10"/>
      <c r="J247" s="10"/>
      <c r="K247" s="10"/>
      <c r="L247" s="10"/>
      <c r="M247" s="10"/>
      <c r="N247" s="10"/>
      <c r="O247" s="10"/>
      <c r="P247" s="10"/>
      <c r="Q247" s="10"/>
      <c r="R247" s="10"/>
      <c r="S247" s="10"/>
      <c r="T247" s="10"/>
      <c r="U247" s="10"/>
      <c r="V247" s="10"/>
      <c r="W247" s="10"/>
      <c r="X247" s="10"/>
      <c r="Y247" s="10"/>
      <c r="Z247" s="10"/>
      <c r="AA247" s="10"/>
      <c r="AB247" s="10"/>
      <c r="AC247" s="10"/>
      <c r="AD247" s="10"/>
      <c r="AE247" s="10"/>
      <c r="AF247" s="10"/>
      <c r="AG247" s="10"/>
      <c r="AH247" s="10"/>
      <c r="AI247" s="10"/>
      <c r="AJ247" s="10"/>
      <c r="AK247" s="10"/>
      <c r="AL247" s="10"/>
      <c r="AM247" s="10"/>
      <c r="AN247" s="10"/>
      <c r="AO247" s="10"/>
      <c r="AP247" s="10"/>
      <c r="AQ247" s="10"/>
      <c r="AR247" s="10"/>
      <c r="AS247" s="10"/>
      <c r="AT247" s="10"/>
      <c r="AU247" s="10"/>
      <c r="AV247" s="10"/>
      <c r="AW247" s="10"/>
      <c r="AX247" s="10"/>
      <c r="AY247" s="10"/>
      <c r="AZ247" s="10"/>
    </row>
    <row r="248" spans="1:52">
      <c r="A248" s="10"/>
      <c r="B248" s="10"/>
      <c r="C248" s="10"/>
      <c r="D248" s="10"/>
      <c r="E248" s="10"/>
      <c r="F248" s="10"/>
      <c r="G248" s="10"/>
      <c r="H248" s="10"/>
      <c r="I248" s="10"/>
      <c r="J248" s="10"/>
      <c r="K248" s="10"/>
      <c r="L248" s="10"/>
      <c r="M248" s="10"/>
      <c r="N248" s="10"/>
      <c r="O248" s="10"/>
      <c r="P248" s="10"/>
      <c r="Q248" s="10"/>
      <c r="R248" s="10"/>
      <c r="S248" s="10"/>
      <c r="T248" s="10"/>
      <c r="U248" s="10"/>
      <c r="V248" s="10"/>
      <c r="W248" s="10"/>
      <c r="X248" s="10"/>
      <c r="Y248" s="10"/>
      <c r="Z248" s="10"/>
      <c r="AA248" s="10"/>
      <c r="AB248" s="10"/>
      <c r="AC248" s="10"/>
      <c r="AD248" s="10"/>
      <c r="AE248" s="10"/>
      <c r="AF248" s="10"/>
      <c r="AG248" s="10"/>
      <c r="AH248" s="10"/>
      <c r="AI248" s="10"/>
      <c r="AJ248" s="10"/>
      <c r="AK248" s="10"/>
      <c r="AL248" s="10"/>
      <c r="AM248" s="10"/>
      <c r="AN248" s="10"/>
      <c r="AO248" s="10"/>
      <c r="AP248" s="10"/>
      <c r="AQ248" s="10"/>
      <c r="AR248" s="10"/>
      <c r="AS248" s="10"/>
      <c r="AT248" s="10"/>
      <c r="AU248" s="10"/>
      <c r="AV248" s="10"/>
      <c r="AW248" s="10"/>
      <c r="AX248" s="10"/>
      <c r="AY248" s="10"/>
      <c r="AZ248" s="10"/>
    </row>
    <row r="249" spans="1:52">
      <c r="A249" s="10"/>
      <c r="B249" s="10"/>
      <c r="C249" s="10"/>
      <c r="D249" s="10"/>
      <c r="E249" s="10"/>
      <c r="F249" s="10"/>
      <c r="G249" s="10"/>
      <c r="H249" s="10"/>
      <c r="I249" s="10"/>
      <c r="J249" s="10"/>
      <c r="K249" s="10"/>
      <c r="L249" s="10"/>
      <c r="M249" s="10"/>
      <c r="N249" s="10"/>
      <c r="O249" s="10"/>
      <c r="P249" s="10"/>
      <c r="Q249" s="10"/>
      <c r="R249" s="10"/>
      <c r="S249" s="10"/>
      <c r="T249" s="10"/>
      <c r="U249" s="10"/>
      <c r="V249" s="10"/>
      <c r="W249" s="10"/>
      <c r="X249" s="10"/>
      <c r="Y249" s="10"/>
      <c r="Z249" s="10"/>
      <c r="AA249" s="10"/>
      <c r="AB249" s="10"/>
      <c r="AC249" s="10"/>
      <c r="AD249" s="10"/>
      <c r="AE249" s="10"/>
      <c r="AF249" s="10"/>
      <c r="AG249" s="10"/>
      <c r="AH249" s="10"/>
      <c r="AI249" s="10"/>
      <c r="AJ249" s="10"/>
      <c r="AK249" s="10"/>
      <c r="AL249" s="10"/>
      <c r="AM249" s="10"/>
      <c r="AN249" s="10"/>
      <c r="AO249" s="10"/>
      <c r="AP249" s="10"/>
      <c r="AQ249" s="10"/>
      <c r="AR249" s="10"/>
      <c r="AS249" s="10"/>
      <c r="AT249" s="10"/>
      <c r="AU249" s="10"/>
      <c r="AV249" s="10"/>
      <c r="AW249" s="10"/>
      <c r="AX249" s="10"/>
      <c r="AY249" s="10"/>
      <c r="AZ249" s="10"/>
    </row>
    <row r="250" spans="1:52">
      <c r="A250" s="10"/>
      <c r="B250" s="10"/>
      <c r="C250" s="10"/>
      <c r="D250" s="10"/>
      <c r="E250" s="10"/>
      <c r="F250" s="10"/>
      <c r="G250" s="10"/>
      <c r="H250" s="10"/>
      <c r="I250" s="10"/>
      <c r="J250" s="10"/>
      <c r="K250" s="10"/>
      <c r="L250" s="10"/>
      <c r="M250" s="10"/>
      <c r="N250" s="10"/>
      <c r="O250" s="10"/>
      <c r="P250" s="10"/>
      <c r="Q250" s="10"/>
      <c r="R250" s="10"/>
      <c r="S250" s="10"/>
      <c r="T250" s="10"/>
      <c r="U250" s="10"/>
      <c r="V250" s="10"/>
      <c r="W250" s="10"/>
      <c r="X250" s="10"/>
      <c r="Y250" s="10"/>
      <c r="Z250" s="10"/>
      <c r="AA250" s="10"/>
      <c r="AB250" s="10"/>
      <c r="AC250" s="10"/>
      <c r="AD250" s="10"/>
      <c r="AE250" s="10"/>
      <c r="AF250" s="10"/>
      <c r="AG250" s="10"/>
      <c r="AH250" s="10"/>
      <c r="AI250" s="10"/>
      <c r="AJ250" s="10"/>
      <c r="AK250" s="10"/>
      <c r="AL250" s="10"/>
      <c r="AM250" s="10"/>
      <c r="AN250" s="10"/>
      <c r="AO250" s="10"/>
      <c r="AP250" s="10"/>
      <c r="AQ250" s="10"/>
      <c r="AR250" s="10"/>
      <c r="AS250" s="10"/>
      <c r="AT250" s="10"/>
      <c r="AU250" s="10"/>
      <c r="AV250" s="10"/>
      <c r="AW250" s="10"/>
      <c r="AX250" s="10"/>
      <c r="AY250" s="10"/>
      <c r="AZ250" s="10"/>
    </row>
    <row r="251" spans="1:52">
      <c r="A251" s="10"/>
      <c r="B251" s="10"/>
      <c r="C251" s="10"/>
      <c r="D251" s="10"/>
      <c r="E251" s="10"/>
      <c r="F251" s="10"/>
      <c r="G251" s="10"/>
      <c r="H251" s="10"/>
      <c r="I251" s="10"/>
      <c r="J251" s="10"/>
      <c r="K251" s="10"/>
      <c r="L251" s="10"/>
      <c r="M251" s="10"/>
      <c r="N251" s="10"/>
      <c r="O251" s="10"/>
      <c r="P251" s="10"/>
      <c r="Q251" s="10"/>
      <c r="R251" s="10"/>
      <c r="S251" s="10"/>
      <c r="T251" s="10"/>
      <c r="U251" s="10"/>
      <c r="V251" s="10"/>
      <c r="W251" s="10"/>
      <c r="X251" s="10"/>
      <c r="Y251" s="10"/>
      <c r="Z251" s="10"/>
      <c r="AA251" s="10"/>
      <c r="AB251" s="10"/>
      <c r="AC251" s="10"/>
      <c r="AD251" s="10"/>
      <c r="AE251" s="10"/>
      <c r="AF251" s="10"/>
      <c r="AG251" s="10"/>
      <c r="AH251" s="10"/>
      <c r="AI251" s="10"/>
      <c r="AJ251" s="10"/>
      <c r="AK251" s="10"/>
      <c r="AL251" s="10"/>
      <c r="AM251" s="10"/>
      <c r="AN251" s="10"/>
      <c r="AO251" s="10"/>
      <c r="AP251" s="10"/>
      <c r="AQ251" s="10"/>
      <c r="AR251" s="10"/>
      <c r="AS251" s="10"/>
      <c r="AT251" s="10"/>
      <c r="AU251" s="10"/>
      <c r="AV251" s="10"/>
      <c r="AW251" s="10"/>
      <c r="AX251" s="10"/>
      <c r="AY251" s="10"/>
      <c r="AZ251" s="10"/>
    </row>
    <row r="252" spans="1:52">
      <c r="A252" s="10"/>
      <c r="B252" s="10"/>
      <c r="C252" s="10"/>
      <c r="D252" s="10"/>
      <c r="E252" s="10"/>
      <c r="F252" s="10"/>
      <c r="G252" s="10"/>
      <c r="H252" s="10"/>
      <c r="I252" s="10"/>
      <c r="J252" s="10"/>
      <c r="K252" s="10"/>
      <c r="L252" s="10"/>
      <c r="M252" s="10"/>
      <c r="N252" s="10"/>
      <c r="O252" s="10"/>
      <c r="P252" s="10"/>
      <c r="Q252" s="10"/>
      <c r="R252" s="10"/>
      <c r="S252" s="10"/>
      <c r="T252" s="10"/>
      <c r="U252" s="10"/>
      <c r="V252" s="10"/>
      <c r="W252" s="10"/>
      <c r="X252" s="10"/>
      <c r="Y252" s="10"/>
      <c r="Z252" s="10"/>
      <c r="AA252" s="10"/>
      <c r="AB252" s="10"/>
      <c r="AC252" s="10"/>
      <c r="AD252" s="10"/>
      <c r="AE252" s="10"/>
      <c r="AF252" s="10"/>
      <c r="AG252" s="10"/>
      <c r="AH252" s="10"/>
      <c r="AI252" s="10"/>
      <c r="AJ252" s="10"/>
      <c r="AK252" s="10"/>
      <c r="AL252" s="10"/>
      <c r="AM252" s="10"/>
      <c r="AN252" s="10"/>
      <c r="AO252" s="10"/>
      <c r="AP252" s="10"/>
      <c r="AQ252" s="10"/>
      <c r="AR252" s="10"/>
      <c r="AS252" s="10"/>
      <c r="AT252" s="10"/>
      <c r="AU252" s="10"/>
      <c r="AV252" s="10"/>
      <c r="AW252" s="10"/>
      <c r="AX252" s="10"/>
      <c r="AY252" s="10"/>
      <c r="AZ252" s="10"/>
    </row>
    <row r="253" spans="1:52">
      <c r="A253" s="10"/>
      <c r="B253" s="10"/>
      <c r="C253" s="10"/>
      <c r="D253" s="10"/>
      <c r="E253" s="10"/>
      <c r="F253" s="10"/>
      <c r="G253" s="10"/>
      <c r="H253" s="10"/>
      <c r="I253" s="10"/>
      <c r="J253" s="10"/>
      <c r="K253" s="10"/>
      <c r="L253" s="10"/>
      <c r="M253" s="10"/>
      <c r="N253" s="10"/>
      <c r="O253" s="10"/>
      <c r="P253" s="10"/>
      <c r="Q253" s="10"/>
      <c r="R253" s="10"/>
      <c r="S253" s="10"/>
      <c r="T253" s="10"/>
      <c r="U253" s="10"/>
      <c r="V253" s="10"/>
      <c r="W253" s="10"/>
      <c r="X253" s="10"/>
      <c r="Y253" s="10"/>
      <c r="Z253" s="10"/>
      <c r="AA253" s="10"/>
      <c r="AB253" s="10"/>
      <c r="AC253" s="10"/>
      <c r="AD253" s="10"/>
      <c r="AE253" s="10"/>
      <c r="AF253" s="10"/>
      <c r="AG253" s="10"/>
      <c r="AH253" s="10"/>
      <c r="AI253" s="10"/>
      <c r="AJ253" s="10"/>
      <c r="AK253" s="10"/>
      <c r="AL253" s="10"/>
      <c r="AM253" s="10"/>
      <c r="AN253" s="10"/>
      <c r="AO253" s="10"/>
      <c r="AP253" s="10"/>
      <c r="AQ253" s="10"/>
      <c r="AR253" s="10"/>
      <c r="AS253" s="10"/>
      <c r="AT253" s="10"/>
      <c r="AU253" s="10"/>
      <c r="AV253" s="10"/>
      <c r="AW253" s="10"/>
      <c r="AX253" s="10"/>
      <c r="AY253" s="10"/>
      <c r="AZ253" s="10"/>
    </row>
    <row r="254" spans="1:52">
      <c r="A254" s="10"/>
      <c r="B254" s="10"/>
      <c r="C254" s="10"/>
      <c r="D254" s="10"/>
      <c r="E254" s="10"/>
      <c r="F254" s="10"/>
      <c r="G254" s="10"/>
      <c r="H254" s="10"/>
      <c r="I254" s="10"/>
      <c r="J254" s="10"/>
      <c r="K254" s="10"/>
      <c r="L254" s="10"/>
      <c r="M254" s="10"/>
      <c r="N254" s="10"/>
      <c r="O254" s="10"/>
      <c r="P254" s="10"/>
      <c r="Q254" s="10"/>
      <c r="R254" s="10"/>
      <c r="S254" s="10"/>
      <c r="T254" s="10"/>
      <c r="U254" s="10"/>
      <c r="V254" s="10"/>
      <c r="W254" s="10"/>
      <c r="X254" s="10"/>
      <c r="Y254" s="10"/>
      <c r="Z254" s="10"/>
      <c r="AA254" s="10"/>
      <c r="AB254" s="10"/>
      <c r="AC254" s="10"/>
      <c r="AD254" s="10"/>
      <c r="AE254" s="10"/>
      <c r="AF254" s="10"/>
      <c r="AG254" s="10"/>
      <c r="AH254" s="10"/>
      <c r="AI254" s="10"/>
      <c r="AJ254" s="10"/>
      <c r="AK254" s="10"/>
      <c r="AL254" s="10"/>
      <c r="AM254" s="10"/>
      <c r="AN254" s="10"/>
      <c r="AO254" s="10"/>
      <c r="AP254" s="10"/>
      <c r="AQ254" s="10"/>
      <c r="AR254" s="10"/>
      <c r="AS254" s="10"/>
      <c r="AT254" s="10"/>
      <c r="AU254" s="10"/>
      <c r="AV254" s="10"/>
      <c r="AW254" s="10"/>
      <c r="AX254" s="10"/>
      <c r="AY254" s="10"/>
      <c r="AZ254" s="10"/>
    </row>
    <row r="255" spans="1:52">
      <c r="A255" s="10"/>
      <c r="B255" s="10"/>
      <c r="C255" s="10"/>
      <c r="D255" s="10"/>
      <c r="E255" s="10"/>
      <c r="F255" s="10"/>
      <c r="G255" s="10"/>
      <c r="H255" s="10"/>
      <c r="I255" s="10"/>
      <c r="J255" s="10"/>
      <c r="K255" s="10"/>
      <c r="L255" s="10"/>
      <c r="M255" s="10"/>
      <c r="N255" s="10"/>
      <c r="O255" s="10"/>
      <c r="P255" s="10"/>
      <c r="Q255" s="10"/>
      <c r="R255" s="10"/>
      <c r="S255" s="10"/>
      <c r="T255" s="10"/>
      <c r="U255" s="10"/>
      <c r="V255" s="10"/>
      <c r="W255" s="10"/>
      <c r="X255" s="10"/>
      <c r="Y255" s="10"/>
      <c r="Z255" s="10"/>
      <c r="AA255" s="10"/>
      <c r="AB255" s="10"/>
      <c r="AC255" s="10"/>
      <c r="AD255" s="10"/>
      <c r="AE255" s="10"/>
      <c r="AF255" s="10"/>
      <c r="AG255" s="10"/>
      <c r="AH255" s="10"/>
      <c r="AI255" s="10"/>
      <c r="AJ255" s="10"/>
      <c r="AK255" s="10"/>
      <c r="AL255" s="10"/>
      <c r="AM255" s="10"/>
      <c r="AN255" s="10"/>
      <c r="AO255" s="10"/>
      <c r="AP255" s="10"/>
      <c r="AQ255" s="10"/>
      <c r="AR255" s="10"/>
      <c r="AS255" s="10"/>
      <c r="AT255" s="10"/>
      <c r="AU255" s="10"/>
      <c r="AV255" s="10"/>
      <c r="AW255" s="10"/>
      <c r="AX255" s="10"/>
      <c r="AY255" s="10"/>
      <c r="AZ255" s="10"/>
    </row>
    <row r="256" spans="1:52">
      <c r="A256" s="10"/>
      <c r="B256" s="10"/>
      <c r="C256" s="10"/>
      <c r="D256" s="10"/>
      <c r="E256" s="10"/>
      <c r="F256" s="10"/>
      <c r="G256" s="10"/>
      <c r="H256" s="10"/>
      <c r="I256" s="10"/>
      <c r="J256" s="10"/>
      <c r="K256" s="10"/>
      <c r="L256" s="10"/>
      <c r="M256" s="10"/>
      <c r="N256" s="10"/>
      <c r="O256" s="10"/>
      <c r="P256" s="10"/>
      <c r="Q256" s="10"/>
      <c r="R256" s="10"/>
      <c r="S256" s="10"/>
      <c r="T256" s="10"/>
      <c r="U256" s="10"/>
      <c r="V256" s="10"/>
      <c r="W256" s="10"/>
      <c r="X256" s="10"/>
      <c r="Y256" s="10"/>
      <c r="Z256" s="10"/>
      <c r="AA256" s="10"/>
      <c r="AB256" s="10"/>
      <c r="AC256" s="10"/>
      <c r="AD256" s="10"/>
      <c r="AE256" s="10"/>
      <c r="AF256" s="10"/>
      <c r="AG256" s="10"/>
      <c r="AH256" s="10"/>
      <c r="AI256" s="10"/>
      <c r="AJ256" s="10"/>
      <c r="AK256" s="10"/>
      <c r="AL256" s="10"/>
      <c r="AM256" s="10"/>
      <c r="AN256" s="10"/>
      <c r="AO256" s="10"/>
      <c r="AP256" s="10"/>
      <c r="AQ256" s="10"/>
      <c r="AR256" s="10"/>
      <c r="AS256" s="10"/>
      <c r="AT256" s="10"/>
      <c r="AU256" s="10"/>
      <c r="AV256" s="10"/>
      <c r="AW256" s="10"/>
      <c r="AX256" s="10"/>
      <c r="AY256" s="10"/>
      <c r="AZ256" s="10"/>
    </row>
    <row r="257" spans="1:52">
      <c r="A257" s="10"/>
      <c r="B257" s="10"/>
      <c r="C257" s="10"/>
      <c r="D257" s="10"/>
      <c r="E257" s="10"/>
      <c r="F257" s="10"/>
      <c r="G257" s="10"/>
      <c r="H257" s="10"/>
      <c r="I257" s="10"/>
      <c r="J257" s="10"/>
      <c r="K257" s="10"/>
      <c r="L257" s="10"/>
      <c r="M257" s="10"/>
      <c r="N257" s="10"/>
      <c r="O257" s="10"/>
      <c r="P257" s="10"/>
      <c r="Q257" s="10"/>
      <c r="R257" s="10"/>
      <c r="S257" s="10"/>
      <c r="T257" s="10"/>
      <c r="U257" s="10"/>
      <c r="V257" s="10"/>
      <c r="W257" s="10"/>
      <c r="X257" s="10"/>
      <c r="Y257" s="10"/>
      <c r="Z257" s="10"/>
      <c r="AA257" s="10"/>
      <c r="AB257" s="10"/>
      <c r="AC257" s="10"/>
      <c r="AD257" s="10"/>
      <c r="AE257" s="10"/>
      <c r="AF257" s="10"/>
      <c r="AG257" s="10"/>
      <c r="AH257" s="10"/>
      <c r="AI257" s="10"/>
      <c r="AJ257" s="10"/>
      <c r="AK257" s="10"/>
      <c r="AL257" s="10"/>
      <c r="AM257" s="10"/>
      <c r="AN257" s="10"/>
      <c r="AO257" s="10"/>
      <c r="AP257" s="10"/>
      <c r="AQ257" s="10"/>
      <c r="AR257" s="10"/>
      <c r="AS257" s="10"/>
      <c r="AT257" s="10"/>
      <c r="AU257" s="10"/>
      <c r="AV257" s="10"/>
      <c r="AW257" s="10"/>
      <c r="AX257" s="10"/>
      <c r="AY257" s="10"/>
      <c r="AZ257" s="10"/>
    </row>
    <row r="258" spans="1:52">
      <c r="A258" s="10"/>
      <c r="B258" s="10"/>
      <c r="C258" s="10"/>
      <c r="D258" s="10"/>
      <c r="E258" s="10"/>
      <c r="F258" s="10"/>
      <c r="G258" s="10"/>
      <c r="H258" s="10"/>
      <c r="I258" s="10"/>
      <c r="J258" s="10"/>
      <c r="K258" s="10"/>
      <c r="L258" s="10"/>
      <c r="M258" s="10"/>
      <c r="N258" s="10"/>
      <c r="O258" s="10"/>
      <c r="P258" s="10"/>
      <c r="Q258" s="10"/>
      <c r="R258" s="10"/>
      <c r="S258" s="10"/>
      <c r="T258" s="10"/>
      <c r="U258" s="10"/>
      <c r="V258" s="10"/>
      <c r="W258" s="10"/>
      <c r="X258" s="10"/>
      <c r="Y258" s="10"/>
      <c r="Z258" s="10"/>
      <c r="AA258" s="10"/>
      <c r="AB258" s="10"/>
      <c r="AC258" s="10"/>
      <c r="AD258" s="10"/>
      <c r="AE258" s="10"/>
      <c r="AF258" s="10"/>
      <c r="AG258" s="10"/>
      <c r="AH258" s="10"/>
      <c r="AI258" s="10"/>
      <c r="AJ258" s="10"/>
      <c r="AK258" s="10"/>
      <c r="AL258" s="10"/>
      <c r="AM258" s="10"/>
      <c r="AN258" s="10"/>
      <c r="AO258" s="10"/>
      <c r="AP258" s="10"/>
      <c r="AQ258" s="10"/>
      <c r="AR258" s="10"/>
      <c r="AS258" s="10"/>
      <c r="AT258" s="10"/>
      <c r="AU258" s="10"/>
      <c r="AV258" s="10"/>
      <c r="AW258" s="10"/>
      <c r="AX258" s="10"/>
      <c r="AY258" s="10"/>
      <c r="AZ258" s="10"/>
    </row>
    <row r="259" spans="1:52">
      <c r="A259" s="10"/>
      <c r="B259" s="10"/>
      <c r="C259" s="10"/>
      <c r="D259" s="10"/>
      <c r="E259" s="10"/>
      <c r="F259" s="10"/>
      <c r="G259" s="10"/>
      <c r="H259" s="10"/>
      <c r="I259" s="10"/>
      <c r="J259" s="10"/>
      <c r="K259" s="10"/>
      <c r="L259" s="10"/>
      <c r="M259" s="10"/>
      <c r="N259" s="10"/>
      <c r="O259" s="10"/>
      <c r="P259" s="10"/>
      <c r="Q259" s="10"/>
      <c r="R259" s="10"/>
      <c r="S259" s="10"/>
      <c r="T259" s="10"/>
      <c r="U259" s="10"/>
      <c r="V259" s="10"/>
      <c r="W259" s="10"/>
      <c r="X259" s="10"/>
      <c r="Y259" s="10"/>
      <c r="Z259" s="10"/>
      <c r="AA259" s="10"/>
      <c r="AB259" s="10"/>
      <c r="AC259" s="10"/>
      <c r="AD259" s="10"/>
      <c r="AE259" s="10"/>
      <c r="AF259" s="10"/>
      <c r="AG259" s="10"/>
      <c r="AH259" s="10"/>
      <c r="AI259" s="10"/>
      <c r="AJ259" s="10"/>
      <c r="AK259" s="10"/>
      <c r="AL259" s="10"/>
      <c r="AM259" s="10"/>
      <c r="AN259" s="10"/>
      <c r="AO259" s="10"/>
      <c r="AP259" s="10"/>
      <c r="AQ259" s="10"/>
      <c r="AR259" s="10"/>
      <c r="AS259" s="10"/>
      <c r="AT259" s="10"/>
      <c r="AU259" s="10"/>
      <c r="AV259" s="10"/>
      <c r="AW259" s="10"/>
      <c r="AX259" s="10"/>
      <c r="AY259" s="10"/>
      <c r="AZ259" s="10"/>
    </row>
    <row r="260" spans="1:52">
      <c r="A260" s="10"/>
      <c r="B260" s="10"/>
      <c r="C260" s="10"/>
      <c r="D260" s="10"/>
      <c r="E260" s="10"/>
      <c r="F260" s="10"/>
      <c r="G260" s="10"/>
      <c r="H260" s="10"/>
      <c r="I260" s="10"/>
      <c r="J260" s="10"/>
      <c r="K260" s="10"/>
      <c r="L260" s="10"/>
      <c r="M260" s="10"/>
      <c r="N260" s="10"/>
      <c r="O260" s="10"/>
      <c r="P260" s="10"/>
      <c r="Q260" s="10"/>
      <c r="R260" s="10"/>
      <c r="S260" s="10"/>
      <c r="T260" s="10"/>
      <c r="U260" s="10"/>
      <c r="V260" s="10"/>
      <c r="W260" s="10"/>
      <c r="X260" s="10"/>
      <c r="Y260" s="10"/>
      <c r="Z260" s="10"/>
      <c r="AA260" s="10"/>
      <c r="AB260" s="10"/>
      <c r="AC260" s="10"/>
      <c r="AD260" s="10"/>
      <c r="AE260" s="10"/>
      <c r="AF260" s="10"/>
      <c r="AG260" s="10"/>
      <c r="AH260" s="10"/>
      <c r="AI260" s="10"/>
      <c r="AJ260" s="10"/>
      <c r="AK260" s="10"/>
      <c r="AL260" s="10"/>
      <c r="AM260" s="10"/>
      <c r="AN260" s="10"/>
      <c r="AO260" s="10"/>
      <c r="AP260" s="10"/>
      <c r="AQ260" s="10"/>
      <c r="AR260" s="10"/>
      <c r="AS260" s="10"/>
      <c r="AT260" s="10"/>
      <c r="AU260" s="10"/>
      <c r="AV260" s="10"/>
      <c r="AW260" s="10"/>
      <c r="AX260" s="10"/>
      <c r="AY260" s="10"/>
      <c r="AZ260" s="10"/>
    </row>
  </sheetData>
  <conditionalFormatting sqref="I1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:E28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:F28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:G28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2:H28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2:I2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:J2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Button1_Click">
                <anchor moveWithCells="1" sizeWithCells="1">
                  <from>
                    <xdr:col>5</xdr:col>
                    <xdr:colOff>1073150</xdr:colOff>
                    <xdr:row>30</xdr:row>
                    <xdr:rowOff>177800</xdr:rowOff>
                  </from>
                  <to>
                    <xdr:col>6</xdr:col>
                    <xdr:colOff>1187450</xdr:colOff>
                    <xdr:row>32</xdr:row>
                    <xdr:rowOff>44450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3E1A8-9DC3-40EA-8B66-72E7E875CC98}">
  <sheetPr codeName="Sheet10">
    <tabColor theme="9"/>
  </sheetPr>
  <dimension ref="A1:BG243"/>
  <sheetViews>
    <sheetView workbookViewId="0">
      <selection activeCell="U30" sqref="U30"/>
    </sheetView>
  </sheetViews>
  <sheetFormatPr defaultRowHeight="14.5"/>
  <cols>
    <col min="2" max="2" width="21.90625" customWidth="1"/>
    <col min="3" max="3" width="3.26953125" customWidth="1"/>
    <col min="6" max="6" width="5.1796875" customWidth="1"/>
    <col min="8" max="8" width="9.81640625" bestFit="1" customWidth="1"/>
    <col min="9" max="9" width="3.81640625" bestFit="1" customWidth="1"/>
    <col min="11" max="11" width="10.54296875" customWidth="1"/>
    <col min="53" max="56" width="12.08984375" bestFit="1" customWidth="1"/>
  </cols>
  <sheetData>
    <row r="1" spans="1:59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 t="s">
        <v>418</v>
      </c>
      <c r="BB1" s="1" t="s">
        <v>419</v>
      </c>
      <c r="BC1" s="1" t="s">
        <v>420</v>
      </c>
      <c r="BD1" s="1" t="s">
        <v>421</v>
      </c>
      <c r="BE1" s="1"/>
      <c r="BF1" s="1"/>
      <c r="BG1" s="1"/>
    </row>
    <row r="2" spans="1:59" ht="31.5" customHeight="1">
      <c r="A2" s="1"/>
      <c r="B2" s="90" t="s">
        <v>366</v>
      </c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P2" s="89"/>
      <c r="Q2" s="89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33">
        <f>VLOOKUP('Server Options (Greenfield)'!A10,'Server Options (Greenfield)'!$A$2:'Server Options (Greenfield)'!$R$7,18)+'vGPU Options'!$I11</f>
        <v>128272</v>
      </c>
      <c r="BB2" s="33">
        <f>VLOOKUP('Server Options (Greenfield)'!A13,'Server Options (Greenfield)'!$A$2:'Server Options (Greenfield)'!$R$7,18)+'vGPU Options'!$I12</f>
        <v>137640</v>
      </c>
      <c r="BC2" s="33">
        <f>VLOOKUP('Server Options (Greenfield)'!A16,'Server Options (Greenfield)'!$A$2:'Server Options (Greenfield)'!$R$7,18)+'vGPU Options'!$I13</f>
        <v>168448</v>
      </c>
      <c r="BD2" s="33">
        <f>MAX(BA2:BC2)</f>
        <v>168448</v>
      </c>
      <c r="BE2" s="1"/>
      <c r="BF2" s="1"/>
      <c r="BG2" s="1"/>
    </row>
    <row r="3" spans="1:59">
      <c r="A3" s="1"/>
      <c r="B3" s="1" t="str">
        <f>'VDI Profiles'!A4</f>
        <v>Example VDI Profile</v>
      </c>
      <c r="C3" s="1"/>
      <c r="D3" s="1">
        <f>'VDI Profiles'!B4</f>
        <v>2</v>
      </c>
      <c r="E3" s="1" t="s">
        <v>367</v>
      </c>
      <c r="F3" s="1"/>
      <c r="G3" s="1">
        <f>'VDI Profiles'!C4</f>
        <v>4</v>
      </c>
      <c r="H3" s="1" t="s">
        <v>369</v>
      </c>
      <c r="I3" s="1"/>
      <c r="J3" s="1">
        <f>'VDI Profiles'!D4</f>
        <v>2</v>
      </c>
      <c r="K3" s="1" t="s">
        <v>371</v>
      </c>
      <c r="L3" s="1"/>
      <c r="M3" s="1">
        <f>'VDI Profiles'!E4</f>
        <v>200</v>
      </c>
      <c r="N3" s="1" t="s">
        <v>2</v>
      </c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58">
        <f>$BD$2/BA2-1</f>
        <v>0.31320942996133216</v>
      </c>
      <c r="BB3" s="58">
        <f>$BD$2/BB2-1</f>
        <v>0.22383028189479792</v>
      </c>
      <c r="BC3" s="58">
        <f>$BD$2/BC2-1</f>
        <v>0</v>
      </c>
      <c r="BE3" s="1"/>
      <c r="BF3" s="1"/>
      <c r="BG3" s="1"/>
    </row>
    <row r="4" spans="1:59">
      <c r="A4" s="1"/>
      <c r="B4" s="1" t="str">
        <f>'VDI Profiles'!A5</f>
        <v>Another example VDI Profile</v>
      </c>
      <c r="C4" s="1"/>
      <c r="D4" s="1">
        <f>'VDI Profiles'!B5</f>
        <v>2</v>
      </c>
      <c r="E4" s="1" t="s">
        <v>367</v>
      </c>
      <c r="F4" s="1"/>
      <c r="G4" s="1">
        <f>'VDI Profiles'!C5</f>
        <v>8</v>
      </c>
      <c r="H4" s="1" t="s">
        <v>369</v>
      </c>
      <c r="I4" s="1"/>
      <c r="J4" s="1">
        <f>'VDI Profiles'!D5</f>
        <v>0.5</v>
      </c>
      <c r="K4" s="1" t="s">
        <v>371</v>
      </c>
      <c r="L4" s="1"/>
      <c r="M4" s="1">
        <f>'VDI Profiles'!E5</f>
        <v>300</v>
      </c>
      <c r="N4" s="1" t="s">
        <v>2</v>
      </c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</row>
    <row r="5" spans="1:59" hidden="1">
      <c r="A5" s="1"/>
      <c r="B5" s="1">
        <f>'VDI Profiles'!A6</f>
        <v>0</v>
      </c>
      <c r="C5" s="1"/>
      <c r="D5" s="1">
        <f>'VDI Profiles'!B6</f>
        <v>0</v>
      </c>
      <c r="E5" s="1" t="s">
        <v>367</v>
      </c>
      <c r="F5" s="1"/>
      <c r="G5" s="1">
        <f>'VDI Profiles'!C6</f>
        <v>0</v>
      </c>
      <c r="H5" s="1" t="s">
        <v>369</v>
      </c>
      <c r="I5" s="1"/>
      <c r="J5" s="1">
        <f>'VDI Profiles'!D6</f>
        <v>0</v>
      </c>
      <c r="K5" s="1" t="s">
        <v>371</v>
      </c>
      <c r="L5" s="1"/>
      <c r="M5" s="1">
        <f>'VDI Profiles'!E6</f>
        <v>0</v>
      </c>
      <c r="N5" s="1" t="s">
        <v>2</v>
      </c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</row>
    <row r="6" spans="1:59" hidden="1">
      <c r="A6" s="1"/>
      <c r="B6" s="1">
        <f>'VDI Profiles'!A7</f>
        <v>0</v>
      </c>
      <c r="C6" s="1"/>
      <c r="D6" s="1">
        <f>'VDI Profiles'!B7</f>
        <v>0</v>
      </c>
      <c r="E6" s="1" t="s">
        <v>367</v>
      </c>
      <c r="F6" s="1"/>
      <c r="G6" s="1">
        <f>'VDI Profiles'!C7</f>
        <v>0</v>
      </c>
      <c r="H6" s="1" t="s">
        <v>369</v>
      </c>
      <c r="I6" s="1"/>
      <c r="J6" s="1">
        <f>'VDI Profiles'!D7</f>
        <v>0</v>
      </c>
      <c r="K6" s="1" t="s">
        <v>371</v>
      </c>
      <c r="L6" s="1"/>
      <c r="M6" s="1">
        <f>'VDI Profiles'!E7</f>
        <v>0</v>
      </c>
      <c r="N6" s="1" t="s">
        <v>2</v>
      </c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</row>
    <row r="7" spans="1:59" hidden="1">
      <c r="A7" s="1"/>
      <c r="B7" s="1">
        <f>'VDI Profiles'!A8</f>
        <v>0</v>
      </c>
      <c r="C7" s="1"/>
      <c r="D7" s="1">
        <f>'VDI Profiles'!B8</f>
        <v>0</v>
      </c>
      <c r="E7" s="1" t="s">
        <v>367</v>
      </c>
      <c r="F7" s="1"/>
      <c r="G7" s="1">
        <f>'VDI Profiles'!C8</f>
        <v>0</v>
      </c>
      <c r="H7" s="1" t="s">
        <v>369</v>
      </c>
      <c r="I7" s="1"/>
      <c r="J7" s="1">
        <f>'VDI Profiles'!D8</f>
        <v>0</v>
      </c>
      <c r="K7" s="1" t="s">
        <v>371</v>
      </c>
      <c r="L7" s="1"/>
      <c r="M7" s="1">
        <f>'VDI Profiles'!E8</f>
        <v>0</v>
      </c>
      <c r="N7" s="1" t="s">
        <v>2</v>
      </c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</row>
    <row r="8" spans="1:59" hidden="1">
      <c r="A8" s="1"/>
      <c r="B8" s="1">
        <f>'VDI Profiles'!A9</f>
        <v>0</v>
      </c>
      <c r="C8" s="1"/>
      <c r="D8" s="1">
        <f>'VDI Profiles'!B9</f>
        <v>0</v>
      </c>
      <c r="E8" s="1" t="s">
        <v>367</v>
      </c>
      <c r="F8" s="1"/>
      <c r="G8" s="1">
        <f>'VDI Profiles'!C9</f>
        <v>0</v>
      </c>
      <c r="H8" s="1" t="s">
        <v>369</v>
      </c>
      <c r="I8" s="1"/>
      <c r="J8" s="1">
        <f>'VDI Profiles'!D9</f>
        <v>0</v>
      </c>
      <c r="K8" s="1" t="s">
        <v>371</v>
      </c>
      <c r="L8" s="1"/>
      <c r="M8" s="1">
        <f>'VDI Profiles'!E9</f>
        <v>0</v>
      </c>
      <c r="N8" s="1" t="s">
        <v>2</v>
      </c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</row>
    <row r="9" spans="1:59" hidden="1">
      <c r="A9" s="1"/>
      <c r="B9" s="1">
        <f>'VDI Profiles'!A10</f>
        <v>0</v>
      </c>
      <c r="C9" s="1"/>
      <c r="D9" s="1">
        <f>'VDI Profiles'!B10</f>
        <v>0</v>
      </c>
      <c r="E9" s="1" t="s">
        <v>367</v>
      </c>
      <c r="F9" s="1"/>
      <c r="G9" s="1">
        <f>'VDI Profiles'!C10</f>
        <v>0</v>
      </c>
      <c r="H9" s="1" t="s">
        <v>369</v>
      </c>
      <c r="I9" s="1"/>
      <c r="J9" s="1">
        <f>'VDI Profiles'!D10</f>
        <v>0</v>
      </c>
      <c r="K9" s="1" t="s">
        <v>371</v>
      </c>
      <c r="L9" s="1"/>
      <c r="M9" s="1">
        <f>'VDI Profiles'!E10</f>
        <v>0</v>
      </c>
      <c r="N9" s="1" t="s">
        <v>2</v>
      </c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</row>
    <row r="10" spans="1:59" hidden="1">
      <c r="A10" s="1"/>
      <c r="B10" s="1">
        <f>'VDI Profiles'!A11</f>
        <v>0</v>
      </c>
      <c r="C10" s="1"/>
      <c r="D10" s="1">
        <f>'VDI Profiles'!B11</f>
        <v>0</v>
      </c>
      <c r="E10" s="1" t="s">
        <v>367</v>
      </c>
      <c r="F10" s="1"/>
      <c r="G10" s="1">
        <f>'VDI Profiles'!C11</f>
        <v>0</v>
      </c>
      <c r="H10" s="1" t="s">
        <v>369</v>
      </c>
      <c r="I10" s="1"/>
      <c r="J10" s="1">
        <f>'VDI Profiles'!D11</f>
        <v>0</v>
      </c>
      <c r="K10" s="1" t="s">
        <v>371</v>
      </c>
      <c r="L10" s="1"/>
      <c r="M10" s="1">
        <f>'VDI Profiles'!E11</f>
        <v>0</v>
      </c>
      <c r="N10" s="1" t="s">
        <v>2</v>
      </c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</row>
    <row r="11" spans="1:59" hidden="1">
      <c r="A11" s="1"/>
      <c r="B11" s="1">
        <f>'VDI Profiles'!A12</f>
        <v>0</v>
      </c>
      <c r="C11" s="1"/>
      <c r="D11" s="1">
        <f>'VDI Profiles'!B12</f>
        <v>0</v>
      </c>
      <c r="E11" s="1" t="s">
        <v>367</v>
      </c>
      <c r="F11" s="1"/>
      <c r="G11" s="1">
        <f>'VDI Profiles'!C12</f>
        <v>0</v>
      </c>
      <c r="H11" s="1" t="s">
        <v>369</v>
      </c>
      <c r="I11" s="1"/>
      <c r="J11" s="1">
        <f>'VDI Profiles'!D12</f>
        <v>0</v>
      </c>
      <c r="K11" s="1" t="s">
        <v>371</v>
      </c>
      <c r="L11" s="1"/>
      <c r="M11" s="1">
        <f>'VDI Profiles'!E12</f>
        <v>0</v>
      </c>
      <c r="N11" s="1" t="s">
        <v>2</v>
      </c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</row>
    <row r="12" spans="1:59" hidden="1">
      <c r="A12" s="1"/>
      <c r="B12" s="1">
        <f>'VDI Profiles'!A13</f>
        <v>0</v>
      </c>
      <c r="C12" s="1"/>
      <c r="D12" s="1">
        <f>'VDI Profiles'!B13</f>
        <v>0</v>
      </c>
      <c r="E12" s="1" t="s">
        <v>367</v>
      </c>
      <c r="F12" s="1"/>
      <c r="G12" s="1">
        <f>'VDI Profiles'!C13</f>
        <v>0</v>
      </c>
      <c r="H12" s="1" t="s">
        <v>369</v>
      </c>
      <c r="I12" s="1"/>
      <c r="J12" s="1">
        <f>'VDI Profiles'!D13</f>
        <v>0</v>
      </c>
      <c r="K12" s="1" t="s">
        <v>371</v>
      </c>
      <c r="L12" s="1"/>
      <c r="M12" s="1">
        <f>'VDI Profiles'!E13</f>
        <v>0</v>
      </c>
      <c r="N12" s="1" t="s">
        <v>2</v>
      </c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</row>
    <row r="13" spans="1:59">
      <c r="A13" s="1"/>
      <c r="B13" s="84">
        <f>'VDI Profiles'!A14</f>
        <v>2</v>
      </c>
      <c r="C13" s="1"/>
      <c r="D13" s="117">
        <f>'VDI Profiles'!F14</f>
        <v>1000</v>
      </c>
      <c r="E13" s="117"/>
      <c r="F13" s="1"/>
      <c r="G13" s="117">
        <f>'VDI Profiles'!G14</f>
        <v>3200</v>
      </c>
      <c r="H13" s="117"/>
      <c r="I13" s="1"/>
      <c r="J13" s="117">
        <f>'VDI Profiles'!H14</f>
        <v>550</v>
      </c>
      <c r="K13" s="117"/>
      <c r="L13" s="1"/>
      <c r="M13" s="117">
        <f>'VDI Profiles'!E14</f>
        <v>500</v>
      </c>
      <c r="N13" s="117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</row>
    <row r="14" spans="1:59">
      <c r="A14" s="1"/>
      <c r="B14" s="1" t="s">
        <v>427</v>
      </c>
      <c r="C14" s="1"/>
      <c r="D14" s="1" t="s">
        <v>368</v>
      </c>
      <c r="E14" s="1"/>
      <c r="F14" s="1"/>
      <c r="G14" s="1" t="s">
        <v>370</v>
      </c>
      <c r="H14" s="1"/>
      <c r="I14" s="1"/>
      <c r="J14" s="1" t="s">
        <v>372</v>
      </c>
      <c r="K14" s="1"/>
      <c r="L14" s="1"/>
      <c r="M14" s="1" t="s">
        <v>428</v>
      </c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</row>
    <row r="15" spans="1:59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</row>
    <row r="16" spans="1:59" ht="31.5" customHeight="1">
      <c r="A16" s="1"/>
      <c r="B16" s="90" t="s">
        <v>374</v>
      </c>
      <c r="C16" s="89"/>
      <c r="D16" s="89"/>
      <c r="E16" s="89"/>
      <c r="F16" s="89"/>
      <c r="G16" s="89"/>
      <c r="H16" s="89"/>
      <c r="I16" s="89"/>
      <c r="J16" s="89"/>
      <c r="K16" s="89"/>
      <c r="L16" s="89"/>
      <c r="M16" s="89"/>
      <c r="N16" s="89"/>
      <c r="O16" s="89"/>
      <c r="P16" s="89"/>
      <c r="Q16" s="89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</row>
    <row r="17" spans="1:59">
      <c r="A17" s="1"/>
      <c r="B17" s="1" t="s">
        <v>375</v>
      </c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</row>
    <row r="18" spans="1:59">
      <c r="A18" s="1"/>
      <c r="B18" s="87">
        <f>IFERROR(VLOOKUP('Server Options (Greenfield)'!A10,'Server Options (Greenfield)'!$A$1:'Server Options (Greenfield)'!$B$10,2,FALSE),"")</f>
        <v>4</v>
      </c>
      <c r="C18" s="1" t="s">
        <v>378</v>
      </c>
      <c r="D18" s="1"/>
      <c r="E18" s="85" t="str">
        <f>IFERROR(VLOOKUP('Server Options (Greenfield)'!A10,'Server Options (Greenfield)'!$A$1:'Server Options (Greenfield)'!$C$10,3,FALSE),"")</f>
        <v>5218R</v>
      </c>
      <c r="F18" s="1" t="s">
        <v>379</v>
      </c>
      <c r="G18" s="1"/>
      <c r="H18" s="1"/>
      <c r="I18" s="72" t="str">
        <f>IFERROR(VLOOKUP('Server Options (Greenfield)'!A10,'Server Options (Greenfield)'!$A$1:'Server Options (Greenfield)'!$E$10,5,FALSE),"")</f>
        <v/>
      </c>
      <c r="J18" s="1" t="s">
        <v>380</v>
      </c>
      <c r="K18" s="1"/>
      <c r="L18" s="72" t="str">
        <f>IFERROR(VLOOKUP('Server Options (Greenfield)'!A10,'Server Options (Greenfield)'!$A$1:'Server Options (Greenfield)'!$G$10,7,FALSE),"")</f>
        <v/>
      </c>
      <c r="M18" s="1" t="s">
        <v>382</v>
      </c>
      <c r="N18" s="1"/>
      <c r="O18" s="88" t="str">
        <f>IFERROR(VLOOKUP('Server Options (Greenfield)'!A10,'Server Options (Greenfield)'!$A$1:'Server Options (Greenfield)'!$I$10,9,FALSE),"")</f>
        <v/>
      </c>
      <c r="P18" s="1" t="s">
        <v>383</v>
      </c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</row>
    <row r="19" spans="1:59">
      <c r="A19" s="1"/>
      <c r="B19" s="115">
        <f>BA3</f>
        <v>0.31320942996133216</v>
      </c>
      <c r="C19" s="50" t="str">
        <f>IF(B19=0,"Most expensive","Less than most expensive")</f>
        <v>Less than most expensive</v>
      </c>
      <c r="D19" s="1"/>
      <c r="E19" s="72"/>
      <c r="F19" s="1"/>
      <c r="G19" s="1"/>
      <c r="H19" s="1"/>
      <c r="I19" s="85" t="str">
        <f>IFERROR(VLOOKUP('Server Options (Greenfield)'!A10,'Server Options (Greenfield)'!$A$1:'Server Options (Greenfield)'!$F$10,6,FALSE),"")</f>
        <v/>
      </c>
      <c r="J19" s="1" t="s">
        <v>381</v>
      </c>
      <c r="K19" s="1"/>
      <c r="L19" s="85" t="str">
        <f>IFERROR(VLOOKUP('Server Options (Greenfield)'!A10,'Server Options (Greenfield)'!$A$1:'Server Options (Greenfield)'!$H$10,8,FALSE),"")</f>
        <v/>
      </c>
      <c r="M19" s="1" t="s">
        <v>99</v>
      </c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</row>
    <row r="20" spans="1:59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</row>
    <row r="21" spans="1:59">
      <c r="A21" s="1"/>
      <c r="B21" s="1" t="s">
        <v>376</v>
      </c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</row>
    <row r="22" spans="1:59">
      <c r="A22" s="1"/>
      <c r="B22" s="87">
        <f>IFERROR(VLOOKUP('Server Options (Greenfield)'!A13,'Server Options (Greenfield)'!$A$1:'Server Options (Greenfield)'!$B$13,2,FALSE),"")</f>
        <v>4</v>
      </c>
      <c r="C22" s="1" t="s">
        <v>378</v>
      </c>
      <c r="D22" s="1"/>
      <c r="E22" s="85" t="str">
        <f>IFERROR(VLOOKUP('Server Options (Greenfield)'!A13,'Server Options (Greenfield)'!$A$1:'Server Options (Greenfield)'!$C$10,3,FALSE),"")</f>
        <v>6240</v>
      </c>
      <c r="F22" s="1" t="s">
        <v>379</v>
      </c>
      <c r="G22" s="1"/>
      <c r="H22" s="1"/>
      <c r="I22" s="72" t="str">
        <f>IFERROR(VLOOKUP('Server Options (Greenfield)'!A13,'Server Options (Greenfield)'!$A$1:'Server Options (Greenfield)'!$E$10,5,FALSE),"")</f>
        <v/>
      </c>
      <c r="J22" s="1" t="s">
        <v>380</v>
      </c>
      <c r="K22" s="1"/>
      <c r="L22" s="72" t="str">
        <f>IFERROR(VLOOKUP('Server Options (Greenfield)'!A13,'Server Options (Greenfield)'!$A$1:'Server Options (Greenfield)'!$G$10,7,FALSE),"")</f>
        <v/>
      </c>
      <c r="M22" s="1" t="s">
        <v>382</v>
      </c>
      <c r="N22" s="1"/>
      <c r="O22" s="88" t="str">
        <f>IFERROR(VLOOKUP('Server Options (Greenfield)'!A13,'Server Options (Greenfield)'!$A$1:'Server Options (Greenfield)'!$I$10,9,FALSE),"")</f>
        <v/>
      </c>
      <c r="P22" s="1" t="s">
        <v>383</v>
      </c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</row>
    <row r="23" spans="1:59">
      <c r="A23" s="1"/>
      <c r="B23" s="115">
        <f>BB3</f>
        <v>0.22383028189479792</v>
      </c>
      <c r="C23" s="50" t="str">
        <f>IF(B23=0,"Most expensive","Less than most expensive")</f>
        <v>Less than most expensive</v>
      </c>
      <c r="D23" s="1"/>
      <c r="E23" s="1"/>
      <c r="F23" s="1"/>
      <c r="G23" s="1"/>
      <c r="H23" s="1"/>
      <c r="I23" s="85" t="str">
        <f>IFERROR(VLOOKUP('Server Options (Greenfield)'!A13,'Server Options (Greenfield)'!$A$1:'Server Options (Greenfield)'!$F$10,6,FALSE),"")</f>
        <v/>
      </c>
      <c r="J23" s="1" t="s">
        <v>381</v>
      </c>
      <c r="K23" s="1"/>
      <c r="L23" s="85" t="str">
        <f>IFERROR(VLOOKUP('Server Options (Greenfield)'!A13,'Server Options (Greenfield)'!$A$1:'Server Options (Greenfield)'!$H$10,8,FALSE),"")</f>
        <v/>
      </c>
      <c r="M23" s="1" t="s">
        <v>99</v>
      </c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</row>
    <row r="24" spans="1:59">
      <c r="A24" s="1"/>
      <c r="B24" s="1"/>
      <c r="C24" s="1"/>
      <c r="D24" s="1"/>
      <c r="E24" s="1"/>
      <c r="F24" s="1"/>
      <c r="G24" s="1"/>
      <c r="H24" s="1"/>
      <c r="I24" s="72"/>
      <c r="J24" s="1"/>
      <c r="K24" s="1"/>
      <c r="L24" s="72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</row>
    <row r="25" spans="1:59">
      <c r="A25" s="1"/>
      <c r="B25" s="1" t="s">
        <v>377</v>
      </c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</row>
    <row r="26" spans="1:59">
      <c r="A26" s="1"/>
      <c r="B26" s="87">
        <f>IFERROR(VLOOKUP('Server Options (Greenfield)'!A16,'Server Options (Greenfield)'!$A$1:'Server Options (Greenfield)'!$B$16,2,FALSE),"")</f>
        <v>4</v>
      </c>
      <c r="C26" s="1" t="s">
        <v>378</v>
      </c>
      <c r="D26" s="1"/>
      <c r="E26" s="85" t="str">
        <f>IFERROR(VLOOKUP('Server Options (Greenfield)'!A16,'Server Options (Greenfield)'!$A$1:'Server Options (Greenfield)'!$C$10,3,FALSE),"")</f>
        <v>8268</v>
      </c>
      <c r="F26" s="1" t="s">
        <v>379</v>
      </c>
      <c r="G26" s="1"/>
      <c r="H26" s="1"/>
      <c r="I26" s="72" t="str">
        <f>IFERROR(VLOOKUP('Server Options (Greenfield)'!A16,'Server Options (Greenfield)'!$A$1:'Server Options (Greenfield)'!$E$10,5,FALSE),"")</f>
        <v/>
      </c>
      <c r="J26" s="1" t="s">
        <v>380</v>
      </c>
      <c r="K26" s="1"/>
      <c r="L26" s="72" t="str">
        <f>IFERROR(VLOOKUP('Server Options (Greenfield)'!A16,'Server Options (Greenfield)'!$A$1:'Server Options (Greenfield)'!$G$10,7,FALSE),"")</f>
        <v/>
      </c>
      <c r="M26" s="1" t="s">
        <v>382</v>
      </c>
      <c r="N26" s="1"/>
      <c r="O26" s="88" t="str">
        <f>IFERROR(VLOOKUP('Server Options (Greenfield)'!A16,'Server Options (Greenfield)'!$A$1:'Server Options (Greenfield)'!$I$10,9,FALSE),"")</f>
        <v/>
      </c>
      <c r="P26" s="1" t="s">
        <v>383</v>
      </c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</row>
    <row r="27" spans="1:59">
      <c r="A27" s="1"/>
      <c r="B27" s="115">
        <f>BC3</f>
        <v>0</v>
      </c>
      <c r="C27" s="50" t="str">
        <f>IF(B27=0,"Most expensive","Less than most expensive")</f>
        <v>Most expensive</v>
      </c>
      <c r="D27" s="1"/>
      <c r="E27" s="1"/>
      <c r="F27" s="1"/>
      <c r="G27" s="1"/>
      <c r="H27" s="1"/>
      <c r="I27" s="85" t="str">
        <f>IFERROR(VLOOKUP('Server Options (Greenfield)'!A16,'Server Options (Greenfield)'!$A$1:'Server Options (Greenfield)'!$F$10,6,FALSE),"")</f>
        <v/>
      </c>
      <c r="J27" s="1" t="s">
        <v>381</v>
      </c>
      <c r="K27" s="1"/>
      <c r="L27" s="85" t="str">
        <f>IFERROR(VLOOKUP('Server Options (Greenfield)'!A16,'Server Options (Greenfield)'!$A$1:'Server Options (Greenfield)'!$H$10,8,FALSE),"")</f>
        <v/>
      </c>
      <c r="M27" s="1" t="s">
        <v>99</v>
      </c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</row>
    <row r="28" spans="1:59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</row>
    <row r="29" spans="1:59" ht="31.5" customHeight="1">
      <c r="A29" s="1"/>
      <c r="B29" s="90" t="s">
        <v>384</v>
      </c>
      <c r="C29" s="89"/>
      <c r="D29" s="89"/>
      <c r="E29" s="89"/>
      <c r="F29" s="89"/>
      <c r="G29" s="89"/>
      <c r="H29" s="89"/>
      <c r="I29" s="89"/>
      <c r="J29" s="89"/>
      <c r="K29" s="89"/>
      <c r="L29" s="89"/>
      <c r="M29" s="89"/>
      <c r="N29" s="89"/>
      <c r="O29" s="89"/>
      <c r="P29" s="89"/>
      <c r="Q29" s="89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</row>
    <row r="30" spans="1:59">
      <c r="A30" s="1"/>
      <c r="B30" s="1" t="s">
        <v>375</v>
      </c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</row>
    <row r="31" spans="1:59">
      <c r="A31" s="1"/>
      <c r="B31" s="87">
        <f>B18</f>
        <v>4</v>
      </c>
      <c r="C31" s="1" t="s">
        <v>378</v>
      </c>
      <c r="D31" s="1"/>
      <c r="E31" s="1">
        <f>'vGPU Options'!D11</f>
        <v>3</v>
      </c>
      <c r="F31" s="1" t="str">
        <f>'vGPU Options'!C11</f>
        <v>M10</v>
      </c>
      <c r="G31" s="1" t="s">
        <v>386</v>
      </c>
      <c r="H31" s="1"/>
      <c r="I31" s="1">
        <f>IFERROR('vGPU Options'!E11,"")</f>
        <v>384</v>
      </c>
      <c r="J31" s="1" t="s">
        <v>387</v>
      </c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</row>
    <row r="32" spans="1:59">
      <c r="A32" s="1"/>
      <c r="B32" s="1"/>
      <c r="C32" s="1"/>
      <c r="D32" s="1"/>
      <c r="E32" s="118">
        <f>IFERROR(E31*B31,"")</f>
        <v>12</v>
      </c>
      <c r="F32" s="118"/>
      <c r="G32" s="1" t="s">
        <v>385</v>
      </c>
      <c r="H32" s="1"/>
      <c r="I32" s="1">
        <f>$J$13</f>
        <v>550</v>
      </c>
      <c r="J32" s="1" t="s">
        <v>388</v>
      </c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</row>
    <row r="33" spans="1:59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</row>
    <row r="34" spans="1:59">
      <c r="A34" s="1"/>
      <c r="B34" s="1" t="s">
        <v>376</v>
      </c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</row>
    <row r="35" spans="1:59">
      <c r="A35" s="1"/>
      <c r="B35" s="87">
        <f>B22</f>
        <v>4</v>
      </c>
      <c r="C35" s="1" t="s">
        <v>378</v>
      </c>
      <c r="D35" s="1"/>
      <c r="E35" s="1">
        <f>'vGPU Options'!D12</f>
        <v>3</v>
      </c>
      <c r="F35" s="1" t="str">
        <f>'vGPU Options'!C12</f>
        <v>M10</v>
      </c>
      <c r="G35" s="1" t="s">
        <v>386</v>
      </c>
      <c r="H35" s="1"/>
      <c r="I35" s="1">
        <f>IFERROR('vGPU Options'!E12,"")</f>
        <v>384</v>
      </c>
      <c r="J35" s="1" t="s">
        <v>387</v>
      </c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</row>
    <row r="36" spans="1:59">
      <c r="A36" s="1"/>
      <c r="B36" s="1"/>
      <c r="C36" s="1"/>
      <c r="D36" s="1"/>
      <c r="E36" s="118">
        <f>IFERROR(E35*B35,"")</f>
        <v>12</v>
      </c>
      <c r="F36" s="118"/>
      <c r="G36" s="1" t="s">
        <v>385</v>
      </c>
      <c r="H36" s="1"/>
      <c r="I36" s="1">
        <f>$J$13</f>
        <v>550</v>
      </c>
      <c r="J36" s="1" t="s">
        <v>388</v>
      </c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</row>
    <row r="37" spans="1:59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</row>
    <row r="38" spans="1:59">
      <c r="A38" s="1"/>
      <c r="B38" s="1" t="s">
        <v>377</v>
      </c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</row>
    <row r="39" spans="1:59">
      <c r="A39" s="1"/>
      <c r="B39" s="87">
        <f>B26</f>
        <v>4</v>
      </c>
      <c r="C39" s="1" t="s">
        <v>378</v>
      </c>
      <c r="D39" s="1"/>
      <c r="E39" s="1">
        <f>'vGPU Options'!D13</f>
        <v>3</v>
      </c>
      <c r="F39" s="1" t="str">
        <f>'vGPU Options'!C13</f>
        <v>M10</v>
      </c>
      <c r="G39" s="1" t="s">
        <v>386</v>
      </c>
      <c r="H39" s="1"/>
      <c r="I39" s="1">
        <f>IFERROR('vGPU Options'!E13,"")</f>
        <v>384</v>
      </c>
      <c r="J39" s="1" t="s">
        <v>387</v>
      </c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</row>
    <row r="40" spans="1:59">
      <c r="A40" s="1"/>
      <c r="B40" s="1"/>
      <c r="C40" s="1"/>
      <c r="D40" s="1"/>
      <c r="E40" s="118">
        <f>IFERROR(E39*B39,"")</f>
        <v>12</v>
      </c>
      <c r="F40" s="118"/>
      <c r="G40" s="1" t="s">
        <v>385</v>
      </c>
      <c r="H40" s="1"/>
      <c r="I40" s="1">
        <f>$J$13</f>
        <v>550</v>
      </c>
      <c r="J40" s="1" t="s">
        <v>388</v>
      </c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</row>
    <row r="41" spans="1:59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</row>
    <row r="42" spans="1:59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</row>
    <row r="43" spans="1:59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</row>
    <row r="44" spans="1:59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</row>
    <row r="45" spans="1:59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</row>
    <row r="46" spans="1:59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</row>
    <row r="47" spans="1:59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</row>
    <row r="48" spans="1:59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</row>
    <row r="49" spans="1:59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</row>
    <row r="50" spans="1:59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</row>
    <row r="51" spans="1:59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</row>
    <row r="52" spans="1:59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</row>
    <row r="53" spans="1:59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</row>
    <row r="54" spans="1:59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</row>
    <row r="55" spans="1:59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</row>
    <row r="56" spans="1:59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</row>
    <row r="57" spans="1:59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</row>
    <row r="58" spans="1:59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</row>
    <row r="59" spans="1:59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</row>
    <row r="60" spans="1:59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</row>
    <row r="61" spans="1:59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</row>
    <row r="62" spans="1:59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</row>
    <row r="63" spans="1:59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</row>
    <row r="64" spans="1:59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</row>
    <row r="65" spans="1:5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</row>
    <row r="66" spans="1:5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</row>
    <row r="67" spans="1:5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</row>
    <row r="68" spans="1:5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</row>
    <row r="69" spans="1:5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</row>
    <row r="70" spans="1:53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</row>
    <row r="71" spans="1:53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</row>
    <row r="72" spans="1:5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</row>
    <row r="73" spans="1:5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</row>
    <row r="74" spans="1:5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</row>
    <row r="75" spans="1:5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</row>
    <row r="76" spans="1:5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</row>
    <row r="77" spans="1:5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</row>
    <row r="78" spans="1:5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</row>
    <row r="79" spans="1:5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</row>
    <row r="80" spans="1:5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</row>
    <row r="81" spans="1:5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</row>
    <row r="82" spans="1:5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</row>
    <row r="83" spans="1:5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</row>
    <row r="84" spans="1:5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</row>
    <row r="85" spans="1:5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</row>
    <row r="86" spans="1:5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</row>
    <row r="87" spans="1:5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</row>
    <row r="88" spans="1:5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</row>
    <row r="89" spans="1:5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</row>
    <row r="90" spans="1:5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</row>
    <row r="91" spans="1:5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</row>
    <row r="92" spans="1:5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</row>
    <row r="93" spans="1:5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</row>
    <row r="94" spans="1:5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</row>
    <row r="95" spans="1:5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</row>
    <row r="96" spans="1:5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</row>
    <row r="97" spans="1:5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</row>
    <row r="98" spans="1:5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</row>
    <row r="99" spans="1:5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</row>
    <row r="100" spans="1:5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</row>
    <row r="101" spans="1:5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</row>
    <row r="102" spans="1:5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</row>
    <row r="103" spans="1:5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</row>
    <row r="104" spans="1:5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</row>
    <row r="105" spans="1:5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</row>
    <row r="106" spans="1:5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</row>
    <row r="107" spans="1:5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</row>
    <row r="108" spans="1:5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</row>
    <row r="109" spans="1:5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</row>
    <row r="110" spans="1:5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</row>
    <row r="111" spans="1:5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</row>
    <row r="112" spans="1:5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</row>
    <row r="113" spans="1:5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</row>
    <row r="114" spans="1:5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</row>
    <row r="115" spans="1:5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</row>
    <row r="116" spans="1:5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</row>
    <row r="117" spans="1:5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</row>
    <row r="118" spans="1:5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</row>
    <row r="119" spans="1:5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</row>
    <row r="120" spans="1:5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</row>
    <row r="121" spans="1:5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</row>
    <row r="122" spans="1:5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</row>
    <row r="123" spans="1:5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</row>
    <row r="124" spans="1:5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</row>
    <row r="125" spans="1:5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</row>
    <row r="126" spans="1:5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</row>
    <row r="127" spans="1:5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</row>
    <row r="128" spans="1:5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</row>
    <row r="129" spans="1:5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</row>
    <row r="130" spans="1:5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</row>
    <row r="131" spans="1:5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</row>
    <row r="132" spans="1:5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</row>
    <row r="133" spans="1:5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</row>
    <row r="134" spans="1:5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</row>
    <row r="135" spans="1:5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</row>
    <row r="136" spans="1:5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</row>
    <row r="137" spans="1:5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</row>
    <row r="138" spans="1:5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</row>
    <row r="139" spans="1:5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</row>
    <row r="140" spans="1:5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</row>
    <row r="141" spans="1:5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</row>
    <row r="142" spans="1:5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</row>
    <row r="143" spans="1:5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</row>
    <row r="144" spans="1:5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</row>
    <row r="145" spans="1:5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</row>
    <row r="146" spans="1:5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</row>
    <row r="147" spans="1:5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</row>
    <row r="148" spans="1:5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</row>
    <row r="149" spans="1:5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</row>
    <row r="150" spans="1:5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</row>
    <row r="151" spans="1:5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</row>
    <row r="152" spans="1:5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</row>
    <row r="153" spans="1:5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</row>
    <row r="154" spans="1:5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</row>
    <row r="155" spans="1:5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</row>
    <row r="156" spans="1:5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</row>
    <row r="157" spans="1:5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</row>
    <row r="158" spans="1:5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</row>
    <row r="159" spans="1:5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</row>
    <row r="160" spans="1:5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</row>
    <row r="161" spans="1:5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</row>
    <row r="162" spans="1:5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</row>
    <row r="163" spans="1:5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</row>
    <row r="164" spans="1:5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</row>
    <row r="165" spans="1:5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</row>
    <row r="166" spans="1:5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</row>
    <row r="167" spans="1:5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</row>
    <row r="168" spans="1:5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</row>
    <row r="169" spans="1:5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</row>
    <row r="170" spans="1:5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</row>
    <row r="171" spans="1:5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</row>
    <row r="172" spans="1:5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</row>
    <row r="173" spans="1:5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</row>
    <row r="174" spans="1:5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</row>
    <row r="175" spans="1:5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</row>
    <row r="176" spans="1:5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</row>
    <row r="177" spans="1:5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</row>
    <row r="178" spans="1:5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</row>
    <row r="179" spans="1:5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</row>
    <row r="180" spans="1:5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</row>
    <row r="181" spans="1:5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</row>
    <row r="182" spans="1:5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</row>
    <row r="183" spans="1:5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</row>
    <row r="184" spans="1:5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</row>
    <row r="185" spans="1:5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</row>
    <row r="186" spans="1:5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</row>
    <row r="187" spans="1:5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</row>
    <row r="188" spans="1:5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</row>
    <row r="189" spans="1:5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</row>
    <row r="190" spans="1:5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</row>
    <row r="191" spans="1:5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</row>
    <row r="192" spans="1:5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</row>
    <row r="193" spans="1:5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</row>
    <row r="194" spans="1:5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</row>
    <row r="195" spans="1:5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</row>
    <row r="196" spans="1:5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</row>
    <row r="197" spans="1:5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</row>
    <row r="198" spans="1:5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</row>
    <row r="199" spans="1:5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</row>
    <row r="200" spans="1:5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</row>
    <row r="201" spans="1:5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</row>
    <row r="202" spans="1:5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</row>
    <row r="203" spans="1:5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</row>
    <row r="204" spans="1:5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</row>
    <row r="205" spans="1:5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</row>
    <row r="206" spans="1:5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</row>
    <row r="207" spans="1:5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</row>
    <row r="208" spans="1:5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</row>
    <row r="209" spans="1:5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</row>
    <row r="210" spans="1:5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</row>
    <row r="211" spans="1:5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</row>
    <row r="212" spans="1:5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</row>
    <row r="213" spans="1:5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</row>
    <row r="214" spans="1:5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</row>
    <row r="215" spans="1:5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</row>
    <row r="216" spans="1:5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</row>
    <row r="217" spans="1:5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</row>
    <row r="218" spans="1:5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</row>
    <row r="219" spans="1:5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</row>
    <row r="220" spans="1:5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</row>
    <row r="221" spans="1:5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</row>
    <row r="222" spans="1:5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</row>
    <row r="223" spans="1:5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</row>
    <row r="224" spans="1:5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</row>
    <row r="225" spans="1:5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</row>
    <row r="226" spans="1:5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</row>
    <row r="227" spans="1:5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</row>
    <row r="228" spans="1:5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</row>
    <row r="229" spans="1:5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</row>
    <row r="230" spans="1:5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</row>
    <row r="231" spans="1:5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</row>
    <row r="232" spans="1:5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</row>
    <row r="233" spans="1:5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</row>
    <row r="234" spans="1:5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</row>
    <row r="235" spans="1:5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</row>
    <row r="236" spans="1:5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</row>
    <row r="237" spans="1:5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</row>
    <row r="238" spans="1:5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</row>
    <row r="239" spans="1:5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</row>
    <row r="240" spans="1:5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</row>
    <row r="241" spans="1:5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</row>
    <row r="242" spans="1:5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</row>
    <row r="243" spans="1:5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</row>
  </sheetData>
  <mergeCells count="7">
    <mergeCell ref="M13:N13"/>
    <mergeCell ref="D13:E13"/>
    <mergeCell ref="G13:H13"/>
    <mergeCell ref="J13:K13"/>
    <mergeCell ref="E40:F40"/>
    <mergeCell ref="E36:F36"/>
    <mergeCell ref="E32:F32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C52C58-4CD4-4B1E-B488-FBFB77E46689}">
  <sheetPr codeName="Sheet6">
    <tabColor theme="4"/>
  </sheetPr>
  <dimension ref="A1:BS178"/>
  <sheetViews>
    <sheetView zoomScaleNormal="100" workbookViewId="0">
      <selection activeCell="D22" sqref="D22"/>
    </sheetView>
  </sheetViews>
  <sheetFormatPr defaultColWidth="8.90625" defaultRowHeight="14.5"/>
  <cols>
    <col min="1" max="1" width="20.54296875" style="11" bestFit="1" customWidth="1"/>
    <col min="2" max="2" width="15.1796875" style="11" customWidth="1"/>
    <col min="3" max="3" width="14.26953125" style="11" customWidth="1"/>
    <col min="4" max="4" width="10.6328125" style="11" customWidth="1"/>
    <col min="5" max="5" width="15.36328125" style="11" customWidth="1"/>
    <col min="6" max="6" width="14.81640625" style="11" customWidth="1"/>
    <col min="7" max="8" width="15.453125" style="11" customWidth="1"/>
    <col min="9" max="9" width="18.54296875" style="11" customWidth="1"/>
    <col min="10" max="10" width="25.26953125" style="11" customWidth="1"/>
    <col min="11" max="11" width="24.36328125" style="11" customWidth="1"/>
    <col min="12" max="12" width="28.54296875" style="11" customWidth="1"/>
    <col min="13" max="13" width="17.6328125" style="11" bestFit="1" customWidth="1"/>
    <col min="14" max="14" width="16.36328125" style="11" customWidth="1"/>
    <col min="15" max="15" width="12.90625" style="11" bestFit="1" customWidth="1"/>
    <col min="16" max="16" width="19.7265625" style="11" bestFit="1" customWidth="1"/>
    <col min="17" max="16384" width="8.90625" style="11"/>
  </cols>
  <sheetData>
    <row r="1" spans="1:71" ht="29">
      <c r="A1" s="24" t="s">
        <v>59</v>
      </c>
      <c r="B1" s="24" t="s">
        <v>60</v>
      </c>
      <c r="C1" s="24" t="s">
        <v>61</v>
      </c>
      <c r="D1" s="24" t="s">
        <v>2</v>
      </c>
      <c r="E1" s="24" t="s">
        <v>62</v>
      </c>
      <c r="F1" s="24" t="s">
        <v>63</v>
      </c>
      <c r="G1" s="24" t="s">
        <v>64</v>
      </c>
      <c r="H1" s="24" t="s">
        <v>65</v>
      </c>
      <c r="I1" s="24" t="s">
        <v>66</v>
      </c>
      <c r="J1" s="29" t="s">
        <v>67</v>
      </c>
      <c r="K1" s="29" t="s">
        <v>92</v>
      </c>
      <c r="L1" s="24" t="s">
        <v>68</v>
      </c>
      <c r="M1" s="29" t="s">
        <v>93</v>
      </c>
      <c r="N1" s="29" t="s">
        <v>94</v>
      </c>
      <c r="O1" s="24" t="s">
        <v>69</v>
      </c>
      <c r="P1" s="25" t="s">
        <v>70</v>
      </c>
      <c r="Q1" s="10"/>
      <c r="R1" s="10"/>
      <c r="S1" s="10"/>
      <c r="T1" s="10"/>
      <c r="U1" s="10"/>
      <c r="V1" s="10"/>
      <c r="W1" s="10"/>
      <c r="X1" s="10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0"/>
      <c r="AU1" s="10"/>
      <c r="AV1" s="10"/>
      <c r="AW1" s="10"/>
      <c r="AX1" s="10"/>
      <c r="AY1" s="10"/>
      <c r="AZ1" s="10"/>
      <c r="BA1" s="10"/>
      <c r="BB1" s="10"/>
      <c r="BC1" s="10"/>
      <c r="BD1" s="10"/>
      <c r="BE1" s="10"/>
      <c r="BF1" s="10"/>
      <c r="BG1" s="10"/>
      <c r="BH1" s="10"/>
      <c r="BI1" s="10"/>
      <c r="BJ1" s="10"/>
      <c r="BK1" s="10"/>
      <c r="BL1" s="10"/>
      <c r="BM1" s="10"/>
      <c r="BN1" s="10"/>
      <c r="BO1" s="10"/>
      <c r="BP1" s="10"/>
      <c r="BQ1" s="10"/>
      <c r="BR1" s="10"/>
      <c r="BS1" s="10"/>
    </row>
    <row r="2" spans="1:71">
      <c r="A2" s="11" t="s">
        <v>71</v>
      </c>
      <c r="B2" s="11" t="s">
        <v>72</v>
      </c>
      <c r="C2" s="11">
        <v>512</v>
      </c>
      <c r="D2" s="11">
        <v>12</v>
      </c>
      <c r="E2" s="11">
        <f t="shared" ref="E2:E10" si="0">C2*D2</f>
        <v>6144</v>
      </c>
      <c r="F2" s="26">
        <v>28299</v>
      </c>
      <c r="G2" s="26">
        <f t="shared" ref="G2:G10" si="1">F2*D2</f>
        <v>339588</v>
      </c>
      <c r="H2" s="26">
        <f t="shared" ref="H2:H10" si="2">G2/E2</f>
        <v>55.271484375</v>
      </c>
      <c r="I2" s="11" t="s">
        <v>73</v>
      </c>
      <c r="J2" s="11" t="s">
        <v>74</v>
      </c>
      <c r="K2" s="11">
        <v>64</v>
      </c>
      <c r="L2" s="11">
        <v>12</v>
      </c>
      <c r="M2" s="26">
        <f>F5</f>
        <v>1709</v>
      </c>
      <c r="N2" s="26">
        <f>M2*L2</f>
        <v>20508</v>
      </c>
      <c r="O2" s="26">
        <f>G2+N2</f>
        <v>360096</v>
      </c>
      <c r="P2" s="12">
        <f>O2/E2</f>
        <v>58.609375</v>
      </c>
      <c r="Q2" s="10"/>
      <c r="R2" s="10"/>
      <c r="S2" s="10"/>
      <c r="T2" s="10"/>
      <c r="U2" s="10"/>
      <c r="V2" s="10"/>
      <c r="W2" s="10"/>
      <c r="X2" s="10"/>
      <c r="Y2" s="10"/>
      <c r="Z2" s="10"/>
      <c r="AA2" s="10"/>
      <c r="AB2" s="10"/>
      <c r="AC2" s="10"/>
      <c r="AD2" s="10"/>
      <c r="AE2" s="10"/>
      <c r="AF2" s="10"/>
      <c r="AG2" s="10"/>
      <c r="AH2" s="10"/>
      <c r="AI2" s="10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</row>
    <row r="3" spans="1:71">
      <c r="A3" s="11" t="s">
        <v>75</v>
      </c>
      <c r="B3" s="27" t="s">
        <v>72</v>
      </c>
      <c r="C3" s="11">
        <v>256</v>
      </c>
      <c r="D3" s="11">
        <v>12</v>
      </c>
      <c r="E3" s="11">
        <f t="shared" si="0"/>
        <v>3072</v>
      </c>
      <c r="F3" s="26">
        <v>9299</v>
      </c>
      <c r="G3" s="26">
        <f t="shared" si="1"/>
        <v>111588</v>
      </c>
      <c r="H3" s="26">
        <f t="shared" si="2"/>
        <v>36.32421875</v>
      </c>
      <c r="I3" s="11" t="s">
        <v>76</v>
      </c>
      <c r="J3" s="11" t="s">
        <v>74</v>
      </c>
      <c r="K3" s="11">
        <v>32</v>
      </c>
      <c r="L3" s="11">
        <v>12</v>
      </c>
      <c r="M3" s="26">
        <f>F6</f>
        <v>899</v>
      </c>
      <c r="N3" s="26">
        <f>M3*L3</f>
        <v>10788</v>
      </c>
      <c r="O3" s="26">
        <f>G3+N3</f>
        <v>122376</v>
      </c>
      <c r="P3" s="12">
        <f t="shared" ref="P3:P10" si="3">O3/E3</f>
        <v>39.8359375</v>
      </c>
      <c r="Q3" s="10"/>
      <c r="R3" s="10"/>
      <c r="S3" s="10"/>
      <c r="T3" s="10"/>
      <c r="U3" s="10"/>
      <c r="V3" s="10"/>
      <c r="W3" s="10"/>
      <c r="X3" s="10"/>
      <c r="Y3" s="10"/>
      <c r="Z3" s="10"/>
      <c r="AA3" s="10"/>
      <c r="AB3" s="10"/>
      <c r="AC3" s="10"/>
      <c r="AD3" s="10"/>
      <c r="AE3" s="10"/>
      <c r="AF3" s="10"/>
      <c r="AG3" s="10"/>
      <c r="AH3" s="10"/>
      <c r="AI3" s="10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</row>
    <row r="4" spans="1:71">
      <c r="A4" s="11" t="s">
        <v>77</v>
      </c>
      <c r="B4" s="11" t="s">
        <v>72</v>
      </c>
      <c r="C4" s="11">
        <v>128</v>
      </c>
      <c r="D4" s="11">
        <v>12</v>
      </c>
      <c r="E4" s="11">
        <f t="shared" si="0"/>
        <v>1536</v>
      </c>
      <c r="F4" s="26">
        <v>2499</v>
      </c>
      <c r="G4" s="26">
        <f t="shared" si="1"/>
        <v>29988</v>
      </c>
      <c r="H4" s="26">
        <f t="shared" si="2"/>
        <v>19.5234375</v>
      </c>
      <c r="I4" s="11" t="s">
        <v>78</v>
      </c>
      <c r="J4" s="11" t="s">
        <v>74</v>
      </c>
      <c r="K4" s="11">
        <v>16</v>
      </c>
      <c r="L4" s="11">
        <v>12</v>
      </c>
      <c r="M4" s="26">
        <f>F7</f>
        <v>479</v>
      </c>
      <c r="N4" s="26">
        <f>M4*L4</f>
        <v>5748</v>
      </c>
      <c r="O4" s="26">
        <f>G4+N4</f>
        <v>35736</v>
      </c>
      <c r="P4" s="12">
        <f t="shared" si="3"/>
        <v>23.265625</v>
      </c>
      <c r="Q4" s="10"/>
      <c r="R4" s="10"/>
      <c r="S4" s="10"/>
      <c r="T4" s="10"/>
      <c r="U4" s="10"/>
      <c r="V4" s="10"/>
      <c r="W4" s="10"/>
      <c r="X4" s="10"/>
      <c r="Y4" s="10"/>
      <c r="Z4" s="10"/>
      <c r="AA4" s="10"/>
      <c r="AB4" s="10"/>
      <c r="AC4" s="10"/>
      <c r="AD4" s="10"/>
      <c r="AE4" s="10"/>
      <c r="AF4" s="10"/>
      <c r="AG4" s="10"/>
      <c r="AH4" s="10"/>
      <c r="AI4" s="10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</row>
    <row r="5" spans="1:71">
      <c r="A5" s="11" t="s">
        <v>79</v>
      </c>
      <c r="B5" s="11" t="s">
        <v>74</v>
      </c>
      <c r="C5" s="11">
        <v>64</v>
      </c>
      <c r="D5" s="11">
        <v>24</v>
      </c>
      <c r="E5" s="11">
        <f t="shared" si="0"/>
        <v>1536</v>
      </c>
      <c r="F5" s="26">
        <v>1709</v>
      </c>
      <c r="G5" s="26">
        <f t="shared" si="1"/>
        <v>41016</v>
      </c>
      <c r="H5" s="26">
        <f t="shared" si="2"/>
        <v>26.703125</v>
      </c>
      <c r="I5" s="11" t="s">
        <v>78</v>
      </c>
      <c r="J5" s="11" t="s">
        <v>78</v>
      </c>
      <c r="K5" s="11" t="s">
        <v>78</v>
      </c>
      <c r="L5" s="11" t="s">
        <v>78</v>
      </c>
      <c r="M5" s="11" t="s">
        <v>78</v>
      </c>
      <c r="N5" s="11" t="s">
        <v>78</v>
      </c>
      <c r="O5" s="26">
        <f t="shared" ref="O5:O10" si="4">G5</f>
        <v>41016</v>
      </c>
      <c r="P5" s="12">
        <f t="shared" si="3"/>
        <v>26.703125</v>
      </c>
      <c r="Q5" s="10"/>
      <c r="R5" s="10"/>
      <c r="S5" s="10"/>
      <c r="T5" s="10"/>
      <c r="U5" s="10"/>
      <c r="V5" s="10"/>
      <c r="W5" s="10"/>
      <c r="X5" s="10"/>
      <c r="Y5" s="10"/>
      <c r="Z5" s="10"/>
      <c r="AA5" s="10"/>
      <c r="AB5" s="10"/>
      <c r="AC5" s="10"/>
      <c r="AD5" s="10"/>
      <c r="AE5" s="10"/>
      <c r="AF5" s="10"/>
      <c r="AG5" s="10"/>
      <c r="AH5" s="10"/>
      <c r="AI5" s="10"/>
      <c r="AJ5" s="10"/>
      <c r="AK5" s="10"/>
      <c r="AL5" s="10"/>
      <c r="AM5" s="10"/>
      <c r="AN5" s="10"/>
      <c r="AO5" s="10"/>
      <c r="AP5" s="10"/>
      <c r="AQ5" s="10"/>
      <c r="AR5" s="10"/>
      <c r="AS5" s="10"/>
      <c r="AT5" s="10"/>
      <c r="AU5" s="10"/>
      <c r="AV5" s="10"/>
      <c r="AW5" s="10"/>
      <c r="AX5" s="10"/>
      <c r="AY5" s="10"/>
      <c r="AZ5" s="10"/>
      <c r="BA5" s="10"/>
      <c r="BB5" s="10"/>
      <c r="BC5" s="10"/>
      <c r="BD5" s="10"/>
      <c r="BE5" s="10"/>
      <c r="BF5" s="10"/>
      <c r="BG5" s="10"/>
      <c r="BH5" s="10"/>
      <c r="BI5" s="10"/>
      <c r="BJ5" s="10"/>
      <c r="BK5" s="10"/>
      <c r="BL5" s="10"/>
      <c r="BM5" s="10"/>
      <c r="BN5" s="10"/>
      <c r="BO5" s="10"/>
      <c r="BP5" s="10"/>
      <c r="BQ5" s="10"/>
      <c r="BR5" s="10"/>
      <c r="BS5" s="10"/>
    </row>
    <row r="6" spans="1:71">
      <c r="A6" s="11" t="s">
        <v>80</v>
      </c>
      <c r="B6" s="11" t="s">
        <v>74</v>
      </c>
      <c r="C6" s="11">
        <v>32</v>
      </c>
      <c r="D6" s="11">
        <v>24</v>
      </c>
      <c r="E6" s="11">
        <f t="shared" si="0"/>
        <v>768</v>
      </c>
      <c r="F6" s="26">
        <v>899</v>
      </c>
      <c r="G6" s="26">
        <f t="shared" si="1"/>
        <v>21576</v>
      </c>
      <c r="H6" s="26">
        <f t="shared" si="2"/>
        <v>28.09375</v>
      </c>
      <c r="I6" s="11" t="s">
        <v>78</v>
      </c>
      <c r="J6" s="11" t="s">
        <v>78</v>
      </c>
      <c r="K6" s="11" t="s">
        <v>78</v>
      </c>
      <c r="L6" s="11" t="s">
        <v>78</v>
      </c>
      <c r="M6" s="11" t="s">
        <v>78</v>
      </c>
      <c r="N6" s="11" t="s">
        <v>78</v>
      </c>
      <c r="O6" s="26">
        <f t="shared" si="4"/>
        <v>21576</v>
      </c>
      <c r="P6" s="12">
        <f t="shared" si="3"/>
        <v>28.09375</v>
      </c>
      <c r="Q6" s="10"/>
      <c r="R6" s="10"/>
      <c r="S6" s="10"/>
      <c r="T6" s="10"/>
      <c r="U6" s="10"/>
      <c r="V6" s="10"/>
      <c r="W6" s="10"/>
      <c r="X6" s="10"/>
      <c r="Y6" s="10"/>
      <c r="Z6" s="10"/>
      <c r="AA6" s="10"/>
      <c r="AB6" s="10"/>
      <c r="AC6" s="10"/>
      <c r="AD6" s="10"/>
      <c r="AE6" s="10"/>
      <c r="AF6" s="10"/>
      <c r="AG6" s="10"/>
      <c r="AH6" s="10"/>
      <c r="AI6" s="10"/>
      <c r="AJ6" s="10"/>
      <c r="AK6" s="10"/>
      <c r="AL6" s="10"/>
      <c r="AM6" s="10"/>
      <c r="AN6" s="10"/>
      <c r="AO6" s="10"/>
      <c r="AP6" s="10"/>
      <c r="AQ6" s="10"/>
      <c r="AR6" s="10"/>
      <c r="AS6" s="10"/>
      <c r="AT6" s="10"/>
      <c r="AU6" s="10"/>
      <c r="AV6" s="10"/>
      <c r="AW6" s="10"/>
      <c r="AX6" s="10"/>
      <c r="AY6" s="10"/>
      <c r="AZ6" s="10"/>
      <c r="BA6" s="10"/>
      <c r="BB6" s="10"/>
      <c r="BC6" s="10"/>
      <c r="BD6" s="10"/>
      <c r="BE6" s="10"/>
      <c r="BF6" s="10"/>
      <c r="BG6" s="10"/>
      <c r="BH6" s="10"/>
      <c r="BI6" s="10"/>
      <c r="BJ6" s="10"/>
      <c r="BK6" s="10"/>
      <c r="BL6" s="10"/>
      <c r="BM6" s="10"/>
      <c r="BN6" s="10"/>
      <c r="BO6" s="10"/>
      <c r="BP6" s="10"/>
      <c r="BQ6" s="10"/>
      <c r="BR6" s="10"/>
      <c r="BS6" s="10"/>
    </row>
    <row r="7" spans="1:71">
      <c r="A7" s="11" t="s">
        <v>81</v>
      </c>
      <c r="B7" s="11" t="s">
        <v>74</v>
      </c>
      <c r="C7" s="11">
        <v>16</v>
      </c>
      <c r="D7" s="11">
        <v>24</v>
      </c>
      <c r="E7" s="11">
        <f t="shared" si="0"/>
        <v>384</v>
      </c>
      <c r="F7" s="26">
        <v>479</v>
      </c>
      <c r="G7" s="26">
        <f t="shared" si="1"/>
        <v>11496</v>
      </c>
      <c r="H7" s="26">
        <f t="shared" si="2"/>
        <v>29.9375</v>
      </c>
      <c r="I7" s="11" t="s">
        <v>78</v>
      </c>
      <c r="J7" s="11" t="s">
        <v>78</v>
      </c>
      <c r="K7" s="11" t="s">
        <v>78</v>
      </c>
      <c r="L7" s="11" t="s">
        <v>78</v>
      </c>
      <c r="M7" s="11" t="s">
        <v>78</v>
      </c>
      <c r="N7" s="11" t="s">
        <v>78</v>
      </c>
      <c r="O7" s="26">
        <f t="shared" si="4"/>
        <v>11496</v>
      </c>
      <c r="P7" s="12">
        <f t="shared" si="3"/>
        <v>29.9375</v>
      </c>
      <c r="Q7" s="10"/>
      <c r="R7" s="10"/>
      <c r="S7" s="10"/>
      <c r="T7" s="10"/>
      <c r="U7" s="10"/>
      <c r="V7" s="10"/>
      <c r="W7" s="10"/>
      <c r="X7" s="10"/>
      <c r="Y7" s="10"/>
      <c r="Z7" s="10"/>
      <c r="AA7" s="10"/>
      <c r="AB7" s="10"/>
      <c r="AC7" s="10"/>
      <c r="AD7" s="10"/>
      <c r="AE7" s="10"/>
      <c r="AF7" s="10"/>
      <c r="AG7" s="10"/>
      <c r="AH7" s="10"/>
      <c r="AI7" s="10"/>
      <c r="AJ7" s="10"/>
      <c r="AK7" s="10"/>
      <c r="AL7" s="10"/>
      <c r="AM7" s="10"/>
      <c r="AN7" s="10"/>
      <c r="AO7" s="10"/>
      <c r="AP7" s="10"/>
      <c r="AQ7" s="10"/>
      <c r="AR7" s="10"/>
      <c r="AS7" s="10"/>
      <c r="AT7" s="10"/>
      <c r="AU7" s="10"/>
      <c r="AV7" s="10"/>
      <c r="AW7" s="10"/>
      <c r="AX7" s="10"/>
      <c r="AY7" s="10"/>
      <c r="AZ7" s="10"/>
      <c r="BA7" s="10"/>
      <c r="BB7" s="10"/>
      <c r="BC7" s="10"/>
      <c r="BD7" s="10"/>
      <c r="BE7" s="10"/>
      <c r="BF7" s="10"/>
      <c r="BG7" s="10"/>
      <c r="BH7" s="10"/>
      <c r="BI7" s="10"/>
      <c r="BJ7" s="10"/>
      <c r="BK7" s="10"/>
      <c r="BL7" s="10"/>
      <c r="BM7" s="10"/>
      <c r="BN7" s="10"/>
      <c r="BO7" s="10"/>
      <c r="BP7" s="10"/>
      <c r="BQ7" s="10"/>
      <c r="BR7" s="10"/>
      <c r="BS7" s="10"/>
    </row>
    <row r="8" spans="1:71">
      <c r="A8" s="11" t="s">
        <v>82</v>
      </c>
      <c r="B8" s="11" t="s">
        <v>83</v>
      </c>
      <c r="C8" s="11">
        <v>128</v>
      </c>
      <c r="D8" s="11">
        <v>24</v>
      </c>
      <c r="E8" s="11">
        <f t="shared" si="0"/>
        <v>3072</v>
      </c>
      <c r="F8" s="26">
        <v>4239</v>
      </c>
      <c r="G8" s="26">
        <f t="shared" si="1"/>
        <v>101736</v>
      </c>
      <c r="H8" s="26">
        <f t="shared" si="2"/>
        <v>33.1171875</v>
      </c>
      <c r="I8" s="11" t="s">
        <v>76</v>
      </c>
      <c r="J8" s="11" t="s">
        <v>78</v>
      </c>
      <c r="K8" s="11" t="s">
        <v>78</v>
      </c>
      <c r="L8" s="11" t="s">
        <v>78</v>
      </c>
      <c r="M8" s="11" t="s">
        <v>78</v>
      </c>
      <c r="N8" s="11" t="s">
        <v>78</v>
      </c>
      <c r="O8" s="26">
        <f t="shared" si="4"/>
        <v>101736</v>
      </c>
      <c r="P8" s="12">
        <f t="shared" si="3"/>
        <v>33.1171875</v>
      </c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</row>
    <row r="9" spans="1:71">
      <c r="A9" s="11" t="s">
        <v>84</v>
      </c>
      <c r="B9" s="11" t="s">
        <v>83</v>
      </c>
      <c r="C9" s="11">
        <v>64</v>
      </c>
      <c r="D9" s="11">
        <v>24</v>
      </c>
      <c r="E9" s="11">
        <f t="shared" si="0"/>
        <v>1536</v>
      </c>
      <c r="F9" s="26"/>
      <c r="G9" s="26">
        <f t="shared" si="1"/>
        <v>0</v>
      </c>
      <c r="H9" s="26">
        <f t="shared" si="2"/>
        <v>0</v>
      </c>
      <c r="I9" s="11" t="s">
        <v>78</v>
      </c>
      <c r="J9" s="11" t="s">
        <v>78</v>
      </c>
      <c r="K9" s="11" t="s">
        <v>78</v>
      </c>
      <c r="L9" s="11" t="s">
        <v>78</v>
      </c>
      <c r="M9" s="11" t="s">
        <v>78</v>
      </c>
      <c r="N9" s="11" t="s">
        <v>78</v>
      </c>
      <c r="O9" s="26">
        <f t="shared" si="4"/>
        <v>0</v>
      </c>
      <c r="P9" s="12">
        <f t="shared" si="3"/>
        <v>0</v>
      </c>
      <c r="Q9" s="10"/>
      <c r="R9" s="10"/>
      <c r="S9" s="10"/>
      <c r="T9" s="10"/>
      <c r="U9" s="10"/>
      <c r="V9" s="10"/>
      <c r="W9" s="10"/>
      <c r="X9" s="10"/>
      <c r="Y9" s="10"/>
      <c r="Z9" s="10"/>
      <c r="AA9" s="10"/>
      <c r="AB9" s="10"/>
      <c r="AC9" s="10"/>
      <c r="AD9" s="10"/>
      <c r="AE9" s="10"/>
      <c r="AF9" s="10"/>
      <c r="AG9" s="10"/>
      <c r="AH9" s="10"/>
      <c r="AI9" s="10"/>
      <c r="AJ9" s="10"/>
      <c r="AK9" s="10"/>
      <c r="AL9" s="10"/>
      <c r="AM9" s="10"/>
      <c r="AN9" s="10"/>
      <c r="AO9" s="10"/>
      <c r="AP9" s="10"/>
      <c r="AQ9" s="10"/>
      <c r="AR9" s="10"/>
      <c r="AS9" s="10"/>
      <c r="AT9" s="10"/>
      <c r="AU9" s="10"/>
      <c r="AV9" s="10"/>
      <c r="AW9" s="10"/>
      <c r="AX9" s="10"/>
      <c r="AY9" s="10"/>
      <c r="AZ9" s="10"/>
      <c r="BA9" s="10"/>
      <c r="BB9" s="10"/>
      <c r="BC9" s="10"/>
      <c r="BD9" s="10"/>
      <c r="BE9" s="10"/>
      <c r="BF9" s="10"/>
      <c r="BG9" s="10"/>
      <c r="BH9" s="10"/>
      <c r="BI9" s="10"/>
      <c r="BJ9" s="10"/>
      <c r="BK9" s="10"/>
      <c r="BL9" s="10"/>
      <c r="BM9" s="10"/>
      <c r="BN9" s="10"/>
      <c r="BO9" s="10"/>
      <c r="BP9" s="10"/>
      <c r="BQ9" s="10"/>
      <c r="BR9" s="10"/>
      <c r="BS9" s="10"/>
    </row>
    <row r="10" spans="1:71">
      <c r="A10" s="11" t="s">
        <v>85</v>
      </c>
      <c r="B10" s="11" t="s">
        <v>83</v>
      </c>
      <c r="C10" s="11">
        <v>32</v>
      </c>
      <c r="D10" s="11">
        <v>24</v>
      </c>
      <c r="E10" s="11">
        <f t="shared" si="0"/>
        <v>768</v>
      </c>
      <c r="F10" s="26"/>
      <c r="G10" s="26">
        <f t="shared" si="1"/>
        <v>0</v>
      </c>
      <c r="H10" s="26">
        <f t="shared" si="2"/>
        <v>0</v>
      </c>
      <c r="I10" s="11" t="s">
        <v>78</v>
      </c>
      <c r="J10" s="11" t="s">
        <v>78</v>
      </c>
      <c r="K10" s="11" t="s">
        <v>78</v>
      </c>
      <c r="L10" s="11" t="s">
        <v>78</v>
      </c>
      <c r="M10" s="11" t="s">
        <v>78</v>
      </c>
      <c r="N10" s="11" t="s">
        <v>78</v>
      </c>
      <c r="O10" s="26">
        <f t="shared" si="4"/>
        <v>0</v>
      </c>
      <c r="P10" s="12">
        <f t="shared" si="3"/>
        <v>0</v>
      </c>
      <c r="Q10" s="10"/>
      <c r="R10" s="10"/>
      <c r="S10" s="10"/>
      <c r="T10" s="10"/>
      <c r="U10" s="10"/>
      <c r="V10" s="10"/>
      <c r="W10" s="10"/>
      <c r="X10" s="10"/>
      <c r="Y10" s="10"/>
      <c r="Z10" s="10"/>
      <c r="AA10" s="10"/>
      <c r="AB10" s="10"/>
      <c r="AC10" s="10"/>
      <c r="AD10" s="10"/>
      <c r="AE10" s="10"/>
      <c r="AF10" s="10"/>
      <c r="AG10" s="10"/>
      <c r="AH10" s="10"/>
      <c r="AI10" s="10"/>
      <c r="AJ10" s="10"/>
      <c r="AK10" s="10"/>
      <c r="AL10" s="10"/>
      <c r="AM10" s="10"/>
      <c r="AN10" s="10"/>
      <c r="AO10" s="10"/>
      <c r="AP10" s="10"/>
      <c r="AQ10" s="10"/>
      <c r="AR10" s="10"/>
      <c r="AS10" s="10"/>
      <c r="AT10" s="10"/>
      <c r="AU10" s="10"/>
      <c r="AV10" s="10"/>
      <c r="AW10" s="10"/>
      <c r="AX10" s="10"/>
      <c r="AY10" s="10"/>
      <c r="AZ10" s="10"/>
      <c r="BA10" s="10"/>
      <c r="BB10" s="10"/>
      <c r="BC10" s="10"/>
      <c r="BD10" s="10"/>
      <c r="BE10" s="10"/>
      <c r="BF10" s="10"/>
      <c r="BG10" s="10"/>
      <c r="BH10" s="10"/>
      <c r="BI10" s="10"/>
      <c r="BJ10" s="10"/>
      <c r="BK10" s="10"/>
      <c r="BL10" s="10"/>
      <c r="BM10" s="10"/>
      <c r="BN10" s="10"/>
      <c r="BO10" s="10"/>
      <c r="BP10" s="10"/>
      <c r="BQ10" s="10"/>
      <c r="BR10" s="10"/>
      <c r="BS10" s="10"/>
    </row>
    <row r="11" spans="1:71">
      <c r="A11" s="10"/>
      <c r="B11" s="10"/>
      <c r="C11" s="10"/>
      <c r="D11" s="10"/>
      <c r="E11" s="10"/>
      <c r="F11" s="10"/>
      <c r="G11" s="10"/>
      <c r="H11" s="10"/>
      <c r="I11" s="10"/>
      <c r="J11" s="10"/>
      <c r="K11" s="10"/>
      <c r="L11" s="10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</row>
    <row r="12" spans="1:71">
      <c r="A12" s="10"/>
      <c r="B12" s="10"/>
      <c r="C12" s="10"/>
      <c r="D12" s="10"/>
      <c r="E12" s="10"/>
      <c r="F12" s="10"/>
      <c r="G12" s="10"/>
      <c r="H12" s="15" t="s">
        <v>140</v>
      </c>
      <c r="I12" s="10"/>
      <c r="J12" s="10"/>
      <c r="K12" s="10"/>
      <c r="L12" s="10"/>
      <c r="M12" s="10"/>
      <c r="N12" s="10"/>
      <c r="O12" s="10"/>
      <c r="P12" s="10"/>
      <c r="Q12" s="10"/>
      <c r="R12" s="10"/>
      <c r="S12" s="10"/>
      <c r="T12" s="10"/>
      <c r="U12" s="10"/>
      <c r="V12" s="10"/>
      <c r="W12" s="10"/>
      <c r="X12" s="10"/>
      <c r="Y12" s="10"/>
      <c r="Z12" s="10"/>
      <c r="AA12" s="10"/>
      <c r="AB12" s="10"/>
      <c r="AC12" s="10"/>
      <c r="AD12" s="10"/>
      <c r="AE12" s="10"/>
      <c r="AF12" s="10"/>
      <c r="AG12" s="10"/>
      <c r="AH12" s="10"/>
      <c r="AI12" s="10"/>
      <c r="AJ12" s="10"/>
      <c r="AK12" s="10"/>
      <c r="AL12" s="10"/>
      <c r="AM12" s="10"/>
      <c r="AN12" s="10"/>
      <c r="AO12" s="10"/>
      <c r="AP12" s="10"/>
      <c r="AQ12" s="10"/>
      <c r="AR12" s="10"/>
      <c r="AS12" s="10"/>
      <c r="AT12" s="10"/>
      <c r="AU12" s="10"/>
      <c r="AV12" s="10"/>
      <c r="AW12" s="10"/>
      <c r="AX12" s="10"/>
      <c r="AY12" s="10"/>
      <c r="AZ12" s="10"/>
      <c r="BA12" s="10"/>
      <c r="BB12" s="10"/>
      <c r="BC12" s="10"/>
      <c r="BD12" s="10"/>
      <c r="BE12" s="10"/>
      <c r="BF12" s="10"/>
      <c r="BG12" s="10"/>
      <c r="BH12" s="10"/>
      <c r="BI12" s="10"/>
      <c r="BJ12" s="10"/>
      <c r="BK12" s="10"/>
      <c r="BL12" s="10"/>
      <c r="BM12" s="10"/>
      <c r="BN12" s="10"/>
      <c r="BO12" s="10"/>
      <c r="BP12" s="10"/>
      <c r="BQ12" s="10"/>
      <c r="BR12" s="10"/>
      <c r="BS12" s="10"/>
    </row>
    <row r="13" spans="1:71">
      <c r="A13" s="10"/>
      <c r="B13" s="10"/>
      <c r="C13" s="10"/>
      <c r="D13" s="10"/>
      <c r="E13" s="10"/>
      <c r="F13" s="10"/>
      <c r="G13" s="10"/>
      <c r="H13" s="15" t="s">
        <v>86</v>
      </c>
      <c r="I13" s="28">
        <f>F6*12</f>
        <v>10788</v>
      </c>
      <c r="J13" s="10"/>
      <c r="K13" s="10"/>
      <c r="L13" s="10"/>
      <c r="M13" s="10"/>
      <c r="N13" s="10"/>
      <c r="O13" s="10"/>
      <c r="P13" s="10"/>
      <c r="Q13" s="10"/>
      <c r="R13" s="10"/>
      <c r="S13" s="10"/>
      <c r="T13" s="10"/>
      <c r="U13" s="10"/>
      <c r="V13" s="10"/>
      <c r="W13" s="10"/>
      <c r="X13" s="10"/>
      <c r="Y13" s="10"/>
      <c r="Z13" s="10"/>
      <c r="AA13" s="10"/>
      <c r="AB13" s="10"/>
      <c r="AC13" s="10"/>
      <c r="AD13" s="10"/>
      <c r="AE13" s="10"/>
      <c r="AF13" s="10"/>
      <c r="AG13" s="10"/>
      <c r="AH13" s="10"/>
      <c r="AI13" s="10"/>
      <c r="AJ13" s="10"/>
      <c r="AK13" s="10"/>
      <c r="AL13" s="10"/>
      <c r="AM13" s="10"/>
      <c r="AN13" s="10"/>
      <c r="AO13" s="10"/>
      <c r="AP13" s="10"/>
      <c r="AQ13" s="10"/>
      <c r="AR13" s="10"/>
      <c r="AS13" s="10"/>
      <c r="AT13" s="10"/>
      <c r="AU13" s="10"/>
      <c r="AV13" s="10"/>
      <c r="AW13" s="10"/>
      <c r="AX13" s="10"/>
      <c r="AY13" s="10"/>
      <c r="AZ13" s="10"/>
      <c r="BA13" s="10"/>
      <c r="BB13" s="10"/>
      <c r="BC13" s="10"/>
      <c r="BD13" s="10"/>
      <c r="BE13" s="10"/>
      <c r="BF13" s="10"/>
      <c r="BG13" s="10"/>
      <c r="BH13" s="10"/>
      <c r="BI13" s="10"/>
      <c r="BJ13" s="10"/>
      <c r="BK13" s="10"/>
      <c r="BL13" s="10"/>
      <c r="BM13" s="10"/>
      <c r="BN13" s="10"/>
      <c r="BO13" s="10"/>
      <c r="BP13" s="10"/>
      <c r="BQ13" s="10"/>
      <c r="BR13" s="10"/>
      <c r="BS13" s="10"/>
    </row>
    <row r="14" spans="1:71">
      <c r="A14" s="10"/>
      <c r="B14" s="10"/>
      <c r="C14" s="10"/>
      <c r="D14" s="10"/>
      <c r="E14" s="10"/>
      <c r="F14" s="10"/>
      <c r="G14" s="10"/>
      <c r="H14" s="15" t="s">
        <v>87</v>
      </c>
      <c r="I14" s="28">
        <f>F4*12</f>
        <v>29988</v>
      </c>
      <c r="J14" s="10"/>
      <c r="K14" s="10"/>
      <c r="L14" s="10"/>
      <c r="M14" s="10"/>
      <c r="N14" s="10"/>
      <c r="O14" s="10"/>
      <c r="P14" s="10"/>
      <c r="Q14" s="10"/>
      <c r="R14" s="10"/>
      <c r="S14" s="10"/>
      <c r="T14" s="10"/>
      <c r="U14" s="10"/>
      <c r="V14" s="10"/>
      <c r="W14" s="10"/>
      <c r="X14" s="10"/>
      <c r="Y14" s="10"/>
      <c r="Z14" s="10"/>
      <c r="AA14" s="10"/>
      <c r="AB14" s="10"/>
      <c r="AC14" s="10"/>
      <c r="AD14" s="10"/>
      <c r="AE14" s="10"/>
      <c r="AF14" s="10"/>
      <c r="AG14" s="10"/>
      <c r="AH14" s="10"/>
      <c r="AI14" s="10"/>
      <c r="AJ14" s="10"/>
      <c r="AK14" s="10"/>
      <c r="AL14" s="10"/>
      <c r="AM14" s="10"/>
      <c r="AN14" s="10"/>
      <c r="AO14" s="10"/>
      <c r="AP14" s="10"/>
      <c r="AQ14" s="10"/>
      <c r="AR14" s="10"/>
      <c r="AS14" s="10"/>
      <c r="AT14" s="10"/>
      <c r="AU14" s="10"/>
      <c r="AV14" s="10"/>
      <c r="AW14" s="10"/>
      <c r="AX14" s="10"/>
      <c r="AY14" s="10"/>
      <c r="AZ14" s="10"/>
      <c r="BA14" s="10"/>
      <c r="BB14" s="10"/>
      <c r="BC14" s="10"/>
      <c r="BD14" s="10"/>
      <c r="BE14" s="10"/>
      <c r="BF14" s="10"/>
      <c r="BG14" s="10"/>
      <c r="BH14" s="10"/>
      <c r="BI14" s="10"/>
      <c r="BJ14" s="10"/>
      <c r="BK14" s="10"/>
      <c r="BL14" s="10"/>
      <c r="BM14" s="10"/>
      <c r="BN14" s="10"/>
      <c r="BO14" s="10"/>
      <c r="BP14" s="10"/>
      <c r="BQ14" s="10"/>
      <c r="BR14" s="10"/>
      <c r="BS14" s="10"/>
    </row>
    <row r="15" spans="1:71">
      <c r="A15" s="10"/>
      <c r="B15" s="10"/>
      <c r="C15" s="10"/>
      <c r="D15" s="10"/>
      <c r="E15" s="10"/>
      <c r="F15" s="10"/>
      <c r="G15" s="10"/>
      <c r="H15" s="15" t="s">
        <v>39</v>
      </c>
      <c r="I15" s="28">
        <f>SUM(I13:I14)</f>
        <v>40776</v>
      </c>
      <c r="J15" s="10"/>
      <c r="K15" s="10"/>
      <c r="L15" s="10"/>
      <c r="M15" s="10"/>
      <c r="N15" s="10"/>
      <c r="O15" s="10"/>
      <c r="P15" s="10"/>
      <c r="Q15" s="10"/>
      <c r="R15" s="10"/>
      <c r="S15" s="10"/>
      <c r="T15" s="10"/>
      <c r="U15" s="10"/>
      <c r="V15" s="10"/>
      <c r="W15" s="10"/>
      <c r="X15" s="10"/>
      <c r="Y15" s="10"/>
      <c r="Z15" s="10"/>
      <c r="AA15" s="10"/>
      <c r="AB15" s="10"/>
      <c r="AC15" s="10"/>
      <c r="AD15" s="10"/>
      <c r="AE15" s="10"/>
      <c r="AF15" s="10"/>
      <c r="AG15" s="10"/>
      <c r="AH15" s="10"/>
      <c r="AI15" s="10"/>
      <c r="AJ15" s="10"/>
      <c r="AK15" s="10"/>
      <c r="AL15" s="10"/>
      <c r="AM15" s="10"/>
      <c r="AN15" s="10"/>
      <c r="AO15" s="10"/>
      <c r="AP15" s="10"/>
      <c r="AQ15" s="10"/>
      <c r="AR15" s="10"/>
      <c r="AS15" s="10"/>
      <c r="AT15" s="10"/>
      <c r="AU15" s="10"/>
      <c r="AV15" s="10"/>
      <c r="AW15" s="10"/>
      <c r="AX15" s="10"/>
      <c r="AY15" s="10"/>
      <c r="AZ15" s="10"/>
      <c r="BA15" s="10"/>
      <c r="BB15" s="10"/>
      <c r="BC15" s="10"/>
      <c r="BD15" s="10"/>
      <c r="BE15" s="10"/>
      <c r="BF15" s="10"/>
      <c r="BG15" s="10"/>
      <c r="BH15" s="10"/>
      <c r="BI15" s="10"/>
      <c r="BJ15" s="10"/>
      <c r="BK15" s="10"/>
      <c r="BL15" s="10"/>
      <c r="BM15" s="10"/>
      <c r="BN15" s="10"/>
      <c r="BO15" s="10"/>
      <c r="BP15" s="10"/>
      <c r="BQ15" s="10"/>
      <c r="BR15" s="10"/>
      <c r="BS15" s="10"/>
    </row>
    <row r="16" spans="1:71">
      <c r="A16" s="10"/>
      <c r="B16" s="10"/>
      <c r="C16" s="10"/>
      <c r="D16" s="10"/>
      <c r="E16" s="10"/>
      <c r="F16" s="10"/>
      <c r="G16" s="10"/>
      <c r="H16" s="15" t="s">
        <v>88</v>
      </c>
      <c r="I16" s="10">
        <v>1536</v>
      </c>
      <c r="J16" s="10"/>
      <c r="K16" s="10"/>
      <c r="L16" s="10"/>
      <c r="M16" s="10"/>
      <c r="N16" s="10"/>
      <c r="O16" s="10"/>
      <c r="P16" s="10"/>
      <c r="Q16" s="10"/>
      <c r="R16" s="10"/>
      <c r="S16" s="10"/>
      <c r="T16" s="10"/>
      <c r="U16" s="10"/>
      <c r="V16" s="10"/>
      <c r="W16" s="10"/>
      <c r="X16" s="10"/>
      <c r="Y16" s="10"/>
      <c r="Z16" s="10"/>
      <c r="AA16" s="10"/>
      <c r="AB16" s="10"/>
      <c r="AC16" s="10"/>
      <c r="AD16" s="10"/>
      <c r="AE16" s="10"/>
      <c r="AF16" s="10"/>
      <c r="AG16" s="10"/>
      <c r="AH16" s="10"/>
      <c r="AI16" s="10"/>
      <c r="AJ16" s="10"/>
      <c r="AK16" s="10"/>
      <c r="AL16" s="10"/>
      <c r="AM16" s="10"/>
      <c r="AN16" s="10"/>
      <c r="AO16" s="10"/>
      <c r="AP16" s="10"/>
      <c r="AQ16" s="10"/>
      <c r="AR16" s="10"/>
      <c r="AS16" s="10"/>
      <c r="AT16" s="10"/>
      <c r="AU16" s="10"/>
      <c r="AV16" s="10"/>
      <c r="AW16" s="10"/>
      <c r="AX16" s="10"/>
      <c r="AY16" s="10"/>
      <c r="AZ16" s="10"/>
      <c r="BA16" s="10"/>
      <c r="BB16" s="10"/>
      <c r="BC16" s="10"/>
      <c r="BD16" s="10"/>
      <c r="BE16" s="10"/>
      <c r="BF16" s="10"/>
      <c r="BG16" s="10"/>
      <c r="BH16" s="10"/>
      <c r="BI16" s="10"/>
      <c r="BJ16" s="10"/>
      <c r="BK16" s="10"/>
      <c r="BL16" s="10"/>
      <c r="BM16" s="10"/>
      <c r="BN16" s="10"/>
      <c r="BO16" s="10"/>
      <c r="BP16" s="10"/>
      <c r="BQ16" s="10"/>
      <c r="BR16" s="10"/>
      <c r="BS16" s="10"/>
    </row>
    <row r="17" spans="1:71">
      <c r="A17" s="10"/>
      <c r="B17" s="10"/>
      <c r="C17" s="10"/>
      <c r="D17" s="10"/>
      <c r="E17" s="10"/>
      <c r="F17" s="10"/>
      <c r="G17" s="10"/>
      <c r="H17" s="15" t="s">
        <v>65</v>
      </c>
      <c r="I17" s="28">
        <f>I15/I16</f>
        <v>26.546875</v>
      </c>
      <c r="J17" s="10" t="s">
        <v>141</v>
      </c>
      <c r="K17" s="10"/>
      <c r="L17" s="10"/>
      <c r="M17" s="10"/>
      <c r="N17" s="10"/>
      <c r="O17" s="10"/>
      <c r="P17" s="10"/>
      <c r="Q17" s="10"/>
      <c r="R17" s="10"/>
      <c r="S17" s="10"/>
      <c r="T17" s="10"/>
      <c r="U17" s="10"/>
      <c r="V17" s="10"/>
      <c r="W17" s="10"/>
      <c r="X17" s="10"/>
      <c r="Y17" s="10"/>
      <c r="Z17" s="10"/>
      <c r="AA17" s="10"/>
      <c r="AB17" s="10"/>
      <c r="AC17" s="10"/>
      <c r="AD17" s="10"/>
      <c r="AE17" s="10"/>
      <c r="AF17" s="10"/>
      <c r="AG17" s="10"/>
      <c r="AH17" s="10"/>
      <c r="AI17" s="10"/>
      <c r="AJ17" s="10"/>
      <c r="AK17" s="10"/>
      <c r="AL17" s="10"/>
      <c r="AM17" s="10"/>
      <c r="AN17" s="10"/>
      <c r="AO17" s="10"/>
      <c r="AP17" s="10"/>
      <c r="AQ17" s="10"/>
      <c r="AR17" s="10"/>
      <c r="AS17" s="10"/>
      <c r="AT17" s="10"/>
      <c r="AU17" s="10"/>
      <c r="AV17" s="10"/>
      <c r="AW17" s="10"/>
      <c r="AX17" s="10"/>
      <c r="AY17" s="10"/>
      <c r="AZ17" s="10"/>
      <c r="BA17" s="10"/>
      <c r="BB17" s="10"/>
      <c r="BC17" s="10"/>
      <c r="BD17" s="10"/>
      <c r="BE17" s="10"/>
      <c r="BF17" s="10"/>
      <c r="BG17" s="10"/>
      <c r="BH17" s="10"/>
      <c r="BI17" s="10"/>
      <c r="BJ17" s="10"/>
      <c r="BK17" s="10"/>
      <c r="BL17" s="10"/>
      <c r="BM17" s="10"/>
      <c r="BN17" s="10"/>
      <c r="BO17" s="10"/>
      <c r="BP17" s="10"/>
      <c r="BQ17" s="10"/>
      <c r="BR17" s="10"/>
      <c r="BS17" s="10"/>
    </row>
    <row r="18" spans="1:71">
      <c r="A18" s="10"/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10"/>
      <c r="S18" s="10"/>
      <c r="T18" s="10"/>
      <c r="U18" s="10"/>
      <c r="V18" s="10"/>
      <c r="W18" s="10"/>
      <c r="X18" s="10"/>
      <c r="Y18" s="10"/>
      <c r="Z18" s="10"/>
      <c r="AA18" s="10"/>
      <c r="AB18" s="10"/>
      <c r="AC18" s="10"/>
      <c r="AD18" s="10"/>
      <c r="AE18" s="10"/>
      <c r="AF18" s="10"/>
      <c r="AG18" s="10"/>
      <c r="AH18" s="10"/>
      <c r="AI18" s="10"/>
      <c r="AJ18" s="10"/>
      <c r="AK18" s="10"/>
      <c r="AL18" s="10"/>
      <c r="AM18" s="10"/>
      <c r="AN18" s="10"/>
      <c r="AO18" s="10"/>
      <c r="AP18" s="10"/>
      <c r="AQ18" s="10"/>
      <c r="AR18" s="10"/>
      <c r="AS18" s="10"/>
      <c r="AT18" s="10"/>
      <c r="AU18" s="10"/>
      <c r="AV18" s="10"/>
      <c r="AW18" s="10"/>
      <c r="AX18" s="10"/>
      <c r="AY18" s="10"/>
      <c r="AZ18" s="10"/>
      <c r="BA18" s="10"/>
      <c r="BB18" s="10"/>
      <c r="BC18" s="10"/>
      <c r="BD18" s="10"/>
      <c r="BE18" s="10"/>
      <c r="BF18" s="10"/>
      <c r="BG18" s="10"/>
      <c r="BH18" s="10"/>
      <c r="BI18" s="10"/>
      <c r="BJ18" s="10"/>
      <c r="BK18" s="10"/>
      <c r="BL18" s="10"/>
      <c r="BM18" s="10"/>
      <c r="BN18" s="10"/>
      <c r="BO18" s="10"/>
      <c r="BP18" s="10"/>
      <c r="BQ18" s="10"/>
      <c r="BR18" s="10"/>
      <c r="BS18" s="10"/>
    </row>
    <row r="19" spans="1:71">
      <c r="A19" s="10"/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10"/>
      <c r="T19" s="10"/>
      <c r="U19" s="10"/>
      <c r="V19" s="10"/>
      <c r="W19" s="10"/>
      <c r="X19" s="10"/>
      <c r="Y19" s="10"/>
      <c r="Z19" s="10"/>
      <c r="AA19" s="10"/>
      <c r="AB19" s="10"/>
      <c r="AC19" s="10"/>
      <c r="AD19" s="10"/>
      <c r="AE19" s="10"/>
      <c r="AF19" s="10"/>
      <c r="AG19" s="10"/>
      <c r="AH19" s="10"/>
      <c r="AI19" s="10"/>
      <c r="AJ19" s="10"/>
      <c r="AK19" s="10"/>
      <c r="AL19" s="10"/>
      <c r="AM19" s="10"/>
      <c r="AN19" s="10"/>
      <c r="AO19" s="10"/>
      <c r="AP19" s="10"/>
      <c r="AQ19" s="10"/>
      <c r="AR19" s="10"/>
      <c r="AS19" s="10"/>
      <c r="AT19" s="10"/>
      <c r="AU19" s="10"/>
      <c r="AV19" s="10"/>
      <c r="AW19" s="10"/>
      <c r="AX19" s="10"/>
      <c r="AY19" s="10"/>
      <c r="AZ19" s="10"/>
      <c r="BA19" s="10"/>
      <c r="BB19" s="10"/>
      <c r="BC19" s="10"/>
      <c r="BD19" s="10"/>
      <c r="BE19" s="10"/>
      <c r="BF19" s="10"/>
      <c r="BG19" s="10"/>
      <c r="BH19" s="10"/>
      <c r="BI19" s="10"/>
      <c r="BJ19" s="10"/>
      <c r="BK19" s="10"/>
      <c r="BL19" s="10"/>
      <c r="BM19" s="10"/>
      <c r="BN19" s="10"/>
      <c r="BO19" s="10"/>
      <c r="BP19" s="10"/>
      <c r="BQ19" s="10"/>
      <c r="BR19" s="10"/>
      <c r="BS19" s="10"/>
    </row>
    <row r="20" spans="1:71">
      <c r="A20" s="10"/>
      <c r="B20" s="10"/>
      <c r="C20" s="10"/>
      <c r="D20" s="10">
        <f>12*899</f>
        <v>10788</v>
      </c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10"/>
      <c r="U20" s="10"/>
      <c r="V20" s="10"/>
      <c r="W20" s="10"/>
      <c r="X20" s="10"/>
      <c r="Y20" s="10"/>
      <c r="Z20" s="10"/>
      <c r="AA20" s="10"/>
      <c r="AB20" s="10"/>
      <c r="AC20" s="10"/>
      <c r="AD20" s="10"/>
      <c r="AE20" s="10"/>
      <c r="AF20" s="10"/>
      <c r="AG20" s="10"/>
      <c r="AH20" s="10"/>
      <c r="AI20" s="10"/>
      <c r="AJ20" s="10"/>
      <c r="AK20" s="10"/>
      <c r="AL20" s="10"/>
      <c r="AM20" s="10"/>
      <c r="AN20" s="10"/>
      <c r="AO20" s="10"/>
      <c r="AP20" s="10"/>
      <c r="AQ20" s="10"/>
      <c r="AR20" s="10"/>
      <c r="AS20" s="10"/>
      <c r="AT20" s="10"/>
      <c r="AU20" s="10"/>
      <c r="AV20" s="10"/>
      <c r="AW20" s="10"/>
      <c r="AX20" s="10"/>
      <c r="AY20" s="10"/>
      <c r="AZ20" s="10"/>
      <c r="BA20" s="10"/>
      <c r="BB20" s="10"/>
      <c r="BC20" s="10"/>
      <c r="BD20" s="10"/>
      <c r="BE20" s="10"/>
      <c r="BF20" s="10"/>
      <c r="BG20" s="10"/>
      <c r="BH20" s="10"/>
      <c r="BI20" s="10"/>
      <c r="BJ20" s="10"/>
      <c r="BK20" s="10"/>
      <c r="BL20" s="10"/>
      <c r="BM20" s="10"/>
      <c r="BN20" s="10"/>
      <c r="BO20" s="10"/>
      <c r="BP20" s="10"/>
      <c r="BQ20" s="10"/>
      <c r="BR20" s="10"/>
      <c r="BS20" s="10"/>
    </row>
    <row r="21" spans="1:71">
      <c r="A21" s="10"/>
      <c r="B21" s="10"/>
      <c r="C21" s="10"/>
      <c r="D21" s="10">
        <f>10788*4</f>
        <v>43152</v>
      </c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10"/>
      <c r="V21" s="10"/>
      <c r="W21" s="10"/>
      <c r="X21" s="10"/>
      <c r="Y21" s="10"/>
      <c r="Z21" s="10"/>
      <c r="AA21" s="10"/>
      <c r="AB21" s="10"/>
      <c r="AC21" s="10"/>
      <c r="AD21" s="10"/>
      <c r="AE21" s="10"/>
      <c r="AF21" s="10"/>
      <c r="AG21" s="10"/>
      <c r="AH21" s="10"/>
      <c r="AI21" s="10"/>
      <c r="AJ21" s="10"/>
      <c r="AK21" s="10"/>
      <c r="AL21" s="10"/>
      <c r="AM21" s="10"/>
      <c r="AN21" s="10"/>
      <c r="AO21" s="10"/>
      <c r="AP21" s="10"/>
      <c r="AQ21" s="10"/>
      <c r="AR21" s="10"/>
      <c r="AS21" s="10"/>
      <c r="AT21" s="10"/>
      <c r="AU21" s="10"/>
      <c r="AV21" s="10"/>
      <c r="AW21" s="10"/>
      <c r="AX21" s="10"/>
      <c r="AY21" s="10"/>
      <c r="AZ21" s="10"/>
      <c r="BA21" s="10"/>
      <c r="BB21" s="10"/>
      <c r="BC21" s="10"/>
      <c r="BD21" s="10"/>
      <c r="BE21" s="10"/>
      <c r="BF21" s="10"/>
      <c r="BG21" s="10"/>
      <c r="BH21" s="10"/>
      <c r="BI21" s="10"/>
      <c r="BJ21" s="10"/>
      <c r="BK21" s="10"/>
      <c r="BL21" s="10"/>
      <c r="BM21" s="10"/>
      <c r="BN21" s="10"/>
      <c r="BO21" s="10"/>
      <c r="BP21" s="10"/>
      <c r="BQ21" s="10"/>
      <c r="BR21" s="10"/>
      <c r="BS21" s="10"/>
    </row>
    <row r="22" spans="1:71">
      <c r="A22" s="10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0"/>
      <c r="X22" s="10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0"/>
      <c r="AU22" s="10"/>
      <c r="AV22" s="10"/>
      <c r="AW22" s="10"/>
      <c r="AX22" s="10"/>
      <c r="AY22" s="10"/>
      <c r="AZ22" s="10"/>
      <c r="BA22" s="10"/>
      <c r="BB22" s="10"/>
      <c r="BC22" s="10"/>
      <c r="BD22" s="10"/>
      <c r="BE22" s="10"/>
      <c r="BF22" s="10"/>
      <c r="BG22" s="10"/>
      <c r="BH22" s="10"/>
      <c r="BI22" s="10"/>
      <c r="BJ22" s="10"/>
      <c r="BK22" s="10"/>
      <c r="BL22" s="10"/>
      <c r="BM22" s="10"/>
      <c r="BN22" s="10"/>
      <c r="BO22" s="10"/>
      <c r="BP22" s="10"/>
      <c r="BQ22" s="10"/>
      <c r="BR22" s="10"/>
      <c r="BS22" s="10"/>
    </row>
    <row r="23" spans="1:71">
      <c r="A23" s="10"/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10"/>
      <c r="X23" s="10"/>
      <c r="Y23" s="10"/>
      <c r="Z23" s="10"/>
      <c r="AA23" s="10"/>
      <c r="AB23" s="10"/>
      <c r="AC23" s="10"/>
      <c r="AD23" s="10"/>
      <c r="AE23" s="10"/>
      <c r="AF23" s="10"/>
      <c r="AG23" s="10"/>
      <c r="AH23" s="10"/>
      <c r="AI23" s="10"/>
      <c r="AJ23" s="10"/>
      <c r="AK23" s="10"/>
      <c r="AL23" s="10"/>
      <c r="AM23" s="10"/>
      <c r="AN23" s="10"/>
      <c r="AO23" s="10"/>
      <c r="AP23" s="10"/>
      <c r="AQ23" s="10"/>
      <c r="AR23" s="10"/>
      <c r="AS23" s="10"/>
      <c r="AT23" s="10"/>
      <c r="AU23" s="10"/>
      <c r="AV23" s="10"/>
      <c r="AW23" s="10"/>
      <c r="AX23" s="10"/>
      <c r="AY23" s="10"/>
      <c r="AZ23" s="10"/>
      <c r="BA23" s="10"/>
      <c r="BB23" s="10"/>
      <c r="BC23" s="10"/>
      <c r="BD23" s="10"/>
      <c r="BE23" s="10"/>
      <c r="BF23" s="10"/>
      <c r="BG23" s="10"/>
      <c r="BH23" s="10"/>
      <c r="BI23" s="10"/>
      <c r="BJ23" s="10"/>
      <c r="BK23" s="10"/>
      <c r="BL23" s="10"/>
      <c r="BM23" s="10"/>
      <c r="BN23" s="10"/>
      <c r="BO23" s="10"/>
      <c r="BP23" s="10"/>
      <c r="BQ23" s="10"/>
      <c r="BR23" s="10"/>
      <c r="BS23" s="10"/>
    </row>
    <row r="24" spans="1:71">
      <c r="A24" s="10"/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10"/>
      <c r="Y24" s="10"/>
      <c r="Z24" s="10"/>
      <c r="AA24" s="10"/>
      <c r="AB24" s="10"/>
      <c r="AC24" s="10"/>
      <c r="AD24" s="10"/>
      <c r="AE24" s="10"/>
      <c r="AF24" s="10"/>
      <c r="AG24" s="10"/>
      <c r="AH24" s="10"/>
      <c r="AI24" s="10"/>
      <c r="AJ24" s="10"/>
      <c r="AK24" s="10"/>
      <c r="AL24" s="10"/>
      <c r="AM24" s="10"/>
      <c r="AN24" s="10"/>
      <c r="AO24" s="10"/>
      <c r="AP24" s="10"/>
      <c r="AQ24" s="10"/>
      <c r="AR24" s="10"/>
      <c r="AS24" s="10"/>
      <c r="AT24" s="10"/>
      <c r="AU24" s="10"/>
      <c r="AV24" s="10"/>
      <c r="AW24" s="10"/>
      <c r="AX24" s="10"/>
      <c r="AY24" s="10"/>
      <c r="AZ24" s="10"/>
      <c r="BA24" s="10"/>
      <c r="BB24" s="10"/>
      <c r="BC24" s="10"/>
      <c r="BD24" s="10"/>
      <c r="BE24" s="10"/>
      <c r="BF24" s="10"/>
      <c r="BG24" s="10"/>
      <c r="BH24" s="10"/>
      <c r="BI24" s="10"/>
      <c r="BJ24" s="10"/>
      <c r="BK24" s="10"/>
      <c r="BL24" s="10"/>
      <c r="BM24" s="10"/>
      <c r="BN24" s="10"/>
      <c r="BO24" s="10"/>
      <c r="BP24" s="10"/>
      <c r="BQ24" s="10"/>
      <c r="BR24" s="10"/>
      <c r="BS24" s="10"/>
    </row>
    <row r="25" spans="1:71">
      <c r="A25" s="10"/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10"/>
      <c r="Z25" s="10"/>
      <c r="AA25" s="10"/>
      <c r="AB25" s="10"/>
      <c r="AC25" s="10"/>
      <c r="AD25" s="10"/>
      <c r="AE25" s="10"/>
      <c r="AF25" s="10"/>
      <c r="AG25" s="10"/>
      <c r="AH25" s="10"/>
      <c r="AI25" s="10"/>
      <c r="AJ25" s="10"/>
      <c r="AK25" s="10"/>
      <c r="AL25" s="10"/>
      <c r="AM25" s="10"/>
      <c r="AN25" s="10"/>
      <c r="AO25" s="10"/>
      <c r="AP25" s="10"/>
      <c r="AQ25" s="10"/>
      <c r="AR25" s="10"/>
      <c r="AS25" s="10"/>
      <c r="AT25" s="10"/>
      <c r="AU25" s="10"/>
      <c r="AV25" s="10"/>
      <c r="AW25" s="10"/>
      <c r="AX25" s="10"/>
      <c r="AY25" s="10"/>
      <c r="AZ25" s="10"/>
      <c r="BA25" s="10"/>
      <c r="BB25" s="10"/>
      <c r="BC25" s="10"/>
      <c r="BD25" s="10"/>
      <c r="BE25" s="10"/>
      <c r="BF25" s="10"/>
      <c r="BG25" s="10"/>
      <c r="BH25" s="10"/>
      <c r="BI25" s="10"/>
      <c r="BJ25" s="10"/>
      <c r="BK25" s="10"/>
      <c r="BL25" s="10"/>
      <c r="BM25" s="10"/>
      <c r="BN25" s="10"/>
      <c r="BO25" s="10"/>
      <c r="BP25" s="10"/>
      <c r="BQ25" s="10"/>
      <c r="BR25" s="10"/>
      <c r="BS25" s="10"/>
    </row>
    <row r="26" spans="1:71">
      <c r="A26" s="10"/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10"/>
      <c r="AA26" s="10"/>
      <c r="AB26" s="10"/>
      <c r="AC26" s="10"/>
      <c r="AD26" s="10"/>
      <c r="AE26" s="10"/>
      <c r="AF26" s="10"/>
      <c r="AG26" s="10"/>
      <c r="AH26" s="10"/>
      <c r="AI26" s="10"/>
      <c r="AJ26" s="10"/>
      <c r="AK26" s="10"/>
      <c r="AL26" s="10"/>
      <c r="AM26" s="10"/>
      <c r="AN26" s="10"/>
      <c r="AO26" s="10"/>
      <c r="AP26" s="10"/>
      <c r="AQ26" s="10"/>
      <c r="AR26" s="10"/>
      <c r="AS26" s="10"/>
      <c r="AT26" s="10"/>
      <c r="AU26" s="10"/>
      <c r="AV26" s="10"/>
      <c r="AW26" s="10"/>
      <c r="AX26" s="10"/>
      <c r="AY26" s="10"/>
      <c r="AZ26" s="10"/>
      <c r="BA26" s="10"/>
      <c r="BB26" s="10"/>
      <c r="BC26" s="10"/>
      <c r="BD26" s="10"/>
      <c r="BE26" s="10"/>
      <c r="BF26" s="10"/>
      <c r="BG26" s="10"/>
      <c r="BH26" s="10"/>
      <c r="BI26" s="10"/>
      <c r="BJ26" s="10"/>
      <c r="BK26" s="10"/>
      <c r="BL26" s="10"/>
      <c r="BM26" s="10"/>
      <c r="BN26" s="10"/>
      <c r="BO26" s="10"/>
      <c r="BP26" s="10"/>
      <c r="BQ26" s="10"/>
      <c r="BR26" s="10"/>
      <c r="BS26" s="10"/>
    </row>
    <row r="27" spans="1:71">
      <c r="A27" s="10"/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10"/>
      <c r="AB27" s="10"/>
      <c r="AC27" s="10"/>
      <c r="AD27" s="10"/>
      <c r="AE27" s="10"/>
      <c r="AF27" s="10"/>
      <c r="AG27" s="10"/>
      <c r="AH27" s="10"/>
      <c r="AI27" s="10"/>
      <c r="AJ27" s="10"/>
      <c r="AK27" s="10"/>
      <c r="AL27" s="10"/>
      <c r="AM27" s="10"/>
      <c r="AN27" s="10"/>
      <c r="AO27" s="10"/>
      <c r="AP27" s="10"/>
      <c r="AQ27" s="10"/>
      <c r="AR27" s="10"/>
      <c r="AS27" s="10"/>
      <c r="AT27" s="10"/>
      <c r="AU27" s="10"/>
      <c r="AV27" s="10"/>
      <c r="AW27" s="10"/>
      <c r="AX27" s="10"/>
      <c r="AY27" s="10"/>
      <c r="AZ27" s="10"/>
      <c r="BA27" s="10"/>
      <c r="BB27" s="10"/>
      <c r="BC27" s="10"/>
      <c r="BD27" s="10"/>
      <c r="BE27" s="10"/>
      <c r="BF27" s="10"/>
      <c r="BG27" s="10"/>
      <c r="BH27" s="10"/>
      <c r="BI27" s="10"/>
      <c r="BJ27" s="10"/>
      <c r="BK27" s="10"/>
      <c r="BL27" s="10"/>
      <c r="BM27" s="10"/>
      <c r="BN27" s="10"/>
      <c r="BO27" s="10"/>
      <c r="BP27" s="10"/>
      <c r="BQ27" s="10"/>
      <c r="BR27" s="10"/>
      <c r="BS27" s="10"/>
    </row>
    <row r="28" spans="1:71">
      <c r="A28" s="10"/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10"/>
      <c r="AC28" s="10"/>
      <c r="AD28" s="10"/>
      <c r="AE28" s="10"/>
      <c r="AF28" s="10"/>
      <c r="AG28" s="10"/>
      <c r="AH28" s="10"/>
      <c r="AI28" s="10"/>
      <c r="AJ28" s="10"/>
      <c r="AK28" s="10"/>
      <c r="AL28" s="10"/>
      <c r="AM28" s="10"/>
      <c r="AN28" s="10"/>
      <c r="AO28" s="10"/>
      <c r="AP28" s="10"/>
      <c r="AQ28" s="10"/>
      <c r="AR28" s="10"/>
      <c r="AS28" s="10"/>
      <c r="AT28" s="10"/>
      <c r="AU28" s="10"/>
      <c r="AV28" s="10"/>
      <c r="AW28" s="10"/>
      <c r="AX28" s="10"/>
      <c r="AY28" s="10"/>
      <c r="AZ28" s="10"/>
      <c r="BA28" s="10"/>
      <c r="BB28" s="10"/>
      <c r="BC28" s="10"/>
      <c r="BD28" s="10"/>
      <c r="BE28" s="10"/>
      <c r="BF28" s="10"/>
      <c r="BG28" s="10"/>
      <c r="BH28" s="10"/>
      <c r="BI28" s="10"/>
      <c r="BJ28" s="10"/>
      <c r="BK28" s="10"/>
      <c r="BL28" s="10"/>
      <c r="BM28" s="10"/>
      <c r="BN28" s="10"/>
      <c r="BO28" s="10"/>
      <c r="BP28" s="10"/>
      <c r="BQ28" s="10"/>
      <c r="BR28" s="10"/>
      <c r="BS28" s="10"/>
    </row>
    <row r="29" spans="1:71">
      <c r="A29" s="10"/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10"/>
      <c r="AD29" s="10"/>
      <c r="AE29" s="10"/>
      <c r="AF29" s="10"/>
      <c r="AG29" s="10"/>
      <c r="AH29" s="10"/>
      <c r="AI29" s="10"/>
      <c r="AJ29" s="10"/>
      <c r="AK29" s="10"/>
      <c r="AL29" s="10"/>
      <c r="AM29" s="10"/>
      <c r="AN29" s="10"/>
      <c r="AO29" s="10"/>
      <c r="AP29" s="10"/>
      <c r="AQ29" s="10"/>
      <c r="AR29" s="10"/>
      <c r="AS29" s="10"/>
      <c r="AT29" s="10"/>
      <c r="AU29" s="10"/>
      <c r="AV29" s="10"/>
      <c r="AW29" s="10"/>
      <c r="AX29" s="10"/>
      <c r="AY29" s="10"/>
      <c r="AZ29" s="10"/>
      <c r="BA29" s="10"/>
      <c r="BB29" s="10"/>
      <c r="BC29" s="10"/>
      <c r="BD29" s="10"/>
      <c r="BE29" s="10"/>
      <c r="BF29" s="10"/>
      <c r="BG29" s="10"/>
      <c r="BH29" s="10"/>
      <c r="BI29" s="10"/>
      <c r="BJ29" s="10"/>
      <c r="BK29" s="10"/>
      <c r="BL29" s="10"/>
      <c r="BM29" s="10"/>
      <c r="BN29" s="10"/>
      <c r="BO29" s="10"/>
      <c r="BP29" s="10"/>
      <c r="BQ29" s="10"/>
      <c r="BR29" s="10"/>
      <c r="BS29" s="10"/>
    </row>
    <row r="30" spans="1:71">
      <c r="A30" s="10"/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10"/>
      <c r="AE30" s="10"/>
      <c r="AF30" s="10"/>
      <c r="AG30" s="10"/>
      <c r="AH30" s="10"/>
      <c r="AI30" s="10"/>
      <c r="AJ30" s="10"/>
      <c r="AK30" s="10"/>
      <c r="AL30" s="10"/>
      <c r="AM30" s="10"/>
      <c r="AN30" s="10"/>
      <c r="AO30" s="10"/>
      <c r="AP30" s="10"/>
      <c r="AQ30" s="10"/>
      <c r="AR30" s="10"/>
      <c r="AS30" s="10"/>
      <c r="AT30" s="10"/>
      <c r="AU30" s="10"/>
      <c r="AV30" s="10"/>
      <c r="AW30" s="10"/>
      <c r="AX30" s="10"/>
      <c r="AY30" s="10"/>
      <c r="AZ30" s="10"/>
      <c r="BA30" s="10"/>
      <c r="BB30" s="10"/>
      <c r="BC30" s="10"/>
      <c r="BD30" s="10"/>
      <c r="BE30" s="10"/>
      <c r="BF30" s="10"/>
      <c r="BG30" s="10"/>
      <c r="BH30" s="10"/>
      <c r="BI30" s="10"/>
      <c r="BJ30" s="10"/>
      <c r="BK30" s="10"/>
      <c r="BL30" s="10"/>
      <c r="BM30" s="10"/>
      <c r="BN30" s="10"/>
      <c r="BO30" s="10"/>
      <c r="BP30" s="10"/>
      <c r="BQ30" s="10"/>
      <c r="BR30" s="10"/>
      <c r="BS30" s="10"/>
    </row>
    <row r="31" spans="1:71">
      <c r="A31" s="10"/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10"/>
      <c r="AF31" s="10"/>
      <c r="AG31" s="10"/>
      <c r="AH31" s="10"/>
      <c r="AI31" s="10"/>
      <c r="AJ31" s="10"/>
      <c r="AK31" s="10"/>
      <c r="AL31" s="10"/>
      <c r="AM31" s="10"/>
      <c r="AN31" s="10"/>
      <c r="AO31" s="10"/>
      <c r="AP31" s="10"/>
      <c r="AQ31" s="10"/>
      <c r="AR31" s="10"/>
      <c r="AS31" s="10"/>
      <c r="AT31" s="10"/>
      <c r="AU31" s="10"/>
      <c r="AV31" s="10"/>
      <c r="AW31" s="10"/>
      <c r="AX31" s="10"/>
      <c r="AY31" s="10"/>
      <c r="AZ31" s="10"/>
      <c r="BA31" s="10"/>
      <c r="BB31" s="10"/>
      <c r="BC31" s="10"/>
      <c r="BD31" s="10"/>
      <c r="BE31" s="10"/>
      <c r="BF31" s="10"/>
      <c r="BG31" s="10"/>
      <c r="BH31" s="10"/>
      <c r="BI31" s="10"/>
      <c r="BJ31" s="10"/>
      <c r="BK31" s="10"/>
      <c r="BL31" s="10"/>
      <c r="BM31" s="10"/>
      <c r="BN31" s="10"/>
      <c r="BO31" s="10"/>
      <c r="BP31" s="10"/>
      <c r="BQ31" s="10"/>
      <c r="BR31" s="10"/>
      <c r="BS31" s="10"/>
    </row>
    <row r="32" spans="1:71">
      <c r="A32" s="10"/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10"/>
      <c r="AG32" s="10"/>
      <c r="AH32" s="10"/>
      <c r="AI32" s="10"/>
      <c r="AJ32" s="10"/>
      <c r="AK32" s="10"/>
      <c r="AL32" s="10"/>
      <c r="AM32" s="10"/>
      <c r="AN32" s="10"/>
      <c r="AO32" s="10"/>
      <c r="AP32" s="10"/>
      <c r="AQ32" s="10"/>
      <c r="AR32" s="10"/>
      <c r="AS32" s="10"/>
      <c r="AT32" s="10"/>
      <c r="AU32" s="10"/>
      <c r="AV32" s="10"/>
      <c r="AW32" s="10"/>
      <c r="AX32" s="10"/>
      <c r="AY32" s="10"/>
      <c r="AZ32" s="10"/>
      <c r="BA32" s="10"/>
      <c r="BB32" s="10"/>
      <c r="BC32" s="10"/>
      <c r="BD32" s="10"/>
      <c r="BE32" s="10"/>
      <c r="BF32" s="10"/>
      <c r="BG32" s="10"/>
      <c r="BH32" s="10"/>
      <c r="BI32" s="10"/>
      <c r="BJ32" s="10"/>
      <c r="BK32" s="10"/>
      <c r="BL32" s="10"/>
      <c r="BM32" s="10"/>
      <c r="BN32" s="10"/>
      <c r="BO32" s="10"/>
      <c r="BP32" s="10"/>
      <c r="BQ32" s="10"/>
      <c r="BR32" s="10"/>
      <c r="BS32" s="10"/>
    </row>
    <row r="33" spans="1:71">
      <c r="A33" s="10"/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10"/>
      <c r="AH33" s="10"/>
      <c r="AI33" s="10"/>
      <c r="AJ33" s="10"/>
      <c r="AK33" s="10"/>
      <c r="AL33" s="10"/>
      <c r="AM33" s="10"/>
      <c r="AN33" s="10"/>
      <c r="AO33" s="10"/>
      <c r="AP33" s="10"/>
      <c r="AQ33" s="10"/>
      <c r="AR33" s="10"/>
      <c r="AS33" s="10"/>
      <c r="AT33" s="10"/>
      <c r="AU33" s="10"/>
      <c r="AV33" s="10"/>
      <c r="AW33" s="10"/>
      <c r="AX33" s="10"/>
      <c r="AY33" s="10"/>
      <c r="AZ33" s="10"/>
      <c r="BA33" s="10"/>
      <c r="BB33" s="10"/>
      <c r="BC33" s="10"/>
      <c r="BD33" s="10"/>
      <c r="BE33" s="10"/>
      <c r="BF33" s="10"/>
      <c r="BG33" s="10"/>
      <c r="BH33" s="10"/>
      <c r="BI33" s="10"/>
      <c r="BJ33" s="10"/>
      <c r="BK33" s="10"/>
      <c r="BL33" s="10"/>
      <c r="BM33" s="10"/>
      <c r="BN33" s="10"/>
      <c r="BO33" s="10"/>
      <c r="BP33" s="10"/>
      <c r="BQ33" s="10"/>
      <c r="BR33" s="10"/>
      <c r="BS33" s="10"/>
    </row>
    <row r="34" spans="1:71">
      <c r="A34" s="10"/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10"/>
      <c r="AI34" s="10"/>
      <c r="AJ34" s="10"/>
      <c r="AK34" s="10"/>
      <c r="AL34" s="10"/>
      <c r="AM34" s="10"/>
      <c r="AN34" s="10"/>
      <c r="AO34" s="10"/>
      <c r="AP34" s="10"/>
      <c r="AQ34" s="10"/>
      <c r="AR34" s="10"/>
      <c r="AS34" s="10"/>
      <c r="AT34" s="10"/>
      <c r="AU34" s="10"/>
      <c r="AV34" s="10"/>
      <c r="AW34" s="10"/>
      <c r="AX34" s="10"/>
      <c r="AY34" s="10"/>
      <c r="AZ34" s="10"/>
      <c r="BA34" s="10"/>
      <c r="BB34" s="10"/>
      <c r="BC34" s="10"/>
      <c r="BD34" s="10"/>
      <c r="BE34" s="10"/>
      <c r="BF34" s="10"/>
      <c r="BG34" s="10"/>
      <c r="BH34" s="10"/>
      <c r="BI34" s="10"/>
      <c r="BJ34" s="10"/>
      <c r="BK34" s="10"/>
      <c r="BL34" s="10"/>
      <c r="BM34" s="10"/>
      <c r="BN34" s="10"/>
      <c r="BO34" s="10"/>
      <c r="BP34" s="10"/>
      <c r="BQ34" s="10"/>
      <c r="BR34" s="10"/>
      <c r="BS34" s="10"/>
    </row>
    <row r="35" spans="1:71">
      <c r="A35" s="10"/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10"/>
      <c r="AJ35" s="10"/>
      <c r="AK35" s="10"/>
      <c r="AL35" s="10"/>
      <c r="AM35" s="10"/>
      <c r="AN35" s="10"/>
      <c r="AO35" s="10"/>
      <c r="AP35" s="10"/>
      <c r="AQ35" s="10"/>
      <c r="AR35" s="10"/>
      <c r="AS35" s="10"/>
      <c r="AT35" s="10"/>
      <c r="AU35" s="10"/>
      <c r="AV35" s="10"/>
      <c r="AW35" s="10"/>
      <c r="AX35" s="10"/>
      <c r="AY35" s="10"/>
      <c r="AZ35" s="10"/>
      <c r="BA35" s="10"/>
      <c r="BB35" s="10"/>
      <c r="BC35" s="10"/>
      <c r="BD35" s="10"/>
      <c r="BE35" s="10"/>
      <c r="BF35" s="10"/>
      <c r="BG35" s="10"/>
      <c r="BH35" s="10"/>
      <c r="BI35" s="10"/>
      <c r="BJ35" s="10"/>
      <c r="BK35" s="10"/>
      <c r="BL35" s="10"/>
      <c r="BM35" s="10"/>
      <c r="BN35" s="10"/>
      <c r="BO35" s="10"/>
      <c r="BP35" s="10"/>
      <c r="BQ35" s="10"/>
      <c r="BR35" s="10"/>
      <c r="BS35" s="10"/>
    </row>
    <row r="36" spans="1:71">
      <c r="A36" s="10"/>
      <c r="B36" s="10"/>
      <c r="C36" s="10"/>
      <c r="D36" s="10"/>
      <c r="E36" s="10"/>
      <c r="F36" s="10"/>
      <c r="G36" s="10"/>
      <c r="H36" s="10"/>
      <c r="I36" s="10"/>
      <c r="J36" s="10"/>
      <c r="K36" s="10"/>
      <c r="L36" s="10"/>
      <c r="M36" s="10"/>
      <c r="N36" s="10"/>
      <c r="O36" s="10"/>
      <c r="P36" s="10"/>
      <c r="Q36" s="10"/>
      <c r="R36" s="10"/>
      <c r="S36" s="10"/>
      <c r="T36" s="10"/>
      <c r="U36" s="10"/>
      <c r="V36" s="10"/>
      <c r="W36" s="10"/>
      <c r="X36" s="10"/>
      <c r="Y36" s="10"/>
      <c r="Z36" s="10"/>
      <c r="AA36" s="10"/>
      <c r="AB36" s="10"/>
      <c r="AC36" s="10"/>
      <c r="AD36" s="10"/>
      <c r="AE36" s="10"/>
      <c r="AF36" s="10"/>
      <c r="AG36" s="10"/>
      <c r="AH36" s="10"/>
      <c r="AI36" s="10"/>
      <c r="AJ36" s="10"/>
      <c r="AK36" s="10"/>
      <c r="AL36" s="10"/>
      <c r="AM36" s="10"/>
      <c r="AN36" s="10"/>
      <c r="AO36" s="10"/>
      <c r="AP36" s="10"/>
      <c r="AQ36" s="10"/>
      <c r="AR36" s="10"/>
      <c r="AS36" s="10"/>
      <c r="AT36" s="10"/>
      <c r="AU36" s="10"/>
      <c r="AV36" s="10"/>
      <c r="AW36" s="10"/>
      <c r="AX36" s="10"/>
      <c r="AY36" s="10"/>
      <c r="AZ36" s="10"/>
      <c r="BA36" s="10"/>
      <c r="BB36" s="10"/>
      <c r="BC36" s="10"/>
      <c r="BD36" s="10"/>
      <c r="BE36" s="10"/>
      <c r="BF36" s="10"/>
      <c r="BG36" s="10"/>
      <c r="BH36" s="10"/>
      <c r="BI36" s="10"/>
      <c r="BJ36" s="10"/>
      <c r="BK36" s="10"/>
      <c r="BL36" s="10"/>
      <c r="BM36" s="10"/>
      <c r="BN36" s="10"/>
      <c r="BO36" s="10"/>
      <c r="BP36" s="10"/>
      <c r="BQ36" s="10"/>
      <c r="BR36" s="10"/>
      <c r="BS36" s="10"/>
    </row>
    <row r="37" spans="1:71">
      <c r="A37" s="10"/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10"/>
      <c r="AL37" s="10"/>
      <c r="AM37" s="10"/>
      <c r="AN37" s="10"/>
      <c r="AO37" s="10"/>
      <c r="AP37" s="10"/>
      <c r="AQ37" s="10"/>
      <c r="AR37" s="10"/>
      <c r="AS37" s="10"/>
      <c r="AT37" s="10"/>
      <c r="AU37" s="10"/>
      <c r="AV37" s="10"/>
      <c r="AW37" s="10"/>
      <c r="AX37" s="10"/>
      <c r="AY37" s="10"/>
      <c r="AZ37" s="10"/>
      <c r="BA37" s="10"/>
      <c r="BB37" s="10"/>
      <c r="BC37" s="10"/>
      <c r="BD37" s="10"/>
      <c r="BE37" s="10"/>
      <c r="BF37" s="10"/>
      <c r="BG37" s="10"/>
      <c r="BH37" s="10"/>
      <c r="BI37" s="10"/>
      <c r="BJ37" s="10"/>
      <c r="BK37" s="10"/>
      <c r="BL37" s="10"/>
      <c r="BM37" s="10"/>
      <c r="BN37" s="10"/>
      <c r="BO37" s="10"/>
      <c r="BP37" s="10"/>
      <c r="BQ37" s="10"/>
      <c r="BR37" s="10"/>
      <c r="BS37" s="10"/>
    </row>
    <row r="38" spans="1:71">
      <c r="A38" s="10"/>
      <c r="B38" s="10"/>
      <c r="C38" s="10"/>
      <c r="D38" s="10"/>
      <c r="E38" s="10"/>
      <c r="F38" s="10"/>
      <c r="G38" s="10"/>
      <c r="H38" s="10"/>
      <c r="I38" s="10"/>
      <c r="J38" s="10"/>
      <c r="K38" s="10"/>
      <c r="L38" s="10"/>
      <c r="M38" s="10"/>
      <c r="N38" s="10"/>
      <c r="O38" s="10"/>
      <c r="P38" s="10"/>
      <c r="Q38" s="10"/>
      <c r="R38" s="10"/>
      <c r="S38" s="10"/>
      <c r="T38" s="10"/>
      <c r="U38" s="10"/>
      <c r="V38" s="10"/>
      <c r="W38" s="10"/>
      <c r="X38" s="10"/>
      <c r="Y38" s="10"/>
      <c r="Z38" s="10"/>
      <c r="AA38" s="10"/>
      <c r="AB38" s="10"/>
      <c r="AC38" s="10"/>
      <c r="AD38" s="10"/>
      <c r="AE38" s="10"/>
      <c r="AF38" s="10"/>
      <c r="AG38" s="10"/>
      <c r="AH38" s="10"/>
      <c r="AI38" s="10"/>
      <c r="AJ38" s="10"/>
      <c r="AK38" s="10"/>
      <c r="AL38" s="10"/>
      <c r="AM38" s="10"/>
      <c r="AN38" s="10"/>
      <c r="AO38" s="10"/>
      <c r="AP38" s="10"/>
      <c r="AQ38" s="10"/>
      <c r="AR38" s="10"/>
      <c r="AS38" s="10"/>
      <c r="AT38" s="10"/>
      <c r="AU38" s="10"/>
      <c r="AV38" s="10"/>
      <c r="AW38" s="10"/>
      <c r="AX38" s="10"/>
      <c r="AY38" s="10"/>
      <c r="AZ38" s="10"/>
      <c r="BA38" s="10"/>
      <c r="BB38" s="10"/>
      <c r="BC38" s="10"/>
      <c r="BD38" s="10"/>
      <c r="BE38" s="10"/>
      <c r="BF38" s="10"/>
      <c r="BG38" s="10"/>
      <c r="BH38" s="10"/>
      <c r="BI38" s="10"/>
      <c r="BJ38" s="10"/>
      <c r="BK38" s="10"/>
      <c r="BL38" s="10"/>
      <c r="BM38" s="10"/>
      <c r="BN38" s="10"/>
      <c r="BO38" s="10"/>
      <c r="BP38" s="10"/>
      <c r="BQ38" s="10"/>
      <c r="BR38" s="10"/>
      <c r="BS38" s="10"/>
    </row>
    <row r="39" spans="1:71">
      <c r="A39" s="10"/>
      <c r="B39" s="10"/>
      <c r="C39" s="10"/>
      <c r="D39" s="10"/>
      <c r="E39" s="10"/>
      <c r="F39" s="10"/>
      <c r="G39" s="10"/>
      <c r="H39" s="10"/>
      <c r="I39" s="10"/>
      <c r="J39" s="10"/>
      <c r="K39" s="10"/>
      <c r="L39" s="10"/>
      <c r="M39" s="10"/>
      <c r="N39" s="10"/>
      <c r="O39" s="10"/>
      <c r="P39" s="10"/>
      <c r="Q39" s="10"/>
      <c r="R39" s="10"/>
      <c r="S39" s="10"/>
      <c r="T39" s="10"/>
      <c r="U39" s="10"/>
      <c r="V39" s="10"/>
      <c r="W39" s="10"/>
      <c r="X39" s="10"/>
      <c r="Y39" s="10"/>
      <c r="Z39" s="10"/>
      <c r="AA39" s="10"/>
      <c r="AB39" s="10"/>
      <c r="AC39" s="10"/>
      <c r="AD39" s="10"/>
      <c r="AE39" s="10"/>
      <c r="AF39" s="10"/>
      <c r="AG39" s="10"/>
      <c r="AH39" s="10"/>
      <c r="AI39" s="10"/>
      <c r="AJ39" s="10"/>
      <c r="AK39" s="10"/>
      <c r="AL39" s="10"/>
      <c r="AM39" s="10"/>
      <c r="AN39" s="10"/>
      <c r="AO39" s="10"/>
      <c r="AP39" s="10"/>
      <c r="AQ39" s="10"/>
      <c r="AR39" s="10"/>
      <c r="AS39" s="10"/>
      <c r="AT39" s="10"/>
      <c r="AU39" s="10"/>
      <c r="AV39" s="10"/>
      <c r="AW39" s="10"/>
      <c r="AX39" s="10"/>
      <c r="AY39" s="10"/>
      <c r="AZ39" s="10"/>
      <c r="BA39" s="10"/>
      <c r="BB39" s="10"/>
      <c r="BC39" s="10"/>
      <c r="BD39" s="10"/>
      <c r="BE39" s="10"/>
      <c r="BF39" s="10"/>
      <c r="BG39" s="10"/>
      <c r="BH39" s="10"/>
      <c r="BI39" s="10"/>
      <c r="BJ39" s="10"/>
      <c r="BK39" s="10"/>
      <c r="BL39" s="10"/>
      <c r="BM39" s="10"/>
      <c r="BN39" s="10"/>
      <c r="BO39" s="10"/>
      <c r="BP39" s="10"/>
      <c r="BQ39" s="10"/>
      <c r="BR39" s="10"/>
      <c r="BS39" s="10"/>
    </row>
    <row r="40" spans="1:71">
      <c r="A40" s="10"/>
      <c r="B40" s="10"/>
      <c r="C40" s="10"/>
      <c r="D40" s="10"/>
      <c r="E40" s="10"/>
      <c r="F40" s="10"/>
      <c r="G40" s="10"/>
      <c r="H40" s="10"/>
      <c r="I40" s="10"/>
      <c r="J40" s="10"/>
      <c r="K40" s="10"/>
      <c r="L40" s="10"/>
      <c r="M40" s="10"/>
      <c r="N40" s="10"/>
      <c r="O40" s="10"/>
      <c r="P40" s="10"/>
      <c r="Q40" s="10"/>
      <c r="R40" s="10"/>
      <c r="S40" s="10"/>
      <c r="T40" s="10"/>
      <c r="U40" s="10"/>
      <c r="V40" s="10"/>
      <c r="W40" s="10"/>
      <c r="X40" s="10"/>
      <c r="Y40" s="10"/>
      <c r="Z40" s="10"/>
      <c r="AA40" s="10"/>
      <c r="AB40" s="10"/>
      <c r="AC40" s="10"/>
      <c r="AD40" s="10"/>
      <c r="AE40" s="10"/>
      <c r="AF40" s="10"/>
      <c r="AG40" s="10"/>
      <c r="AH40" s="10"/>
      <c r="AI40" s="10"/>
      <c r="AJ40" s="10"/>
      <c r="AK40" s="10"/>
      <c r="AL40" s="10"/>
      <c r="AM40" s="10"/>
      <c r="AN40" s="10"/>
      <c r="AO40" s="10"/>
      <c r="AP40" s="10"/>
      <c r="AQ40" s="10"/>
      <c r="AR40" s="10"/>
      <c r="AS40" s="10"/>
      <c r="AT40" s="10"/>
      <c r="AU40" s="10"/>
      <c r="AV40" s="10"/>
      <c r="AW40" s="10"/>
      <c r="AX40" s="10"/>
      <c r="AY40" s="10"/>
      <c r="AZ40" s="10"/>
      <c r="BA40" s="10"/>
      <c r="BB40" s="10"/>
      <c r="BC40" s="10"/>
      <c r="BD40" s="10"/>
      <c r="BE40" s="10"/>
      <c r="BF40" s="10"/>
      <c r="BG40" s="10"/>
      <c r="BH40" s="10"/>
      <c r="BI40" s="10"/>
      <c r="BJ40" s="10"/>
      <c r="BK40" s="10"/>
      <c r="BL40" s="10"/>
      <c r="BM40" s="10"/>
      <c r="BN40" s="10"/>
      <c r="BO40" s="10"/>
      <c r="BP40" s="10"/>
      <c r="BQ40" s="10"/>
      <c r="BR40" s="10"/>
      <c r="BS40" s="10"/>
    </row>
    <row r="41" spans="1:71">
      <c r="A41" s="10"/>
      <c r="B41" s="10"/>
      <c r="C41" s="10"/>
      <c r="D41" s="10"/>
      <c r="E41" s="10"/>
      <c r="F41" s="10"/>
      <c r="G41" s="10"/>
      <c r="H41" s="10"/>
      <c r="I41" s="10"/>
      <c r="J41" s="10"/>
      <c r="K41" s="10"/>
      <c r="L41" s="10"/>
      <c r="M41" s="10"/>
      <c r="N41" s="10"/>
      <c r="O41" s="10"/>
      <c r="P41" s="10"/>
      <c r="Q41" s="10"/>
      <c r="R41" s="10"/>
      <c r="S41" s="10"/>
      <c r="T41" s="10"/>
      <c r="U41" s="10"/>
      <c r="V41" s="10"/>
      <c r="W41" s="10"/>
      <c r="X41" s="10"/>
      <c r="Y41" s="10"/>
      <c r="Z41" s="10"/>
      <c r="AA41" s="10"/>
      <c r="AB41" s="10"/>
      <c r="AC41" s="10"/>
      <c r="AD41" s="10"/>
      <c r="AE41" s="10"/>
      <c r="AF41" s="10"/>
      <c r="AG41" s="10"/>
      <c r="AH41" s="10"/>
      <c r="AI41" s="10"/>
      <c r="AJ41" s="10"/>
      <c r="AK41" s="10"/>
      <c r="AL41" s="10"/>
      <c r="AM41" s="10"/>
      <c r="AN41" s="10"/>
      <c r="AO41" s="10"/>
      <c r="AP41" s="10"/>
      <c r="AQ41" s="10"/>
      <c r="AR41" s="10"/>
      <c r="AS41" s="10"/>
      <c r="AT41" s="10"/>
      <c r="AU41" s="10"/>
      <c r="AV41" s="10"/>
      <c r="AW41" s="10"/>
      <c r="AX41" s="10"/>
      <c r="AY41" s="10"/>
      <c r="AZ41" s="10"/>
      <c r="BA41" s="10"/>
      <c r="BB41" s="10"/>
      <c r="BC41" s="10"/>
      <c r="BD41" s="10"/>
      <c r="BE41" s="10"/>
      <c r="BF41" s="10"/>
      <c r="BG41" s="10"/>
      <c r="BH41" s="10"/>
      <c r="BI41" s="10"/>
      <c r="BJ41" s="10"/>
      <c r="BK41" s="10"/>
      <c r="BL41" s="10"/>
      <c r="BM41" s="10"/>
      <c r="BN41" s="10"/>
      <c r="BO41" s="10"/>
      <c r="BP41" s="10"/>
      <c r="BQ41" s="10"/>
      <c r="BR41" s="10"/>
      <c r="BS41" s="10"/>
    </row>
    <row r="42" spans="1:71">
      <c r="A42" s="10"/>
      <c r="B42" s="10"/>
      <c r="C42" s="10"/>
      <c r="D42" s="10"/>
      <c r="E42" s="10"/>
      <c r="F42" s="10"/>
      <c r="G42" s="10"/>
      <c r="H42" s="10"/>
      <c r="I42" s="10"/>
      <c r="J42" s="10"/>
      <c r="K42" s="10"/>
      <c r="L42" s="10"/>
      <c r="M42" s="10"/>
      <c r="N42" s="10"/>
      <c r="O42" s="10"/>
      <c r="P42" s="10"/>
      <c r="Q42" s="10"/>
      <c r="R42" s="10"/>
      <c r="S42" s="10"/>
      <c r="T42" s="10"/>
      <c r="U42" s="10"/>
      <c r="V42" s="10"/>
      <c r="W42" s="10"/>
      <c r="X42" s="10"/>
      <c r="Y42" s="10"/>
      <c r="Z42" s="10"/>
      <c r="AA42" s="10"/>
      <c r="AB42" s="10"/>
      <c r="AC42" s="10"/>
      <c r="AD42" s="10"/>
      <c r="AE42" s="10"/>
      <c r="AF42" s="10"/>
      <c r="AG42" s="10"/>
      <c r="AH42" s="10"/>
      <c r="AI42" s="10"/>
      <c r="AJ42" s="10"/>
      <c r="AK42" s="10"/>
      <c r="AL42" s="10"/>
      <c r="AM42" s="10"/>
      <c r="AN42" s="10"/>
      <c r="AO42" s="10"/>
      <c r="AP42" s="10"/>
      <c r="AQ42" s="10"/>
      <c r="AR42" s="10"/>
      <c r="AS42" s="10"/>
      <c r="AT42" s="10"/>
      <c r="AU42" s="10"/>
      <c r="AV42" s="10"/>
      <c r="AW42" s="10"/>
      <c r="AX42" s="10"/>
      <c r="AY42" s="10"/>
      <c r="AZ42" s="10"/>
      <c r="BA42" s="10"/>
      <c r="BB42" s="10"/>
      <c r="BC42" s="10"/>
      <c r="BD42" s="10"/>
      <c r="BE42" s="10"/>
      <c r="BF42" s="10"/>
      <c r="BG42" s="10"/>
      <c r="BH42" s="10"/>
      <c r="BI42" s="10"/>
      <c r="BJ42" s="10"/>
      <c r="BK42" s="10"/>
      <c r="BL42" s="10"/>
      <c r="BM42" s="10"/>
      <c r="BN42" s="10"/>
      <c r="BO42" s="10"/>
      <c r="BP42" s="10"/>
      <c r="BQ42" s="10"/>
      <c r="BR42" s="10"/>
      <c r="BS42" s="10"/>
    </row>
    <row r="43" spans="1:71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0"/>
      <c r="X43" s="10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0"/>
      <c r="AU43" s="10"/>
      <c r="AV43" s="10"/>
      <c r="AW43" s="10"/>
      <c r="AX43" s="10"/>
      <c r="AY43" s="10"/>
      <c r="AZ43" s="10"/>
      <c r="BA43" s="10"/>
      <c r="BB43" s="10"/>
      <c r="BC43" s="10"/>
      <c r="BD43" s="10"/>
      <c r="BE43" s="10"/>
      <c r="BF43" s="10"/>
      <c r="BG43" s="10"/>
      <c r="BH43" s="10"/>
      <c r="BI43" s="10"/>
      <c r="BJ43" s="10"/>
      <c r="BK43" s="10"/>
      <c r="BL43" s="10"/>
      <c r="BM43" s="10"/>
      <c r="BN43" s="10"/>
      <c r="BO43" s="10"/>
      <c r="BP43" s="10"/>
      <c r="BQ43" s="10"/>
      <c r="BR43" s="10"/>
      <c r="BS43" s="10"/>
    </row>
    <row r="44" spans="1:71">
      <c r="A44" s="10"/>
      <c r="B44" s="10"/>
      <c r="C44" s="10"/>
      <c r="D44" s="10"/>
      <c r="E44" s="10"/>
      <c r="F44" s="10"/>
      <c r="G44" s="10"/>
      <c r="H44" s="10"/>
      <c r="I44" s="10"/>
      <c r="J44" s="10"/>
      <c r="K44" s="10"/>
      <c r="L44" s="10"/>
      <c r="M44" s="10"/>
      <c r="N44" s="10"/>
      <c r="O44" s="10"/>
      <c r="P44" s="10"/>
      <c r="Q44" s="10"/>
      <c r="R44" s="10"/>
      <c r="S44" s="10"/>
      <c r="T44" s="10"/>
      <c r="U44" s="10"/>
      <c r="V44" s="10"/>
      <c r="W44" s="10"/>
      <c r="X44" s="10"/>
      <c r="Y44" s="10"/>
      <c r="Z44" s="10"/>
      <c r="AA44" s="10"/>
      <c r="AB44" s="10"/>
      <c r="AC44" s="10"/>
      <c r="AD44" s="10"/>
      <c r="AE44" s="10"/>
      <c r="AF44" s="10"/>
      <c r="AG44" s="10"/>
      <c r="AH44" s="10"/>
      <c r="AI44" s="10"/>
      <c r="AJ44" s="10"/>
      <c r="AK44" s="10"/>
      <c r="AL44" s="10"/>
      <c r="AM44" s="10"/>
      <c r="AN44" s="10"/>
      <c r="AO44" s="10"/>
      <c r="AP44" s="10"/>
      <c r="AQ44" s="10"/>
      <c r="AR44" s="10"/>
      <c r="AS44" s="10"/>
      <c r="AT44" s="10"/>
      <c r="AU44" s="10"/>
      <c r="AV44" s="10"/>
      <c r="AW44" s="10"/>
      <c r="AX44" s="10"/>
      <c r="AY44" s="10"/>
      <c r="AZ44" s="10"/>
      <c r="BA44" s="10"/>
      <c r="BB44" s="10"/>
      <c r="BC44" s="10"/>
      <c r="BD44" s="10"/>
      <c r="BE44" s="10"/>
      <c r="BF44" s="10"/>
      <c r="BG44" s="10"/>
      <c r="BH44" s="10"/>
      <c r="BI44" s="10"/>
      <c r="BJ44" s="10"/>
      <c r="BK44" s="10"/>
      <c r="BL44" s="10"/>
      <c r="BM44" s="10"/>
      <c r="BN44" s="10"/>
      <c r="BO44" s="10"/>
      <c r="BP44" s="10"/>
      <c r="BQ44" s="10"/>
      <c r="BR44" s="10"/>
      <c r="BS44" s="10"/>
    </row>
    <row r="45" spans="1:71">
      <c r="A45" s="10"/>
      <c r="B45" s="10"/>
      <c r="C45" s="10"/>
      <c r="D45" s="10"/>
      <c r="E45" s="10"/>
      <c r="F45" s="10"/>
      <c r="G45" s="10"/>
      <c r="H45" s="10"/>
      <c r="I45" s="10"/>
      <c r="J45" s="10"/>
      <c r="K45" s="10"/>
      <c r="L45" s="10"/>
      <c r="M45" s="10"/>
      <c r="N45" s="10"/>
      <c r="O45" s="10"/>
      <c r="P45" s="10"/>
      <c r="Q45" s="10"/>
      <c r="R45" s="10"/>
      <c r="S45" s="10"/>
      <c r="T45" s="10"/>
      <c r="U45" s="10"/>
      <c r="V45" s="10"/>
      <c r="W45" s="10"/>
      <c r="X45" s="10"/>
      <c r="Y45" s="10"/>
      <c r="Z45" s="10"/>
      <c r="AA45" s="10"/>
      <c r="AB45" s="10"/>
      <c r="AC45" s="10"/>
      <c r="AD45" s="10"/>
      <c r="AE45" s="10"/>
      <c r="AF45" s="10"/>
      <c r="AG45" s="10"/>
      <c r="AH45" s="10"/>
      <c r="AI45" s="10"/>
      <c r="AJ45" s="10"/>
      <c r="AK45" s="10"/>
      <c r="AL45" s="10"/>
      <c r="AM45" s="10"/>
      <c r="AN45" s="10"/>
      <c r="AO45" s="10"/>
      <c r="AP45" s="10"/>
      <c r="AQ45" s="10"/>
      <c r="AR45" s="10"/>
      <c r="AS45" s="10"/>
      <c r="AT45" s="10"/>
      <c r="AU45" s="10"/>
      <c r="AV45" s="10"/>
      <c r="AW45" s="10"/>
      <c r="AX45" s="10"/>
      <c r="AY45" s="10"/>
      <c r="AZ45" s="10"/>
      <c r="BA45" s="10"/>
      <c r="BB45" s="10"/>
      <c r="BC45" s="10"/>
      <c r="BD45" s="10"/>
      <c r="BE45" s="10"/>
      <c r="BF45" s="10"/>
      <c r="BG45" s="10"/>
      <c r="BH45" s="10"/>
      <c r="BI45" s="10"/>
      <c r="BJ45" s="10"/>
      <c r="BK45" s="10"/>
      <c r="BL45" s="10"/>
      <c r="BM45" s="10"/>
      <c r="BN45" s="10"/>
      <c r="BO45" s="10"/>
      <c r="BP45" s="10"/>
      <c r="BQ45" s="10"/>
      <c r="BR45" s="10"/>
      <c r="BS45" s="10"/>
    </row>
    <row r="46" spans="1:71">
      <c r="A46" s="10"/>
      <c r="B46" s="10"/>
      <c r="C46" s="10"/>
      <c r="D46" s="10"/>
      <c r="E46" s="10"/>
      <c r="F46" s="10"/>
      <c r="G46" s="10"/>
      <c r="H46" s="10"/>
      <c r="I46" s="10"/>
      <c r="J46" s="10"/>
      <c r="K46" s="10"/>
      <c r="L46" s="10"/>
      <c r="M46" s="10"/>
      <c r="N46" s="10"/>
      <c r="O46" s="10"/>
      <c r="P46" s="10"/>
      <c r="Q46" s="10"/>
      <c r="R46" s="10"/>
      <c r="S46" s="10"/>
      <c r="T46" s="10"/>
      <c r="U46" s="10"/>
      <c r="V46" s="10"/>
      <c r="W46" s="10"/>
      <c r="X46" s="10"/>
      <c r="Y46" s="10"/>
      <c r="Z46" s="10"/>
      <c r="AA46" s="10"/>
      <c r="AB46" s="10"/>
      <c r="AC46" s="10"/>
      <c r="AD46" s="10"/>
      <c r="AE46" s="10"/>
      <c r="AF46" s="10"/>
      <c r="AG46" s="10"/>
      <c r="AH46" s="10"/>
      <c r="AI46" s="10"/>
      <c r="AJ46" s="10"/>
      <c r="AK46" s="10"/>
      <c r="AL46" s="10"/>
      <c r="AM46" s="10"/>
      <c r="AN46" s="10"/>
      <c r="AO46" s="10"/>
      <c r="AP46" s="10"/>
      <c r="AQ46" s="10"/>
      <c r="AR46" s="10"/>
      <c r="AS46" s="10"/>
      <c r="AT46" s="10"/>
      <c r="AU46" s="10"/>
      <c r="AV46" s="10"/>
      <c r="AW46" s="10"/>
      <c r="AX46" s="10"/>
      <c r="AY46" s="10"/>
      <c r="AZ46" s="10"/>
      <c r="BA46" s="10"/>
      <c r="BB46" s="10"/>
      <c r="BC46" s="10"/>
      <c r="BD46" s="10"/>
      <c r="BE46" s="10"/>
      <c r="BF46" s="10"/>
      <c r="BG46" s="10"/>
      <c r="BH46" s="10"/>
      <c r="BI46" s="10"/>
      <c r="BJ46" s="10"/>
      <c r="BK46" s="10"/>
      <c r="BL46" s="10"/>
      <c r="BM46" s="10"/>
      <c r="BN46" s="10"/>
      <c r="BO46" s="10"/>
      <c r="BP46" s="10"/>
      <c r="BQ46" s="10"/>
      <c r="BR46" s="10"/>
      <c r="BS46" s="10"/>
    </row>
    <row r="47" spans="1:71">
      <c r="A47" s="10"/>
      <c r="B47" s="10"/>
      <c r="C47" s="10"/>
      <c r="D47" s="10"/>
      <c r="E47" s="10"/>
      <c r="F47" s="10"/>
      <c r="G47" s="10"/>
      <c r="H47" s="10"/>
      <c r="I47" s="10"/>
      <c r="J47" s="10"/>
      <c r="K47" s="10"/>
      <c r="L47" s="10"/>
      <c r="M47" s="10"/>
      <c r="N47" s="10"/>
      <c r="O47" s="10"/>
      <c r="P47" s="10"/>
      <c r="Q47" s="10"/>
      <c r="R47" s="10"/>
      <c r="S47" s="10"/>
      <c r="T47" s="10"/>
      <c r="U47" s="10"/>
      <c r="V47" s="10"/>
      <c r="W47" s="10"/>
      <c r="X47" s="10"/>
      <c r="Y47" s="10"/>
      <c r="Z47" s="10"/>
      <c r="AA47" s="10"/>
      <c r="AB47" s="10"/>
      <c r="AC47" s="10"/>
      <c r="AD47" s="10"/>
      <c r="AE47" s="10"/>
      <c r="AF47" s="10"/>
      <c r="AG47" s="10"/>
      <c r="AH47" s="10"/>
      <c r="AI47" s="10"/>
      <c r="AJ47" s="10"/>
      <c r="AK47" s="10"/>
      <c r="AL47" s="10"/>
      <c r="AM47" s="10"/>
      <c r="AN47" s="10"/>
      <c r="AO47" s="10"/>
      <c r="AP47" s="10"/>
      <c r="AQ47" s="10"/>
      <c r="AR47" s="10"/>
      <c r="AS47" s="10"/>
      <c r="AT47" s="10"/>
      <c r="AU47" s="10"/>
      <c r="AV47" s="10"/>
      <c r="AW47" s="10"/>
      <c r="AX47" s="10"/>
      <c r="AY47" s="10"/>
      <c r="AZ47" s="10"/>
      <c r="BA47" s="10"/>
      <c r="BB47" s="10"/>
      <c r="BC47" s="10"/>
      <c r="BD47" s="10"/>
      <c r="BE47" s="10"/>
      <c r="BF47" s="10"/>
      <c r="BG47" s="10"/>
      <c r="BH47" s="10"/>
      <c r="BI47" s="10"/>
      <c r="BJ47" s="10"/>
      <c r="BK47" s="10"/>
      <c r="BL47" s="10"/>
      <c r="BM47" s="10"/>
      <c r="BN47" s="10"/>
      <c r="BO47" s="10"/>
      <c r="BP47" s="10"/>
      <c r="BQ47" s="10"/>
      <c r="BR47" s="10"/>
      <c r="BS47" s="10"/>
    </row>
    <row r="48" spans="1:71">
      <c r="A48" s="10"/>
      <c r="B48" s="10"/>
      <c r="C48" s="10"/>
      <c r="D48" s="10"/>
      <c r="E48" s="10"/>
      <c r="F48" s="10"/>
      <c r="G48" s="10"/>
      <c r="H48" s="10"/>
      <c r="I48" s="10"/>
      <c r="J48" s="10"/>
      <c r="K48" s="10"/>
      <c r="L48" s="10"/>
      <c r="M48" s="10"/>
      <c r="N48" s="10"/>
      <c r="O48" s="10"/>
      <c r="P48" s="10"/>
      <c r="Q48" s="10"/>
      <c r="R48" s="10"/>
      <c r="S48" s="10"/>
      <c r="T48" s="10"/>
      <c r="U48" s="10"/>
      <c r="V48" s="10"/>
      <c r="W48" s="10"/>
      <c r="X48" s="10"/>
      <c r="Y48" s="10"/>
      <c r="Z48" s="10"/>
      <c r="AA48" s="10"/>
      <c r="AB48" s="10"/>
      <c r="AC48" s="10"/>
      <c r="AD48" s="10"/>
      <c r="AE48" s="10"/>
      <c r="AF48" s="10"/>
      <c r="AG48" s="10"/>
      <c r="AH48" s="10"/>
      <c r="AI48" s="10"/>
      <c r="AJ48" s="10"/>
      <c r="AK48" s="10"/>
      <c r="AL48" s="10"/>
      <c r="AM48" s="10"/>
      <c r="AN48" s="10"/>
      <c r="AO48" s="10"/>
      <c r="AP48" s="10"/>
      <c r="AQ48" s="10"/>
      <c r="AR48" s="10"/>
      <c r="AS48" s="10"/>
      <c r="AT48" s="10"/>
      <c r="AU48" s="10"/>
      <c r="AV48" s="10"/>
      <c r="AW48" s="10"/>
      <c r="AX48" s="10"/>
      <c r="AY48" s="10"/>
      <c r="AZ48" s="10"/>
      <c r="BA48" s="10"/>
      <c r="BB48" s="10"/>
      <c r="BC48" s="10"/>
      <c r="BD48" s="10"/>
      <c r="BE48" s="10"/>
      <c r="BF48" s="10"/>
      <c r="BG48" s="10"/>
      <c r="BH48" s="10"/>
      <c r="BI48" s="10"/>
      <c r="BJ48" s="10"/>
      <c r="BK48" s="10"/>
      <c r="BL48" s="10"/>
      <c r="BM48" s="10"/>
      <c r="BN48" s="10"/>
      <c r="BO48" s="10"/>
      <c r="BP48" s="10"/>
      <c r="BQ48" s="10"/>
      <c r="BR48" s="10"/>
      <c r="BS48" s="10"/>
    </row>
    <row r="49" spans="1:71">
      <c r="A49" s="10"/>
      <c r="B49" s="10"/>
      <c r="C49" s="10"/>
      <c r="D49" s="10"/>
      <c r="E49" s="10"/>
      <c r="F49" s="10"/>
      <c r="G49" s="10"/>
      <c r="H49" s="10"/>
      <c r="I49" s="10"/>
      <c r="J49" s="10"/>
      <c r="K49" s="10"/>
      <c r="L49" s="10"/>
      <c r="M49" s="10"/>
      <c r="N49" s="10"/>
      <c r="O49" s="10"/>
      <c r="P49" s="10"/>
      <c r="Q49" s="10"/>
      <c r="R49" s="10"/>
      <c r="S49" s="10"/>
      <c r="T49" s="10"/>
      <c r="U49" s="10"/>
      <c r="V49" s="10"/>
      <c r="W49" s="10"/>
      <c r="X49" s="10"/>
      <c r="Y49" s="10"/>
      <c r="Z49" s="10"/>
      <c r="AA49" s="10"/>
      <c r="AB49" s="10"/>
      <c r="AC49" s="10"/>
      <c r="AD49" s="10"/>
      <c r="AE49" s="10"/>
      <c r="AF49" s="10"/>
      <c r="AG49" s="10"/>
      <c r="AH49" s="10"/>
      <c r="AI49" s="10"/>
      <c r="AJ49" s="10"/>
      <c r="AK49" s="10"/>
      <c r="AL49" s="10"/>
      <c r="AM49" s="10"/>
      <c r="AN49" s="10"/>
      <c r="AO49" s="10"/>
      <c r="AP49" s="10"/>
      <c r="AQ49" s="10"/>
      <c r="AR49" s="10"/>
      <c r="AS49" s="10"/>
      <c r="AT49" s="10"/>
      <c r="AU49" s="10"/>
      <c r="AV49" s="10"/>
      <c r="AW49" s="10"/>
      <c r="AX49" s="10"/>
      <c r="AY49" s="10"/>
      <c r="AZ49" s="10"/>
      <c r="BA49" s="10"/>
      <c r="BB49" s="10"/>
      <c r="BC49" s="10"/>
      <c r="BD49" s="10"/>
      <c r="BE49" s="10"/>
      <c r="BF49" s="10"/>
      <c r="BG49" s="10"/>
      <c r="BH49" s="10"/>
      <c r="BI49" s="10"/>
      <c r="BJ49" s="10"/>
      <c r="BK49" s="10"/>
      <c r="BL49" s="10"/>
      <c r="BM49" s="10"/>
      <c r="BN49" s="10"/>
      <c r="BO49" s="10"/>
      <c r="BP49" s="10"/>
      <c r="BQ49" s="10"/>
      <c r="BR49" s="10"/>
      <c r="BS49" s="10"/>
    </row>
    <row r="50" spans="1:71">
      <c r="A50" s="10"/>
      <c r="B50" s="10"/>
      <c r="C50" s="10"/>
      <c r="D50" s="10"/>
      <c r="E50" s="10"/>
      <c r="F50" s="10"/>
      <c r="G50" s="10"/>
      <c r="H50" s="10"/>
      <c r="I50" s="10"/>
      <c r="J50" s="10"/>
      <c r="K50" s="10"/>
      <c r="L50" s="10"/>
      <c r="M50" s="10"/>
      <c r="N50" s="10"/>
      <c r="O50" s="10"/>
      <c r="P50" s="10"/>
      <c r="Q50" s="10"/>
      <c r="R50" s="10"/>
      <c r="S50" s="10"/>
      <c r="T50" s="10"/>
      <c r="U50" s="10"/>
      <c r="V50" s="10"/>
      <c r="W50" s="10"/>
      <c r="X50" s="10"/>
      <c r="Y50" s="10"/>
      <c r="Z50" s="10"/>
      <c r="AA50" s="10"/>
      <c r="AB50" s="10"/>
      <c r="AC50" s="10"/>
      <c r="AD50" s="10"/>
      <c r="AE50" s="10"/>
      <c r="AF50" s="10"/>
      <c r="AG50" s="10"/>
      <c r="AH50" s="10"/>
      <c r="AI50" s="10"/>
      <c r="AJ50" s="10"/>
      <c r="AK50" s="10"/>
      <c r="AL50" s="10"/>
      <c r="AM50" s="10"/>
      <c r="AN50" s="10"/>
      <c r="AO50" s="10"/>
      <c r="AP50" s="10"/>
      <c r="AQ50" s="10"/>
      <c r="AR50" s="10"/>
      <c r="AS50" s="10"/>
      <c r="AT50" s="10"/>
      <c r="AU50" s="10"/>
      <c r="AV50" s="10"/>
      <c r="AW50" s="10"/>
      <c r="AX50" s="10"/>
      <c r="AY50" s="10"/>
      <c r="AZ50" s="10"/>
      <c r="BA50" s="10"/>
      <c r="BB50" s="10"/>
      <c r="BC50" s="10"/>
      <c r="BD50" s="10"/>
      <c r="BE50" s="10"/>
      <c r="BF50" s="10"/>
      <c r="BG50" s="10"/>
      <c r="BH50" s="10"/>
      <c r="BI50" s="10"/>
      <c r="BJ50" s="10"/>
      <c r="BK50" s="10"/>
      <c r="BL50" s="10"/>
      <c r="BM50" s="10"/>
      <c r="BN50" s="10"/>
      <c r="BO50" s="10"/>
      <c r="BP50" s="10"/>
      <c r="BQ50" s="10"/>
      <c r="BR50" s="10"/>
      <c r="BS50" s="10"/>
    </row>
    <row r="51" spans="1:71">
      <c r="A51" s="10"/>
      <c r="B51" s="10"/>
      <c r="C51" s="10"/>
      <c r="D51" s="10"/>
      <c r="E51" s="10"/>
      <c r="F51" s="10"/>
      <c r="G51" s="10"/>
      <c r="H51" s="10"/>
      <c r="I51" s="10"/>
      <c r="J51" s="10"/>
      <c r="K51" s="10"/>
      <c r="L51" s="10"/>
      <c r="M51" s="10"/>
      <c r="N51" s="10"/>
      <c r="O51" s="10"/>
      <c r="P51" s="10"/>
      <c r="Q51" s="10"/>
      <c r="R51" s="10"/>
      <c r="S51" s="10"/>
      <c r="T51" s="10"/>
      <c r="U51" s="10"/>
      <c r="V51" s="10"/>
      <c r="W51" s="10"/>
      <c r="X51" s="10"/>
      <c r="Y51" s="10"/>
      <c r="Z51" s="10"/>
      <c r="AA51" s="10"/>
      <c r="AB51" s="10"/>
      <c r="AC51" s="10"/>
      <c r="AD51" s="10"/>
      <c r="AE51" s="10"/>
      <c r="AF51" s="10"/>
      <c r="AG51" s="10"/>
      <c r="AH51" s="10"/>
      <c r="AI51" s="10"/>
      <c r="AJ51" s="10"/>
      <c r="AK51" s="10"/>
      <c r="AL51" s="10"/>
      <c r="AM51" s="10"/>
      <c r="AN51" s="10"/>
      <c r="AO51" s="10"/>
      <c r="AP51" s="10"/>
      <c r="AQ51" s="10"/>
      <c r="AR51" s="10"/>
      <c r="AS51" s="10"/>
      <c r="AT51" s="10"/>
      <c r="AU51" s="10"/>
      <c r="AV51" s="10"/>
      <c r="AW51" s="10"/>
      <c r="AX51" s="10"/>
      <c r="AY51" s="10"/>
      <c r="AZ51" s="10"/>
      <c r="BA51" s="10"/>
      <c r="BB51" s="10"/>
      <c r="BC51" s="10"/>
      <c r="BD51" s="10"/>
      <c r="BE51" s="10"/>
      <c r="BF51" s="10"/>
      <c r="BG51" s="10"/>
      <c r="BH51" s="10"/>
      <c r="BI51" s="10"/>
      <c r="BJ51" s="10"/>
      <c r="BK51" s="10"/>
      <c r="BL51" s="10"/>
      <c r="BM51" s="10"/>
      <c r="BN51" s="10"/>
      <c r="BO51" s="10"/>
      <c r="BP51" s="10"/>
      <c r="BQ51" s="10"/>
      <c r="BR51" s="10"/>
      <c r="BS51" s="10"/>
    </row>
    <row r="52" spans="1:71">
      <c r="A52" s="10"/>
      <c r="B52" s="10"/>
      <c r="C52" s="10"/>
      <c r="D52" s="10"/>
      <c r="E52" s="10"/>
      <c r="F52" s="10"/>
      <c r="G52" s="10"/>
      <c r="H52" s="10"/>
      <c r="I52" s="10"/>
      <c r="J52" s="10"/>
      <c r="K52" s="10"/>
      <c r="L52" s="10"/>
      <c r="M52" s="10"/>
      <c r="N52" s="10"/>
      <c r="O52" s="10"/>
      <c r="P52" s="10"/>
      <c r="Q52" s="10"/>
      <c r="R52" s="10"/>
      <c r="S52" s="10"/>
      <c r="T52" s="10"/>
      <c r="U52" s="10"/>
      <c r="V52" s="10"/>
      <c r="W52" s="10"/>
      <c r="X52" s="10"/>
      <c r="Y52" s="10"/>
      <c r="Z52" s="10"/>
      <c r="AA52" s="10"/>
      <c r="AB52" s="10"/>
      <c r="AC52" s="10"/>
      <c r="AD52" s="10"/>
      <c r="AE52" s="10"/>
      <c r="AF52" s="10"/>
      <c r="AG52" s="10"/>
      <c r="AH52" s="10"/>
      <c r="AI52" s="10"/>
      <c r="AJ52" s="10"/>
      <c r="AK52" s="10"/>
      <c r="AL52" s="10"/>
      <c r="AM52" s="10"/>
      <c r="AN52" s="10"/>
      <c r="AO52" s="10"/>
      <c r="AP52" s="10"/>
      <c r="AQ52" s="10"/>
      <c r="AR52" s="10"/>
      <c r="AS52" s="10"/>
      <c r="AT52" s="10"/>
      <c r="AU52" s="10"/>
      <c r="AV52" s="10"/>
      <c r="AW52" s="10"/>
      <c r="AX52" s="10"/>
      <c r="AY52" s="10"/>
      <c r="AZ52" s="10"/>
      <c r="BA52" s="10"/>
      <c r="BB52" s="10"/>
      <c r="BC52" s="10"/>
      <c r="BD52" s="10"/>
      <c r="BE52" s="10"/>
      <c r="BF52" s="10"/>
      <c r="BG52" s="10"/>
      <c r="BH52" s="10"/>
      <c r="BI52" s="10"/>
      <c r="BJ52" s="10"/>
      <c r="BK52" s="10"/>
      <c r="BL52" s="10"/>
      <c r="BM52" s="10"/>
      <c r="BN52" s="10"/>
      <c r="BO52" s="10"/>
      <c r="BP52" s="10"/>
      <c r="BQ52" s="10"/>
      <c r="BR52" s="10"/>
      <c r="BS52" s="10"/>
    </row>
    <row r="53" spans="1:71">
      <c r="A53" s="10"/>
      <c r="B53" s="10"/>
      <c r="C53" s="10"/>
      <c r="D53" s="10"/>
      <c r="E53" s="10"/>
      <c r="F53" s="10"/>
      <c r="G53" s="10"/>
      <c r="H53" s="10"/>
      <c r="I53" s="10"/>
      <c r="J53" s="10"/>
      <c r="K53" s="10"/>
      <c r="L53" s="10"/>
      <c r="M53" s="10"/>
      <c r="N53" s="10"/>
      <c r="O53" s="10"/>
      <c r="P53" s="10"/>
      <c r="Q53" s="10"/>
      <c r="R53" s="10"/>
      <c r="S53" s="10"/>
      <c r="T53" s="10"/>
      <c r="U53" s="10"/>
      <c r="V53" s="10"/>
      <c r="W53" s="10"/>
      <c r="X53" s="10"/>
      <c r="Y53" s="10"/>
      <c r="Z53" s="10"/>
      <c r="AA53" s="10"/>
      <c r="AB53" s="10"/>
      <c r="AC53" s="10"/>
      <c r="AD53" s="10"/>
      <c r="AE53" s="10"/>
      <c r="AF53" s="10"/>
      <c r="AG53" s="10"/>
      <c r="AH53" s="10"/>
      <c r="AI53" s="10"/>
      <c r="AJ53" s="10"/>
      <c r="AK53" s="10"/>
      <c r="AL53" s="10"/>
      <c r="AM53" s="10"/>
      <c r="AN53" s="10"/>
      <c r="AO53" s="10"/>
      <c r="AP53" s="10"/>
      <c r="AQ53" s="10"/>
      <c r="AR53" s="10"/>
      <c r="AS53" s="10"/>
      <c r="AT53" s="10"/>
      <c r="AU53" s="10"/>
      <c r="AV53" s="10"/>
      <c r="AW53" s="10"/>
      <c r="AX53" s="10"/>
      <c r="AY53" s="10"/>
      <c r="AZ53" s="10"/>
      <c r="BA53" s="10"/>
      <c r="BB53" s="10"/>
      <c r="BC53" s="10"/>
      <c r="BD53" s="10"/>
      <c r="BE53" s="10"/>
      <c r="BF53" s="10"/>
      <c r="BG53" s="10"/>
      <c r="BH53" s="10"/>
      <c r="BI53" s="10"/>
      <c r="BJ53" s="10"/>
      <c r="BK53" s="10"/>
      <c r="BL53" s="10"/>
      <c r="BM53" s="10"/>
      <c r="BN53" s="10"/>
      <c r="BO53" s="10"/>
      <c r="BP53" s="10"/>
      <c r="BQ53" s="10"/>
      <c r="BR53" s="10"/>
      <c r="BS53" s="10"/>
    </row>
    <row r="54" spans="1:71">
      <c r="A54" s="10"/>
      <c r="B54" s="10"/>
      <c r="C54" s="10"/>
      <c r="D54" s="10"/>
      <c r="E54" s="10"/>
      <c r="F54" s="10"/>
      <c r="G54" s="10"/>
      <c r="H54" s="10"/>
      <c r="I54" s="10"/>
      <c r="J54" s="10"/>
      <c r="K54" s="10"/>
      <c r="L54" s="10"/>
      <c r="M54" s="10"/>
      <c r="N54" s="10"/>
      <c r="O54" s="10"/>
      <c r="P54" s="10"/>
      <c r="Q54" s="10"/>
      <c r="R54" s="10"/>
      <c r="S54" s="10"/>
      <c r="T54" s="10"/>
      <c r="U54" s="10"/>
      <c r="V54" s="10"/>
      <c r="W54" s="10"/>
      <c r="X54" s="10"/>
      <c r="Y54" s="10"/>
      <c r="Z54" s="10"/>
      <c r="AA54" s="10"/>
      <c r="AB54" s="10"/>
      <c r="AC54" s="10"/>
      <c r="AD54" s="10"/>
      <c r="AE54" s="10"/>
      <c r="AF54" s="10"/>
      <c r="AG54" s="10"/>
      <c r="AH54" s="10"/>
      <c r="AI54" s="10"/>
      <c r="AJ54" s="10"/>
      <c r="AK54" s="10"/>
      <c r="AL54" s="10"/>
      <c r="AM54" s="10"/>
      <c r="AN54" s="10"/>
      <c r="AO54" s="10"/>
      <c r="AP54" s="10"/>
      <c r="AQ54" s="10"/>
      <c r="AR54" s="10"/>
      <c r="AS54" s="10"/>
      <c r="AT54" s="10"/>
      <c r="AU54" s="10"/>
      <c r="AV54" s="10"/>
      <c r="AW54" s="10"/>
      <c r="AX54" s="10"/>
      <c r="AY54" s="10"/>
      <c r="AZ54" s="10"/>
      <c r="BA54" s="10"/>
      <c r="BB54" s="10"/>
      <c r="BC54" s="10"/>
      <c r="BD54" s="10"/>
      <c r="BE54" s="10"/>
      <c r="BF54" s="10"/>
      <c r="BG54" s="10"/>
      <c r="BH54" s="10"/>
      <c r="BI54" s="10"/>
      <c r="BJ54" s="10"/>
      <c r="BK54" s="10"/>
      <c r="BL54" s="10"/>
      <c r="BM54" s="10"/>
      <c r="BN54" s="10"/>
      <c r="BO54" s="10"/>
      <c r="BP54" s="10"/>
      <c r="BQ54" s="10"/>
      <c r="BR54" s="10"/>
      <c r="BS54" s="10"/>
    </row>
    <row r="55" spans="1:71">
      <c r="A55" s="10"/>
      <c r="B55" s="10"/>
      <c r="C55" s="10"/>
      <c r="D55" s="10"/>
      <c r="E55" s="10"/>
      <c r="F55" s="10"/>
      <c r="G55" s="10"/>
      <c r="H55" s="10"/>
      <c r="I55" s="10"/>
      <c r="J55" s="10"/>
      <c r="K55" s="10"/>
      <c r="L55" s="10"/>
      <c r="M55" s="10"/>
      <c r="N55" s="10"/>
      <c r="O55" s="10"/>
      <c r="P55" s="10"/>
      <c r="Q55" s="10"/>
      <c r="R55" s="10"/>
      <c r="S55" s="10"/>
      <c r="T55" s="10"/>
      <c r="U55" s="10"/>
      <c r="V55" s="10"/>
      <c r="W55" s="10"/>
      <c r="X55" s="10"/>
      <c r="Y55" s="10"/>
      <c r="Z55" s="10"/>
      <c r="AA55" s="10"/>
      <c r="AB55" s="10"/>
      <c r="AC55" s="10"/>
      <c r="AD55" s="10"/>
      <c r="AE55" s="10"/>
      <c r="AF55" s="10"/>
      <c r="AG55" s="10"/>
      <c r="AH55" s="10"/>
      <c r="AI55" s="10"/>
      <c r="AJ55" s="10"/>
      <c r="AK55" s="10"/>
      <c r="AL55" s="10"/>
      <c r="AM55" s="10"/>
      <c r="AN55" s="10"/>
      <c r="AO55" s="10"/>
      <c r="AP55" s="10"/>
      <c r="AQ55" s="10"/>
      <c r="AR55" s="10"/>
      <c r="AS55" s="10"/>
      <c r="AT55" s="10"/>
      <c r="AU55" s="10"/>
      <c r="AV55" s="10"/>
      <c r="AW55" s="10"/>
      <c r="AX55" s="10"/>
      <c r="AY55" s="10"/>
      <c r="AZ55" s="10"/>
      <c r="BA55" s="10"/>
      <c r="BB55" s="10"/>
      <c r="BC55" s="10"/>
      <c r="BD55" s="10"/>
      <c r="BE55" s="10"/>
      <c r="BF55" s="10"/>
      <c r="BG55" s="10"/>
      <c r="BH55" s="10"/>
      <c r="BI55" s="10"/>
      <c r="BJ55" s="10"/>
      <c r="BK55" s="10"/>
      <c r="BL55" s="10"/>
      <c r="BM55" s="10"/>
      <c r="BN55" s="10"/>
      <c r="BO55" s="10"/>
      <c r="BP55" s="10"/>
      <c r="BQ55" s="10"/>
      <c r="BR55" s="10"/>
      <c r="BS55" s="10"/>
    </row>
    <row r="56" spans="1:71">
      <c r="A56" s="10"/>
      <c r="B56" s="10"/>
      <c r="C56" s="10"/>
      <c r="D56" s="10"/>
      <c r="E56" s="10"/>
      <c r="F56" s="10"/>
      <c r="G56" s="10"/>
      <c r="H56" s="10"/>
      <c r="I56" s="10"/>
      <c r="J56" s="10"/>
      <c r="K56" s="10"/>
      <c r="L56" s="10"/>
      <c r="M56" s="10"/>
      <c r="N56" s="10"/>
      <c r="O56" s="10"/>
      <c r="P56" s="10"/>
      <c r="Q56" s="10"/>
      <c r="R56" s="10"/>
      <c r="S56" s="10"/>
      <c r="T56" s="10"/>
      <c r="U56" s="10"/>
      <c r="V56" s="10"/>
      <c r="W56" s="10"/>
      <c r="X56" s="10"/>
      <c r="Y56" s="10"/>
      <c r="Z56" s="10"/>
      <c r="AA56" s="10"/>
      <c r="AB56" s="10"/>
      <c r="AC56" s="10"/>
      <c r="AD56" s="10"/>
      <c r="AE56" s="10"/>
      <c r="AF56" s="10"/>
      <c r="AG56" s="10"/>
      <c r="AH56" s="10"/>
      <c r="AI56" s="10"/>
      <c r="AJ56" s="10"/>
      <c r="AK56" s="10"/>
      <c r="AL56" s="10"/>
      <c r="AM56" s="10"/>
      <c r="AN56" s="10"/>
      <c r="AO56" s="10"/>
      <c r="AP56" s="10"/>
      <c r="AQ56" s="10"/>
      <c r="AR56" s="10"/>
      <c r="AS56" s="10"/>
      <c r="AT56" s="10"/>
      <c r="AU56" s="10"/>
      <c r="AV56" s="10"/>
      <c r="AW56" s="10"/>
      <c r="AX56" s="10"/>
      <c r="AY56" s="10"/>
      <c r="AZ56" s="10"/>
      <c r="BA56" s="10"/>
      <c r="BB56" s="10"/>
      <c r="BC56" s="10"/>
      <c r="BD56" s="10"/>
      <c r="BE56" s="10"/>
      <c r="BF56" s="10"/>
      <c r="BG56" s="10"/>
      <c r="BH56" s="10"/>
      <c r="BI56" s="10"/>
      <c r="BJ56" s="10"/>
      <c r="BK56" s="10"/>
      <c r="BL56" s="10"/>
      <c r="BM56" s="10"/>
      <c r="BN56" s="10"/>
      <c r="BO56" s="10"/>
      <c r="BP56" s="10"/>
      <c r="BQ56" s="10"/>
      <c r="BR56" s="10"/>
      <c r="BS56" s="10"/>
    </row>
    <row r="57" spans="1:71">
      <c r="A57" s="10"/>
      <c r="B57" s="10"/>
      <c r="C57" s="10"/>
      <c r="D57" s="10"/>
      <c r="E57" s="10"/>
      <c r="F57" s="10"/>
      <c r="G57" s="10"/>
      <c r="H57" s="10"/>
      <c r="I57" s="10"/>
      <c r="J57" s="10"/>
      <c r="K57" s="10"/>
      <c r="L57" s="10"/>
      <c r="M57" s="10"/>
      <c r="N57" s="10"/>
      <c r="O57" s="10"/>
      <c r="P57" s="10"/>
      <c r="Q57" s="10"/>
      <c r="R57" s="10"/>
      <c r="S57" s="10"/>
      <c r="T57" s="10"/>
      <c r="U57" s="10"/>
      <c r="V57" s="10"/>
      <c r="W57" s="10"/>
      <c r="X57" s="10"/>
      <c r="Y57" s="10"/>
      <c r="Z57" s="10"/>
      <c r="AA57" s="10"/>
      <c r="AB57" s="10"/>
      <c r="AC57" s="10"/>
      <c r="AD57" s="10"/>
      <c r="AE57" s="10"/>
      <c r="AF57" s="10"/>
      <c r="AG57" s="10"/>
      <c r="AH57" s="10"/>
      <c r="AI57" s="10"/>
      <c r="AJ57" s="10"/>
      <c r="AK57" s="10"/>
      <c r="AL57" s="10"/>
      <c r="AM57" s="10"/>
      <c r="AN57" s="10"/>
      <c r="AO57" s="10"/>
      <c r="AP57" s="10"/>
      <c r="AQ57" s="10"/>
      <c r="AR57" s="10"/>
      <c r="AS57" s="10"/>
      <c r="AT57" s="10"/>
      <c r="AU57" s="10"/>
      <c r="AV57" s="10"/>
      <c r="AW57" s="10"/>
      <c r="AX57" s="10"/>
      <c r="AY57" s="10"/>
      <c r="AZ57" s="10"/>
      <c r="BA57" s="10"/>
      <c r="BB57" s="10"/>
      <c r="BC57" s="10"/>
      <c r="BD57" s="10"/>
      <c r="BE57" s="10"/>
      <c r="BF57" s="10"/>
      <c r="BG57" s="10"/>
      <c r="BH57" s="10"/>
      <c r="BI57" s="10"/>
      <c r="BJ57" s="10"/>
      <c r="BK57" s="10"/>
      <c r="BL57" s="10"/>
      <c r="BM57" s="10"/>
      <c r="BN57" s="10"/>
      <c r="BO57" s="10"/>
      <c r="BP57" s="10"/>
      <c r="BQ57" s="10"/>
      <c r="BR57" s="10"/>
      <c r="BS57" s="10"/>
    </row>
    <row r="58" spans="1:71">
      <c r="A58" s="10"/>
      <c r="B58" s="10"/>
      <c r="C58" s="10"/>
      <c r="D58" s="10"/>
      <c r="E58" s="10"/>
      <c r="F58" s="10"/>
      <c r="G58" s="10"/>
      <c r="H58" s="10"/>
      <c r="I58" s="10"/>
      <c r="J58" s="10"/>
      <c r="K58" s="10"/>
      <c r="L58" s="10"/>
      <c r="M58" s="10"/>
      <c r="N58" s="10"/>
      <c r="O58" s="10"/>
      <c r="P58" s="10"/>
      <c r="Q58" s="10"/>
      <c r="R58" s="10"/>
      <c r="S58" s="10"/>
      <c r="T58" s="10"/>
      <c r="U58" s="10"/>
      <c r="V58" s="10"/>
      <c r="W58" s="10"/>
      <c r="X58" s="10"/>
      <c r="Y58" s="10"/>
      <c r="Z58" s="10"/>
      <c r="AA58" s="10"/>
      <c r="AB58" s="10"/>
      <c r="AC58" s="10"/>
      <c r="AD58" s="10"/>
      <c r="AE58" s="10"/>
      <c r="AF58" s="10"/>
      <c r="AG58" s="10"/>
      <c r="AH58" s="10"/>
      <c r="AI58" s="10"/>
      <c r="AJ58" s="10"/>
      <c r="AK58" s="10"/>
      <c r="AL58" s="10"/>
      <c r="AM58" s="10"/>
      <c r="AN58" s="10"/>
      <c r="AO58" s="10"/>
      <c r="AP58" s="10"/>
      <c r="AQ58" s="10"/>
      <c r="AR58" s="10"/>
      <c r="AS58" s="10"/>
      <c r="AT58" s="10"/>
      <c r="AU58" s="10"/>
      <c r="AV58" s="10"/>
      <c r="AW58" s="10"/>
      <c r="AX58" s="10"/>
      <c r="AY58" s="10"/>
      <c r="AZ58" s="10"/>
      <c r="BA58" s="10"/>
      <c r="BB58" s="10"/>
      <c r="BC58" s="10"/>
      <c r="BD58" s="10"/>
      <c r="BE58" s="10"/>
      <c r="BF58" s="10"/>
      <c r="BG58" s="10"/>
      <c r="BH58" s="10"/>
      <c r="BI58" s="10"/>
      <c r="BJ58" s="10"/>
      <c r="BK58" s="10"/>
      <c r="BL58" s="10"/>
      <c r="BM58" s="10"/>
      <c r="BN58" s="10"/>
      <c r="BO58" s="10"/>
      <c r="BP58" s="10"/>
      <c r="BQ58" s="10"/>
      <c r="BR58" s="10"/>
      <c r="BS58" s="10"/>
    </row>
    <row r="59" spans="1:71">
      <c r="A59" s="10"/>
      <c r="B59" s="10"/>
      <c r="C59" s="10"/>
      <c r="D59" s="10"/>
      <c r="E59" s="10"/>
      <c r="F59" s="10"/>
      <c r="G59" s="10"/>
      <c r="H59" s="10"/>
      <c r="I59" s="10"/>
      <c r="J59" s="10"/>
      <c r="K59" s="10"/>
      <c r="L59" s="10"/>
      <c r="M59" s="10"/>
      <c r="N59" s="10"/>
      <c r="O59" s="10"/>
      <c r="P59" s="10"/>
      <c r="Q59" s="10"/>
      <c r="R59" s="10"/>
      <c r="S59" s="10"/>
      <c r="T59" s="10"/>
      <c r="U59" s="10"/>
      <c r="V59" s="10"/>
      <c r="W59" s="10"/>
      <c r="X59" s="10"/>
      <c r="Y59" s="10"/>
      <c r="Z59" s="10"/>
      <c r="AA59" s="10"/>
      <c r="AB59" s="10"/>
      <c r="AC59" s="10"/>
      <c r="AD59" s="10"/>
      <c r="AE59" s="10"/>
      <c r="AF59" s="10"/>
      <c r="AG59" s="10"/>
      <c r="AH59" s="10"/>
      <c r="AI59" s="10"/>
      <c r="AJ59" s="10"/>
      <c r="AK59" s="10"/>
      <c r="AL59" s="10"/>
      <c r="AM59" s="10"/>
      <c r="AN59" s="10"/>
      <c r="AO59" s="10"/>
      <c r="AP59" s="10"/>
      <c r="AQ59" s="10"/>
      <c r="AR59" s="10"/>
      <c r="AS59" s="10"/>
      <c r="AT59" s="10"/>
      <c r="AU59" s="10"/>
      <c r="AV59" s="10"/>
      <c r="AW59" s="10"/>
      <c r="AX59" s="10"/>
      <c r="AY59" s="10"/>
      <c r="AZ59" s="10"/>
      <c r="BA59" s="10"/>
      <c r="BB59" s="10"/>
      <c r="BC59" s="10"/>
      <c r="BD59" s="10"/>
      <c r="BE59" s="10"/>
      <c r="BF59" s="10"/>
      <c r="BG59" s="10"/>
      <c r="BH59" s="10"/>
      <c r="BI59" s="10"/>
      <c r="BJ59" s="10"/>
      <c r="BK59" s="10"/>
      <c r="BL59" s="10"/>
      <c r="BM59" s="10"/>
      <c r="BN59" s="10"/>
      <c r="BO59" s="10"/>
      <c r="BP59" s="10"/>
      <c r="BQ59" s="10"/>
      <c r="BR59" s="10"/>
      <c r="BS59" s="10"/>
    </row>
    <row r="60" spans="1:71">
      <c r="A60" s="10"/>
      <c r="B60" s="10"/>
      <c r="C60" s="10"/>
      <c r="D60" s="10"/>
      <c r="E60" s="10"/>
      <c r="F60" s="10"/>
      <c r="G60" s="10"/>
      <c r="H60" s="10"/>
      <c r="I60" s="10"/>
      <c r="J60" s="10"/>
      <c r="K60" s="10"/>
      <c r="L60" s="10"/>
      <c r="M60" s="10"/>
      <c r="N60" s="10"/>
      <c r="O60" s="10"/>
      <c r="P60" s="10"/>
      <c r="Q60" s="10"/>
      <c r="R60" s="10"/>
      <c r="S60" s="10"/>
      <c r="T60" s="10"/>
      <c r="U60" s="10"/>
      <c r="V60" s="10"/>
      <c r="W60" s="10"/>
      <c r="X60" s="10"/>
      <c r="Y60" s="10"/>
      <c r="Z60" s="10"/>
      <c r="AA60" s="10"/>
      <c r="AB60" s="10"/>
      <c r="AC60" s="10"/>
      <c r="AD60" s="10"/>
      <c r="AE60" s="10"/>
      <c r="AF60" s="10"/>
      <c r="AG60" s="10"/>
      <c r="AH60" s="10"/>
      <c r="AI60" s="10"/>
      <c r="AJ60" s="10"/>
      <c r="AK60" s="10"/>
      <c r="AL60" s="10"/>
      <c r="AM60" s="10"/>
      <c r="AN60" s="10"/>
      <c r="AO60" s="10"/>
      <c r="AP60" s="10"/>
      <c r="AQ60" s="10"/>
      <c r="AR60" s="10"/>
      <c r="AS60" s="10"/>
      <c r="AT60" s="10"/>
      <c r="AU60" s="10"/>
      <c r="AV60" s="10"/>
      <c r="AW60" s="10"/>
      <c r="AX60" s="10"/>
      <c r="AY60" s="10"/>
      <c r="AZ60" s="10"/>
      <c r="BA60" s="10"/>
      <c r="BB60" s="10"/>
      <c r="BC60" s="10"/>
      <c r="BD60" s="10"/>
      <c r="BE60" s="10"/>
      <c r="BF60" s="10"/>
      <c r="BG60" s="10"/>
      <c r="BH60" s="10"/>
      <c r="BI60" s="10"/>
      <c r="BJ60" s="10"/>
      <c r="BK60" s="10"/>
      <c r="BL60" s="10"/>
      <c r="BM60" s="10"/>
      <c r="BN60" s="10"/>
      <c r="BO60" s="10"/>
      <c r="BP60" s="10"/>
      <c r="BQ60" s="10"/>
      <c r="BR60" s="10"/>
      <c r="BS60" s="10"/>
    </row>
    <row r="61" spans="1:71">
      <c r="A61" s="10"/>
      <c r="B61" s="10"/>
      <c r="C61" s="10"/>
      <c r="D61" s="10"/>
      <c r="E61" s="10"/>
      <c r="F61" s="10"/>
      <c r="G61" s="10"/>
      <c r="H61" s="10"/>
      <c r="I61" s="10"/>
      <c r="J61" s="10"/>
      <c r="K61" s="10"/>
      <c r="L61" s="10"/>
      <c r="M61" s="10"/>
      <c r="N61" s="10"/>
      <c r="O61" s="10"/>
      <c r="P61" s="10"/>
      <c r="Q61" s="10"/>
      <c r="R61" s="10"/>
      <c r="S61" s="10"/>
      <c r="T61" s="10"/>
      <c r="U61" s="10"/>
      <c r="V61" s="10"/>
      <c r="W61" s="10"/>
      <c r="X61" s="10"/>
      <c r="Y61" s="10"/>
      <c r="Z61" s="10"/>
      <c r="AA61" s="10"/>
      <c r="AB61" s="10"/>
      <c r="AC61" s="10"/>
      <c r="AD61" s="10"/>
      <c r="AE61" s="10"/>
      <c r="AF61" s="10"/>
      <c r="AG61" s="10"/>
      <c r="AH61" s="10"/>
      <c r="AI61" s="10"/>
      <c r="AJ61" s="10"/>
      <c r="AK61" s="10"/>
      <c r="AL61" s="10"/>
      <c r="AM61" s="10"/>
      <c r="AN61" s="10"/>
      <c r="AO61" s="10"/>
      <c r="AP61" s="10"/>
      <c r="AQ61" s="10"/>
      <c r="AR61" s="10"/>
      <c r="AS61" s="10"/>
      <c r="AT61" s="10"/>
      <c r="AU61" s="10"/>
      <c r="AV61" s="10"/>
      <c r="AW61" s="10"/>
      <c r="AX61" s="10"/>
      <c r="AY61" s="10"/>
      <c r="AZ61" s="10"/>
      <c r="BA61" s="10"/>
      <c r="BB61" s="10"/>
      <c r="BC61" s="10"/>
      <c r="BD61" s="10"/>
      <c r="BE61" s="10"/>
      <c r="BF61" s="10"/>
      <c r="BG61" s="10"/>
      <c r="BH61" s="10"/>
      <c r="BI61" s="10"/>
      <c r="BJ61" s="10"/>
      <c r="BK61" s="10"/>
      <c r="BL61" s="10"/>
      <c r="BM61" s="10"/>
      <c r="BN61" s="10"/>
      <c r="BO61" s="10"/>
      <c r="BP61" s="10"/>
      <c r="BQ61" s="10"/>
      <c r="BR61" s="10"/>
      <c r="BS61" s="10"/>
    </row>
    <row r="62" spans="1:71">
      <c r="A62" s="10"/>
      <c r="B62" s="10"/>
      <c r="C62" s="10"/>
      <c r="D62" s="10"/>
      <c r="E62" s="10"/>
      <c r="F62" s="10"/>
      <c r="G62" s="10"/>
      <c r="H62" s="10"/>
      <c r="I62" s="10"/>
      <c r="J62" s="10"/>
      <c r="K62" s="10"/>
      <c r="L62" s="10"/>
      <c r="M62" s="10"/>
      <c r="N62" s="10"/>
      <c r="O62" s="10"/>
      <c r="P62" s="10"/>
      <c r="Q62" s="10"/>
      <c r="R62" s="10"/>
      <c r="S62" s="10"/>
      <c r="T62" s="10"/>
      <c r="U62" s="10"/>
      <c r="V62" s="10"/>
      <c r="W62" s="10"/>
      <c r="X62" s="10"/>
      <c r="Y62" s="10"/>
      <c r="Z62" s="10"/>
      <c r="AA62" s="10"/>
      <c r="AB62" s="10"/>
      <c r="AC62" s="10"/>
      <c r="AD62" s="10"/>
      <c r="AE62" s="10"/>
      <c r="AF62" s="10"/>
      <c r="AG62" s="10"/>
      <c r="AH62" s="10"/>
      <c r="AI62" s="10"/>
      <c r="AJ62" s="10"/>
      <c r="AK62" s="10"/>
      <c r="AL62" s="10"/>
      <c r="AM62" s="10"/>
      <c r="AN62" s="10"/>
      <c r="AO62" s="10"/>
      <c r="AP62" s="10"/>
      <c r="AQ62" s="10"/>
      <c r="AR62" s="10"/>
      <c r="AS62" s="10"/>
      <c r="AT62" s="10"/>
      <c r="AU62" s="10"/>
      <c r="AV62" s="10"/>
      <c r="AW62" s="10"/>
      <c r="AX62" s="10"/>
      <c r="AY62" s="10"/>
      <c r="AZ62" s="10"/>
      <c r="BA62" s="10"/>
      <c r="BB62" s="10"/>
      <c r="BC62" s="10"/>
      <c r="BD62" s="10"/>
      <c r="BE62" s="10"/>
      <c r="BF62" s="10"/>
      <c r="BG62" s="10"/>
      <c r="BH62" s="10"/>
      <c r="BI62" s="10"/>
      <c r="BJ62" s="10"/>
      <c r="BK62" s="10"/>
      <c r="BL62" s="10"/>
      <c r="BM62" s="10"/>
      <c r="BN62" s="10"/>
      <c r="BO62" s="10"/>
      <c r="BP62" s="10"/>
      <c r="BQ62" s="10"/>
      <c r="BR62" s="10"/>
      <c r="BS62" s="10"/>
    </row>
    <row r="63" spans="1:71">
      <c r="A63" s="10"/>
      <c r="B63" s="10"/>
      <c r="C63" s="10"/>
      <c r="D63" s="10"/>
      <c r="E63" s="10"/>
      <c r="F63" s="10"/>
      <c r="G63" s="10"/>
      <c r="H63" s="10"/>
      <c r="I63" s="10"/>
      <c r="J63" s="10"/>
      <c r="K63" s="10"/>
      <c r="L63" s="10"/>
      <c r="M63" s="10"/>
      <c r="N63" s="10"/>
      <c r="O63" s="10"/>
      <c r="P63" s="10"/>
      <c r="Q63" s="10"/>
      <c r="R63" s="10"/>
      <c r="S63" s="10"/>
      <c r="T63" s="10"/>
      <c r="U63" s="10"/>
      <c r="V63" s="10"/>
      <c r="W63" s="10"/>
      <c r="X63" s="10"/>
      <c r="Y63" s="10"/>
      <c r="Z63" s="10"/>
      <c r="AA63" s="10"/>
      <c r="AB63" s="10"/>
      <c r="AC63" s="10"/>
      <c r="AD63" s="10"/>
      <c r="AE63" s="10"/>
      <c r="AF63" s="10"/>
      <c r="AG63" s="10"/>
      <c r="AH63" s="10"/>
      <c r="AI63" s="10"/>
      <c r="AJ63" s="10"/>
      <c r="AK63" s="10"/>
      <c r="AL63" s="10"/>
      <c r="AM63" s="10"/>
      <c r="AN63" s="10"/>
      <c r="AO63" s="10"/>
      <c r="AP63" s="10"/>
      <c r="AQ63" s="10"/>
      <c r="AR63" s="10"/>
      <c r="AS63" s="10"/>
      <c r="AT63" s="10"/>
      <c r="AU63" s="10"/>
      <c r="AV63" s="10"/>
      <c r="AW63" s="10"/>
      <c r="AX63" s="10"/>
      <c r="AY63" s="10"/>
      <c r="AZ63" s="10"/>
      <c r="BA63" s="10"/>
      <c r="BB63" s="10"/>
      <c r="BC63" s="10"/>
      <c r="BD63" s="10"/>
      <c r="BE63" s="10"/>
      <c r="BF63" s="10"/>
      <c r="BG63" s="10"/>
      <c r="BH63" s="10"/>
      <c r="BI63" s="10"/>
      <c r="BJ63" s="10"/>
      <c r="BK63" s="10"/>
      <c r="BL63" s="10"/>
      <c r="BM63" s="10"/>
      <c r="BN63" s="10"/>
      <c r="BO63" s="10"/>
      <c r="BP63" s="10"/>
      <c r="BQ63" s="10"/>
      <c r="BR63" s="10"/>
      <c r="BS63" s="10"/>
    </row>
    <row r="64" spans="1:71">
      <c r="A64" s="10"/>
      <c r="B64" s="10"/>
      <c r="C64" s="10"/>
      <c r="D64" s="10"/>
      <c r="E64" s="10"/>
      <c r="F64" s="10"/>
      <c r="G64" s="10"/>
      <c r="H64" s="10"/>
      <c r="I64" s="10"/>
      <c r="J64" s="10"/>
      <c r="K64" s="10"/>
      <c r="L64" s="10"/>
      <c r="M64" s="10"/>
      <c r="N64" s="10"/>
      <c r="O64" s="10"/>
      <c r="P64" s="10"/>
      <c r="Q64" s="10"/>
      <c r="R64" s="10"/>
      <c r="S64" s="10"/>
      <c r="T64" s="10"/>
      <c r="U64" s="10"/>
      <c r="V64" s="10"/>
      <c r="W64" s="10"/>
      <c r="X64" s="10"/>
      <c r="Y64" s="10"/>
      <c r="Z64" s="10"/>
      <c r="AA64" s="10"/>
      <c r="AB64" s="10"/>
      <c r="AC64" s="10"/>
      <c r="AD64" s="10"/>
      <c r="AE64" s="10"/>
      <c r="AF64" s="10"/>
      <c r="AG64" s="10"/>
      <c r="AH64" s="10"/>
      <c r="AI64" s="10"/>
      <c r="AJ64" s="10"/>
      <c r="AK64" s="10"/>
      <c r="AL64" s="10"/>
      <c r="AM64" s="10"/>
      <c r="AN64" s="10"/>
      <c r="AO64" s="10"/>
      <c r="AP64" s="10"/>
      <c r="AQ64" s="10"/>
      <c r="AR64" s="10"/>
      <c r="AS64" s="10"/>
      <c r="AT64" s="10"/>
      <c r="AU64" s="10"/>
      <c r="AV64" s="10"/>
      <c r="AW64" s="10"/>
      <c r="AX64" s="10"/>
      <c r="AY64" s="10"/>
      <c r="AZ64" s="10"/>
      <c r="BA64" s="10"/>
      <c r="BB64" s="10"/>
      <c r="BC64" s="10"/>
      <c r="BD64" s="10"/>
      <c r="BE64" s="10"/>
      <c r="BF64" s="10"/>
      <c r="BG64" s="10"/>
      <c r="BH64" s="10"/>
      <c r="BI64" s="10"/>
      <c r="BJ64" s="10"/>
      <c r="BK64" s="10"/>
      <c r="BL64" s="10"/>
      <c r="BM64" s="10"/>
      <c r="BN64" s="10"/>
      <c r="BO64" s="10"/>
      <c r="BP64" s="10"/>
      <c r="BQ64" s="10"/>
      <c r="BR64" s="10"/>
      <c r="BS64" s="10"/>
    </row>
    <row r="65" spans="1:71">
      <c r="A65" s="10"/>
      <c r="B65" s="10"/>
      <c r="C65" s="10"/>
      <c r="D65" s="10"/>
      <c r="E65" s="10"/>
      <c r="F65" s="10"/>
      <c r="G65" s="10"/>
      <c r="H65" s="10"/>
      <c r="I65" s="10"/>
      <c r="J65" s="10"/>
      <c r="K65" s="10"/>
      <c r="L65" s="10"/>
      <c r="M65" s="10"/>
      <c r="N65" s="10"/>
      <c r="O65" s="10"/>
      <c r="P65" s="10"/>
      <c r="Q65" s="10"/>
      <c r="R65" s="10"/>
      <c r="S65" s="10"/>
      <c r="T65" s="10"/>
      <c r="U65" s="10"/>
      <c r="V65" s="10"/>
      <c r="W65" s="10"/>
      <c r="X65" s="10"/>
      <c r="Y65" s="10"/>
      <c r="Z65" s="10"/>
      <c r="AA65" s="10"/>
      <c r="AB65" s="10"/>
      <c r="AC65" s="10"/>
      <c r="AD65" s="10"/>
      <c r="AE65" s="10"/>
      <c r="AF65" s="10"/>
      <c r="AG65" s="10"/>
      <c r="AH65" s="10"/>
      <c r="AI65" s="10"/>
      <c r="AJ65" s="10"/>
      <c r="AK65" s="10"/>
      <c r="AL65" s="10"/>
      <c r="AM65" s="10"/>
      <c r="AN65" s="10"/>
      <c r="AO65" s="10"/>
      <c r="AP65" s="10"/>
      <c r="AQ65" s="10"/>
      <c r="AR65" s="10"/>
      <c r="AS65" s="10"/>
      <c r="AT65" s="10"/>
      <c r="AU65" s="10"/>
      <c r="AV65" s="10"/>
      <c r="AW65" s="10"/>
      <c r="AX65" s="10"/>
      <c r="AY65" s="10"/>
      <c r="AZ65" s="10"/>
      <c r="BA65" s="10"/>
      <c r="BB65" s="10"/>
      <c r="BC65" s="10"/>
      <c r="BD65" s="10"/>
      <c r="BE65" s="10"/>
      <c r="BF65" s="10"/>
      <c r="BG65" s="10"/>
      <c r="BH65" s="10"/>
      <c r="BI65" s="10"/>
      <c r="BJ65" s="10"/>
      <c r="BK65" s="10"/>
      <c r="BL65" s="10"/>
      <c r="BM65" s="10"/>
      <c r="BN65" s="10"/>
      <c r="BO65" s="10"/>
      <c r="BP65" s="10"/>
      <c r="BQ65" s="10"/>
      <c r="BR65" s="10"/>
      <c r="BS65" s="10"/>
    </row>
    <row r="66" spans="1:71">
      <c r="A66" s="10"/>
      <c r="B66" s="10"/>
      <c r="C66" s="10"/>
      <c r="D66" s="10"/>
      <c r="E66" s="10"/>
      <c r="F66" s="10"/>
      <c r="G66" s="10"/>
      <c r="H66" s="10"/>
      <c r="I66" s="10"/>
      <c r="J66" s="10"/>
      <c r="K66" s="10"/>
      <c r="L66" s="10"/>
      <c r="M66" s="10"/>
      <c r="N66" s="10"/>
      <c r="O66" s="10"/>
      <c r="P66" s="10"/>
      <c r="Q66" s="10"/>
      <c r="R66" s="10"/>
      <c r="S66" s="10"/>
      <c r="T66" s="10"/>
      <c r="U66" s="10"/>
      <c r="V66" s="10"/>
      <c r="W66" s="10"/>
      <c r="X66" s="10"/>
      <c r="Y66" s="10"/>
      <c r="Z66" s="10"/>
      <c r="AA66" s="10"/>
      <c r="AB66" s="10"/>
      <c r="AC66" s="10"/>
      <c r="AD66" s="10"/>
      <c r="AE66" s="10"/>
      <c r="AF66" s="10"/>
      <c r="AG66" s="10"/>
      <c r="AH66" s="10"/>
      <c r="AI66" s="10"/>
      <c r="AJ66" s="10"/>
      <c r="AK66" s="10"/>
      <c r="AL66" s="10"/>
      <c r="AM66" s="10"/>
      <c r="AN66" s="10"/>
      <c r="AO66" s="10"/>
      <c r="AP66" s="10"/>
      <c r="AQ66" s="10"/>
      <c r="AR66" s="10"/>
      <c r="AS66" s="10"/>
      <c r="AT66" s="10"/>
      <c r="AU66" s="10"/>
      <c r="AV66" s="10"/>
      <c r="AW66" s="10"/>
      <c r="AX66" s="10"/>
      <c r="AY66" s="10"/>
      <c r="AZ66" s="10"/>
      <c r="BA66" s="10"/>
      <c r="BB66" s="10"/>
      <c r="BC66" s="10"/>
      <c r="BD66" s="10"/>
      <c r="BE66" s="10"/>
      <c r="BF66" s="10"/>
      <c r="BG66" s="10"/>
      <c r="BH66" s="10"/>
      <c r="BI66" s="10"/>
      <c r="BJ66" s="10"/>
      <c r="BK66" s="10"/>
      <c r="BL66" s="10"/>
      <c r="BM66" s="10"/>
      <c r="BN66" s="10"/>
      <c r="BO66" s="10"/>
      <c r="BP66" s="10"/>
      <c r="BQ66" s="10"/>
      <c r="BR66" s="10"/>
      <c r="BS66" s="10"/>
    </row>
    <row r="67" spans="1:71">
      <c r="A67" s="10"/>
      <c r="B67" s="10"/>
      <c r="C67" s="10"/>
      <c r="D67" s="10"/>
      <c r="E67" s="10"/>
      <c r="F67" s="10"/>
      <c r="G67" s="10"/>
      <c r="H67" s="10"/>
      <c r="I67" s="10"/>
      <c r="J67" s="10"/>
      <c r="K67" s="10"/>
      <c r="L67" s="10"/>
      <c r="M67" s="10"/>
      <c r="N67" s="10"/>
      <c r="O67" s="10"/>
      <c r="P67" s="10"/>
      <c r="Q67" s="10"/>
      <c r="R67" s="10"/>
      <c r="S67" s="10"/>
      <c r="T67" s="10"/>
      <c r="U67" s="10"/>
      <c r="V67" s="10"/>
      <c r="W67" s="10"/>
      <c r="X67" s="10"/>
      <c r="Y67" s="10"/>
      <c r="Z67" s="10"/>
      <c r="AA67" s="10"/>
      <c r="AB67" s="10"/>
      <c r="AC67" s="10"/>
      <c r="AD67" s="10"/>
      <c r="AE67" s="10"/>
      <c r="AF67" s="10"/>
      <c r="AG67" s="10"/>
      <c r="AH67" s="10"/>
      <c r="AI67" s="10"/>
      <c r="AJ67" s="10"/>
      <c r="AK67" s="10"/>
      <c r="AL67" s="10"/>
      <c r="AM67" s="10"/>
      <c r="AN67" s="10"/>
      <c r="AO67" s="10"/>
      <c r="AP67" s="10"/>
      <c r="AQ67" s="10"/>
      <c r="AR67" s="10"/>
      <c r="AS67" s="10"/>
      <c r="AT67" s="10"/>
      <c r="AU67" s="10"/>
      <c r="AV67" s="10"/>
      <c r="AW67" s="10"/>
      <c r="AX67" s="10"/>
      <c r="AY67" s="10"/>
      <c r="AZ67" s="10"/>
      <c r="BA67" s="10"/>
      <c r="BB67" s="10"/>
      <c r="BC67" s="10"/>
      <c r="BD67" s="10"/>
      <c r="BE67" s="10"/>
      <c r="BF67" s="10"/>
      <c r="BG67" s="10"/>
      <c r="BH67" s="10"/>
      <c r="BI67" s="10"/>
      <c r="BJ67" s="10"/>
      <c r="BK67" s="10"/>
      <c r="BL67" s="10"/>
      <c r="BM67" s="10"/>
      <c r="BN67" s="10"/>
      <c r="BO67" s="10"/>
      <c r="BP67" s="10"/>
      <c r="BQ67" s="10"/>
      <c r="BR67" s="10"/>
      <c r="BS67" s="10"/>
    </row>
    <row r="68" spans="1:71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0"/>
      <c r="M68" s="10"/>
      <c r="N68" s="10"/>
      <c r="O68" s="10"/>
      <c r="P68" s="10"/>
      <c r="Q68" s="10"/>
      <c r="R68" s="10"/>
      <c r="S68" s="10"/>
      <c r="T68" s="10"/>
      <c r="U68" s="10"/>
      <c r="V68" s="10"/>
      <c r="W68" s="10"/>
      <c r="X68" s="10"/>
      <c r="Y68" s="10"/>
      <c r="Z68" s="10"/>
      <c r="AA68" s="10"/>
      <c r="AB68" s="10"/>
      <c r="AC68" s="10"/>
      <c r="AD68" s="10"/>
      <c r="AE68" s="10"/>
      <c r="AF68" s="10"/>
      <c r="AG68" s="10"/>
      <c r="AH68" s="10"/>
      <c r="AI68" s="10"/>
      <c r="AJ68" s="10"/>
      <c r="AK68" s="10"/>
      <c r="AL68" s="10"/>
      <c r="AM68" s="10"/>
      <c r="AN68" s="10"/>
      <c r="AO68" s="10"/>
      <c r="AP68" s="10"/>
      <c r="AQ68" s="10"/>
      <c r="AR68" s="10"/>
      <c r="AS68" s="10"/>
      <c r="AT68" s="10"/>
      <c r="AU68" s="10"/>
      <c r="AV68" s="10"/>
      <c r="AW68" s="10"/>
      <c r="AX68" s="10"/>
      <c r="AY68" s="10"/>
      <c r="AZ68" s="10"/>
      <c r="BA68" s="10"/>
      <c r="BB68" s="10"/>
      <c r="BC68" s="10"/>
      <c r="BD68" s="10"/>
      <c r="BE68" s="10"/>
      <c r="BF68" s="10"/>
      <c r="BG68" s="10"/>
      <c r="BH68" s="10"/>
      <c r="BI68" s="10"/>
      <c r="BJ68" s="10"/>
      <c r="BK68" s="10"/>
      <c r="BL68" s="10"/>
      <c r="BM68" s="10"/>
      <c r="BN68" s="10"/>
      <c r="BO68" s="10"/>
      <c r="BP68" s="10"/>
      <c r="BQ68" s="10"/>
      <c r="BR68" s="10"/>
      <c r="BS68" s="10"/>
    </row>
    <row r="69" spans="1:71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0"/>
      <c r="M69" s="10"/>
      <c r="N69" s="10"/>
      <c r="O69" s="10"/>
      <c r="P69" s="10"/>
      <c r="Q69" s="10"/>
      <c r="R69" s="10"/>
      <c r="S69" s="10"/>
      <c r="T69" s="10"/>
      <c r="U69" s="10"/>
      <c r="V69" s="10"/>
      <c r="W69" s="10"/>
      <c r="X69" s="10"/>
      <c r="Y69" s="10"/>
      <c r="Z69" s="10"/>
      <c r="AA69" s="10"/>
      <c r="AB69" s="10"/>
      <c r="AC69" s="10"/>
      <c r="AD69" s="10"/>
      <c r="AE69" s="10"/>
      <c r="AF69" s="10"/>
      <c r="AG69" s="10"/>
      <c r="AH69" s="10"/>
      <c r="AI69" s="10"/>
      <c r="AJ69" s="10"/>
      <c r="AK69" s="10"/>
      <c r="AL69" s="10"/>
      <c r="AM69" s="10"/>
      <c r="AN69" s="10"/>
      <c r="AO69" s="10"/>
      <c r="AP69" s="10"/>
      <c r="AQ69" s="10"/>
      <c r="AR69" s="10"/>
      <c r="AS69" s="10"/>
      <c r="AT69" s="10"/>
      <c r="AU69" s="10"/>
      <c r="AV69" s="10"/>
      <c r="AW69" s="10"/>
      <c r="AX69" s="10"/>
      <c r="AY69" s="10"/>
      <c r="AZ69" s="10"/>
      <c r="BA69" s="10"/>
      <c r="BB69" s="10"/>
      <c r="BC69" s="10"/>
      <c r="BD69" s="10"/>
      <c r="BE69" s="10"/>
      <c r="BF69" s="10"/>
      <c r="BG69" s="10"/>
      <c r="BH69" s="10"/>
      <c r="BI69" s="10"/>
      <c r="BJ69" s="10"/>
      <c r="BK69" s="10"/>
      <c r="BL69" s="10"/>
      <c r="BM69" s="10"/>
      <c r="BN69" s="10"/>
      <c r="BO69" s="10"/>
      <c r="BP69" s="10"/>
      <c r="BQ69" s="10"/>
      <c r="BR69" s="10"/>
      <c r="BS69" s="10"/>
    </row>
    <row r="70" spans="1:71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0"/>
      <c r="M70" s="10"/>
      <c r="N70" s="10"/>
      <c r="O70" s="10"/>
      <c r="P70" s="10"/>
      <c r="Q70" s="10"/>
      <c r="R70" s="10"/>
      <c r="S70" s="10"/>
      <c r="T70" s="10"/>
      <c r="U70" s="10"/>
      <c r="V70" s="10"/>
      <c r="W70" s="10"/>
      <c r="X70" s="10"/>
      <c r="Y70" s="10"/>
      <c r="Z70" s="10"/>
      <c r="AA70" s="10"/>
      <c r="AB70" s="10"/>
      <c r="AC70" s="10"/>
      <c r="AD70" s="10"/>
      <c r="AE70" s="10"/>
      <c r="AF70" s="10"/>
      <c r="AG70" s="10"/>
      <c r="AH70" s="10"/>
      <c r="AI70" s="10"/>
      <c r="AJ70" s="10"/>
      <c r="AK70" s="10"/>
      <c r="AL70" s="10"/>
      <c r="AM70" s="10"/>
      <c r="AN70" s="10"/>
      <c r="AO70" s="10"/>
      <c r="AP70" s="10"/>
      <c r="AQ70" s="10"/>
      <c r="AR70" s="10"/>
      <c r="AS70" s="10"/>
      <c r="AT70" s="10"/>
      <c r="AU70" s="10"/>
      <c r="AV70" s="10"/>
      <c r="AW70" s="10"/>
      <c r="AX70" s="10"/>
      <c r="AY70" s="10"/>
      <c r="AZ70" s="10"/>
      <c r="BA70" s="10"/>
      <c r="BB70" s="10"/>
      <c r="BC70" s="10"/>
      <c r="BD70" s="10"/>
      <c r="BE70" s="10"/>
      <c r="BF70" s="10"/>
      <c r="BG70" s="10"/>
      <c r="BH70" s="10"/>
      <c r="BI70" s="10"/>
      <c r="BJ70" s="10"/>
      <c r="BK70" s="10"/>
      <c r="BL70" s="10"/>
      <c r="BM70" s="10"/>
      <c r="BN70" s="10"/>
      <c r="BO70" s="10"/>
      <c r="BP70" s="10"/>
      <c r="BQ70" s="10"/>
      <c r="BR70" s="10"/>
      <c r="BS70" s="10"/>
    </row>
    <row r="71" spans="1:71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0"/>
      <c r="M71" s="10"/>
      <c r="N71" s="10"/>
      <c r="O71" s="10"/>
      <c r="P71" s="10"/>
      <c r="Q71" s="10"/>
      <c r="R71" s="10"/>
      <c r="S71" s="10"/>
      <c r="T71" s="10"/>
      <c r="U71" s="10"/>
      <c r="V71" s="10"/>
      <c r="W71" s="10"/>
      <c r="X71" s="10"/>
      <c r="Y71" s="10"/>
      <c r="Z71" s="10"/>
      <c r="AA71" s="10"/>
      <c r="AB71" s="10"/>
      <c r="AC71" s="10"/>
      <c r="AD71" s="10"/>
      <c r="AE71" s="10"/>
      <c r="AF71" s="10"/>
      <c r="AG71" s="10"/>
      <c r="AH71" s="10"/>
      <c r="AI71" s="10"/>
      <c r="AJ71" s="10"/>
      <c r="AK71" s="10"/>
      <c r="AL71" s="10"/>
      <c r="AM71" s="10"/>
      <c r="AN71" s="10"/>
      <c r="AO71" s="10"/>
      <c r="AP71" s="10"/>
      <c r="AQ71" s="10"/>
      <c r="AR71" s="10"/>
      <c r="AS71" s="10"/>
      <c r="AT71" s="10"/>
      <c r="AU71" s="10"/>
      <c r="AV71" s="10"/>
      <c r="AW71" s="10"/>
      <c r="AX71" s="10"/>
      <c r="AY71" s="10"/>
      <c r="AZ71" s="10"/>
      <c r="BA71" s="10"/>
      <c r="BB71" s="10"/>
      <c r="BC71" s="10"/>
      <c r="BD71" s="10"/>
      <c r="BE71" s="10"/>
      <c r="BF71" s="10"/>
      <c r="BG71" s="10"/>
      <c r="BH71" s="10"/>
      <c r="BI71" s="10"/>
      <c r="BJ71" s="10"/>
      <c r="BK71" s="10"/>
      <c r="BL71" s="10"/>
      <c r="BM71" s="10"/>
      <c r="BN71" s="10"/>
      <c r="BO71" s="10"/>
      <c r="BP71" s="10"/>
      <c r="BQ71" s="10"/>
      <c r="BR71" s="10"/>
      <c r="BS71" s="10"/>
    </row>
    <row r="72" spans="1:71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0"/>
      <c r="M72" s="10"/>
      <c r="N72" s="10"/>
      <c r="O72" s="10"/>
      <c r="P72" s="10"/>
      <c r="Q72" s="10"/>
      <c r="R72" s="10"/>
      <c r="S72" s="10"/>
      <c r="T72" s="10"/>
      <c r="U72" s="10"/>
      <c r="V72" s="10"/>
      <c r="W72" s="10"/>
      <c r="X72" s="10"/>
      <c r="Y72" s="10"/>
      <c r="Z72" s="10"/>
      <c r="AA72" s="10"/>
      <c r="AB72" s="10"/>
      <c r="AC72" s="10"/>
      <c r="AD72" s="10"/>
      <c r="AE72" s="10"/>
      <c r="AF72" s="10"/>
      <c r="AG72" s="10"/>
      <c r="AH72" s="10"/>
      <c r="AI72" s="10"/>
      <c r="AJ72" s="10"/>
      <c r="AK72" s="10"/>
      <c r="AL72" s="10"/>
      <c r="AM72" s="10"/>
      <c r="AN72" s="10"/>
      <c r="AO72" s="10"/>
      <c r="AP72" s="10"/>
      <c r="AQ72" s="10"/>
      <c r="AR72" s="10"/>
      <c r="AS72" s="10"/>
      <c r="AT72" s="10"/>
      <c r="AU72" s="10"/>
      <c r="AV72" s="10"/>
      <c r="AW72" s="10"/>
      <c r="AX72" s="10"/>
      <c r="AY72" s="10"/>
      <c r="AZ72" s="10"/>
      <c r="BA72" s="10"/>
      <c r="BB72" s="10"/>
      <c r="BC72" s="10"/>
      <c r="BD72" s="10"/>
      <c r="BE72" s="10"/>
      <c r="BF72" s="10"/>
      <c r="BG72" s="10"/>
      <c r="BH72" s="10"/>
      <c r="BI72" s="10"/>
      <c r="BJ72" s="10"/>
      <c r="BK72" s="10"/>
      <c r="BL72" s="10"/>
      <c r="BM72" s="10"/>
      <c r="BN72" s="10"/>
      <c r="BO72" s="10"/>
      <c r="BP72" s="10"/>
      <c r="BQ72" s="10"/>
      <c r="BR72" s="10"/>
      <c r="BS72" s="10"/>
    </row>
    <row r="73" spans="1:71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0"/>
      <c r="M73" s="10"/>
      <c r="N73" s="10"/>
      <c r="O73" s="10"/>
      <c r="P73" s="10"/>
      <c r="Q73" s="10"/>
      <c r="R73" s="10"/>
      <c r="S73" s="10"/>
      <c r="T73" s="10"/>
      <c r="U73" s="10"/>
      <c r="V73" s="10"/>
      <c r="W73" s="10"/>
      <c r="X73" s="10"/>
      <c r="Y73" s="10"/>
      <c r="Z73" s="10"/>
      <c r="AA73" s="10"/>
      <c r="AB73" s="10"/>
      <c r="AC73" s="10"/>
      <c r="AD73" s="10"/>
      <c r="AE73" s="10"/>
      <c r="AF73" s="10"/>
      <c r="AG73" s="10"/>
      <c r="AH73" s="10"/>
      <c r="AI73" s="10"/>
      <c r="AJ73" s="10"/>
      <c r="AK73" s="10"/>
      <c r="AL73" s="10"/>
      <c r="AM73" s="10"/>
      <c r="AN73" s="10"/>
      <c r="AO73" s="10"/>
      <c r="AP73" s="10"/>
      <c r="AQ73" s="10"/>
      <c r="AR73" s="10"/>
      <c r="AS73" s="10"/>
      <c r="AT73" s="10"/>
      <c r="AU73" s="10"/>
      <c r="AV73" s="10"/>
      <c r="AW73" s="10"/>
      <c r="AX73" s="10"/>
      <c r="AY73" s="10"/>
      <c r="AZ73" s="10"/>
      <c r="BA73" s="10"/>
      <c r="BB73" s="10"/>
      <c r="BC73" s="10"/>
      <c r="BD73" s="10"/>
      <c r="BE73" s="10"/>
      <c r="BF73" s="10"/>
      <c r="BG73" s="10"/>
      <c r="BH73" s="10"/>
      <c r="BI73" s="10"/>
      <c r="BJ73" s="10"/>
      <c r="BK73" s="10"/>
      <c r="BL73" s="10"/>
      <c r="BM73" s="10"/>
      <c r="BN73" s="10"/>
      <c r="BO73" s="10"/>
      <c r="BP73" s="10"/>
      <c r="BQ73" s="10"/>
      <c r="BR73" s="10"/>
      <c r="BS73" s="10"/>
    </row>
    <row r="74" spans="1:71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0"/>
      <c r="M74" s="10"/>
      <c r="N74" s="10"/>
      <c r="O74" s="10"/>
      <c r="P74" s="10"/>
      <c r="Q74" s="10"/>
      <c r="R74" s="10"/>
      <c r="S74" s="10"/>
      <c r="T74" s="10"/>
      <c r="U74" s="10"/>
      <c r="V74" s="10"/>
      <c r="W74" s="10"/>
      <c r="X74" s="10"/>
      <c r="Y74" s="10"/>
      <c r="Z74" s="10"/>
      <c r="AA74" s="10"/>
      <c r="AB74" s="10"/>
      <c r="AC74" s="10"/>
      <c r="AD74" s="10"/>
      <c r="AE74" s="10"/>
      <c r="AF74" s="10"/>
      <c r="AG74" s="10"/>
      <c r="AH74" s="10"/>
      <c r="AI74" s="10"/>
      <c r="AJ74" s="10"/>
      <c r="AK74" s="10"/>
      <c r="AL74" s="10"/>
      <c r="AM74" s="10"/>
      <c r="AN74" s="10"/>
      <c r="AO74" s="10"/>
      <c r="AP74" s="10"/>
      <c r="AQ74" s="10"/>
      <c r="AR74" s="10"/>
      <c r="AS74" s="10"/>
      <c r="AT74" s="10"/>
      <c r="AU74" s="10"/>
      <c r="AV74" s="10"/>
      <c r="AW74" s="10"/>
      <c r="AX74" s="10"/>
      <c r="AY74" s="10"/>
      <c r="AZ74" s="10"/>
      <c r="BA74" s="10"/>
      <c r="BB74" s="10"/>
      <c r="BC74" s="10"/>
      <c r="BD74" s="10"/>
      <c r="BE74" s="10"/>
      <c r="BF74" s="10"/>
      <c r="BG74" s="10"/>
      <c r="BH74" s="10"/>
      <c r="BI74" s="10"/>
      <c r="BJ74" s="10"/>
      <c r="BK74" s="10"/>
      <c r="BL74" s="10"/>
      <c r="BM74" s="10"/>
      <c r="BN74" s="10"/>
      <c r="BO74" s="10"/>
      <c r="BP74" s="10"/>
      <c r="BQ74" s="10"/>
      <c r="BR74" s="10"/>
      <c r="BS74" s="10"/>
    </row>
    <row r="75" spans="1:71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0"/>
      <c r="M75" s="10"/>
      <c r="N75" s="10"/>
      <c r="O75" s="10"/>
      <c r="P75" s="10"/>
      <c r="Q75" s="10"/>
      <c r="R75" s="10"/>
      <c r="S75" s="10"/>
      <c r="T75" s="10"/>
      <c r="U75" s="10"/>
      <c r="V75" s="10"/>
      <c r="W75" s="10"/>
      <c r="X75" s="10"/>
      <c r="Y75" s="10"/>
      <c r="Z75" s="10"/>
      <c r="AA75" s="10"/>
      <c r="AB75" s="10"/>
      <c r="AC75" s="10"/>
      <c r="AD75" s="10"/>
      <c r="AE75" s="10"/>
      <c r="AF75" s="10"/>
      <c r="AG75" s="10"/>
      <c r="AH75" s="10"/>
      <c r="AI75" s="10"/>
      <c r="AJ75" s="10"/>
      <c r="AK75" s="10"/>
      <c r="AL75" s="10"/>
      <c r="AM75" s="10"/>
      <c r="AN75" s="10"/>
      <c r="AO75" s="10"/>
      <c r="AP75" s="10"/>
      <c r="AQ75" s="10"/>
      <c r="AR75" s="10"/>
      <c r="AS75" s="10"/>
      <c r="AT75" s="10"/>
      <c r="AU75" s="10"/>
      <c r="AV75" s="10"/>
      <c r="AW75" s="10"/>
      <c r="AX75" s="10"/>
      <c r="AY75" s="10"/>
      <c r="AZ75" s="10"/>
      <c r="BA75" s="10"/>
      <c r="BB75" s="10"/>
      <c r="BC75" s="10"/>
      <c r="BD75" s="10"/>
      <c r="BE75" s="10"/>
      <c r="BF75" s="10"/>
      <c r="BG75" s="10"/>
      <c r="BH75" s="10"/>
      <c r="BI75" s="10"/>
      <c r="BJ75" s="10"/>
      <c r="BK75" s="10"/>
      <c r="BL75" s="10"/>
      <c r="BM75" s="10"/>
      <c r="BN75" s="10"/>
      <c r="BO75" s="10"/>
      <c r="BP75" s="10"/>
      <c r="BQ75" s="10"/>
      <c r="BR75" s="10"/>
      <c r="BS75" s="10"/>
    </row>
    <row r="76" spans="1:71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0"/>
      <c r="M76" s="10"/>
      <c r="N76" s="10"/>
      <c r="O76" s="10"/>
      <c r="P76" s="10"/>
      <c r="Q76" s="10"/>
      <c r="R76" s="10"/>
      <c r="S76" s="10"/>
      <c r="T76" s="10"/>
      <c r="U76" s="10"/>
      <c r="V76" s="10"/>
      <c r="W76" s="10"/>
      <c r="X76" s="10"/>
      <c r="Y76" s="10"/>
      <c r="Z76" s="10"/>
      <c r="AA76" s="10"/>
      <c r="AB76" s="10"/>
      <c r="AC76" s="10"/>
      <c r="AD76" s="10"/>
      <c r="AE76" s="10"/>
      <c r="AF76" s="10"/>
      <c r="AG76" s="10"/>
      <c r="AH76" s="10"/>
      <c r="AI76" s="10"/>
      <c r="AJ76" s="10"/>
      <c r="AK76" s="10"/>
      <c r="AL76" s="10"/>
      <c r="AM76" s="10"/>
      <c r="AN76" s="10"/>
      <c r="AO76" s="10"/>
      <c r="AP76" s="10"/>
      <c r="AQ76" s="10"/>
      <c r="AR76" s="10"/>
      <c r="AS76" s="10"/>
      <c r="AT76" s="10"/>
      <c r="AU76" s="10"/>
      <c r="AV76" s="10"/>
      <c r="AW76" s="10"/>
      <c r="AX76" s="10"/>
      <c r="AY76" s="10"/>
      <c r="AZ76" s="10"/>
      <c r="BA76" s="10"/>
      <c r="BB76" s="10"/>
      <c r="BC76" s="10"/>
      <c r="BD76" s="10"/>
      <c r="BE76" s="10"/>
      <c r="BF76" s="10"/>
      <c r="BG76" s="10"/>
      <c r="BH76" s="10"/>
      <c r="BI76" s="10"/>
      <c r="BJ76" s="10"/>
      <c r="BK76" s="10"/>
      <c r="BL76" s="10"/>
      <c r="BM76" s="10"/>
      <c r="BN76" s="10"/>
      <c r="BO76" s="10"/>
      <c r="BP76" s="10"/>
      <c r="BQ76" s="10"/>
      <c r="BR76" s="10"/>
      <c r="BS76" s="10"/>
    </row>
    <row r="77" spans="1:71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0"/>
      <c r="M77" s="10"/>
      <c r="N77" s="10"/>
      <c r="O77" s="10"/>
      <c r="P77" s="10"/>
      <c r="Q77" s="10"/>
      <c r="R77" s="10"/>
      <c r="S77" s="10"/>
      <c r="T77" s="10"/>
      <c r="U77" s="10"/>
      <c r="V77" s="10"/>
      <c r="W77" s="10"/>
      <c r="X77" s="10"/>
      <c r="Y77" s="10"/>
      <c r="Z77" s="10"/>
      <c r="AA77" s="10"/>
      <c r="AB77" s="10"/>
      <c r="AC77" s="10"/>
      <c r="AD77" s="10"/>
      <c r="AE77" s="10"/>
      <c r="AF77" s="10"/>
      <c r="AG77" s="10"/>
      <c r="AH77" s="10"/>
      <c r="AI77" s="10"/>
      <c r="AJ77" s="10"/>
      <c r="AK77" s="10"/>
      <c r="AL77" s="10"/>
      <c r="AM77" s="10"/>
      <c r="AN77" s="10"/>
      <c r="AO77" s="10"/>
      <c r="AP77" s="10"/>
      <c r="AQ77" s="10"/>
      <c r="AR77" s="10"/>
      <c r="AS77" s="10"/>
      <c r="AT77" s="10"/>
      <c r="AU77" s="10"/>
      <c r="AV77" s="10"/>
      <c r="AW77" s="10"/>
      <c r="AX77" s="10"/>
      <c r="AY77" s="10"/>
      <c r="AZ77" s="10"/>
      <c r="BA77" s="10"/>
      <c r="BB77" s="10"/>
      <c r="BC77" s="10"/>
      <c r="BD77" s="10"/>
      <c r="BE77" s="10"/>
      <c r="BF77" s="10"/>
      <c r="BG77" s="10"/>
      <c r="BH77" s="10"/>
      <c r="BI77" s="10"/>
      <c r="BJ77" s="10"/>
      <c r="BK77" s="10"/>
      <c r="BL77" s="10"/>
      <c r="BM77" s="10"/>
      <c r="BN77" s="10"/>
      <c r="BO77" s="10"/>
      <c r="BP77" s="10"/>
      <c r="BQ77" s="10"/>
      <c r="BR77" s="10"/>
      <c r="BS77" s="10"/>
    </row>
    <row r="78" spans="1:71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0"/>
      <c r="M78" s="10"/>
      <c r="N78" s="10"/>
      <c r="O78" s="10"/>
      <c r="P78" s="10"/>
      <c r="Q78" s="10"/>
      <c r="R78" s="10"/>
      <c r="S78" s="10"/>
      <c r="T78" s="10"/>
      <c r="U78" s="10"/>
      <c r="V78" s="10"/>
      <c r="W78" s="10"/>
      <c r="X78" s="10"/>
      <c r="Y78" s="10"/>
      <c r="Z78" s="10"/>
      <c r="AA78" s="10"/>
      <c r="AB78" s="10"/>
      <c r="AC78" s="10"/>
      <c r="AD78" s="10"/>
      <c r="AE78" s="10"/>
      <c r="AF78" s="10"/>
      <c r="AG78" s="10"/>
      <c r="AH78" s="10"/>
      <c r="AI78" s="10"/>
      <c r="AJ78" s="10"/>
      <c r="AK78" s="10"/>
      <c r="AL78" s="10"/>
      <c r="AM78" s="10"/>
      <c r="AN78" s="10"/>
      <c r="AO78" s="10"/>
      <c r="AP78" s="10"/>
      <c r="AQ78" s="10"/>
      <c r="AR78" s="10"/>
      <c r="AS78" s="10"/>
      <c r="AT78" s="10"/>
      <c r="AU78" s="10"/>
      <c r="AV78" s="10"/>
      <c r="AW78" s="10"/>
      <c r="AX78" s="10"/>
      <c r="AY78" s="10"/>
      <c r="AZ78" s="10"/>
      <c r="BA78" s="10"/>
      <c r="BB78" s="10"/>
      <c r="BC78" s="10"/>
      <c r="BD78" s="10"/>
      <c r="BE78" s="10"/>
      <c r="BF78" s="10"/>
      <c r="BG78" s="10"/>
      <c r="BH78" s="10"/>
      <c r="BI78" s="10"/>
      <c r="BJ78" s="10"/>
      <c r="BK78" s="10"/>
      <c r="BL78" s="10"/>
      <c r="BM78" s="10"/>
      <c r="BN78" s="10"/>
      <c r="BO78" s="10"/>
      <c r="BP78" s="10"/>
      <c r="BQ78" s="10"/>
      <c r="BR78" s="10"/>
      <c r="BS78" s="10"/>
    </row>
    <row r="79" spans="1:71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0"/>
      <c r="M79" s="10"/>
      <c r="N79" s="10"/>
      <c r="O79" s="10"/>
      <c r="P79" s="10"/>
      <c r="Q79" s="10"/>
      <c r="R79" s="10"/>
      <c r="S79" s="10"/>
      <c r="T79" s="10"/>
      <c r="U79" s="10"/>
      <c r="V79" s="10"/>
      <c r="W79" s="10"/>
      <c r="X79" s="10"/>
      <c r="Y79" s="10"/>
      <c r="Z79" s="10"/>
      <c r="AA79" s="10"/>
      <c r="AB79" s="10"/>
      <c r="AC79" s="10"/>
      <c r="AD79" s="10"/>
      <c r="AE79" s="10"/>
      <c r="AF79" s="10"/>
      <c r="AG79" s="10"/>
      <c r="AH79" s="10"/>
      <c r="AI79" s="10"/>
      <c r="AJ79" s="10"/>
      <c r="AK79" s="10"/>
      <c r="AL79" s="10"/>
      <c r="AM79" s="10"/>
      <c r="AN79" s="10"/>
      <c r="AO79" s="10"/>
      <c r="AP79" s="10"/>
      <c r="AQ79" s="10"/>
      <c r="AR79" s="10"/>
      <c r="AS79" s="10"/>
      <c r="AT79" s="10"/>
      <c r="AU79" s="10"/>
      <c r="AV79" s="10"/>
      <c r="AW79" s="10"/>
      <c r="AX79" s="10"/>
      <c r="AY79" s="10"/>
      <c r="AZ79" s="10"/>
      <c r="BA79" s="10"/>
      <c r="BB79" s="10"/>
      <c r="BC79" s="10"/>
      <c r="BD79" s="10"/>
      <c r="BE79" s="10"/>
      <c r="BF79" s="10"/>
      <c r="BG79" s="10"/>
      <c r="BH79" s="10"/>
      <c r="BI79" s="10"/>
      <c r="BJ79" s="10"/>
      <c r="BK79" s="10"/>
      <c r="BL79" s="10"/>
      <c r="BM79" s="10"/>
      <c r="BN79" s="10"/>
      <c r="BO79" s="10"/>
      <c r="BP79" s="10"/>
      <c r="BQ79" s="10"/>
      <c r="BR79" s="10"/>
      <c r="BS79" s="10"/>
    </row>
    <row r="80" spans="1:71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0"/>
      <c r="M80" s="10"/>
      <c r="N80" s="10"/>
      <c r="O80" s="10"/>
      <c r="P80" s="10"/>
      <c r="Q80" s="10"/>
      <c r="R80" s="10"/>
      <c r="S80" s="10"/>
      <c r="T80" s="10"/>
      <c r="U80" s="10"/>
      <c r="V80" s="10"/>
      <c r="W80" s="10"/>
      <c r="X80" s="10"/>
      <c r="Y80" s="10"/>
      <c r="Z80" s="10"/>
      <c r="AA80" s="10"/>
      <c r="AB80" s="10"/>
      <c r="AC80" s="10"/>
      <c r="AD80" s="10"/>
      <c r="AE80" s="10"/>
      <c r="AF80" s="10"/>
      <c r="AG80" s="10"/>
      <c r="AH80" s="10"/>
      <c r="AI80" s="10"/>
      <c r="AJ80" s="10"/>
      <c r="AK80" s="10"/>
      <c r="AL80" s="10"/>
      <c r="AM80" s="10"/>
      <c r="AN80" s="10"/>
      <c r="AO80" s="10"/>
      <c r="AP80" s="10"/>
      <c r="AQ80" s="10"/>
      <c r="AR80" s="10"/>
      <c r="AS80" s="10"/>
      <c r="AT80" s="10"/>
      <c r="AU80" s="10"/>
      <c r="AV80" s="10"/>
      <c r="AW80" s="10"/>
      <c r="AX80" s="10"/>
      <c r="AY80" s="10"/>
      <c r="AZ80" s="10"/>
      <c r="BA80" s="10"/>
      <c r="BB80" s="10"/>
      <c r="BC80" s="10"/>
      <c r="BD80" s="10"/>
      <c r="BE80" s="10"/>
      <c r="BF80" s="10"/>
      <c r="BG80" s="10"/>
      <c r="BH80" s="10"/>
      <c r="BI80" s="10"/>
      <c r="BJ80" s="10"/>
      <c r="BK80" s="10"/>
      <c r="BL80" s="10"/>
      <c r="BM80" s="10"/>
      <c r="BN80" s="10"/>
      <c r="BO80" s="10"/>
      <c r="BP80" s="10"/>
      <c r="BQ80" s="10"/>
      <c r="BR80" s="10"/>
      <c r="BS80" s="10"/>
    </row>
    <row r="81" spans="1:71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0"/>
      <c r="M81" s="10"/>
      <c r="N81" s="10"/>
      <c r="O81" s="10"/>
      <c r="P81" s="10"/>
      <c r="Q81" s="10"/>
      <c r="R81" s="10"/>
      <c r="S81" s="10"/>
      <c r="T81" s="10"/>
      <c r="U81" s="10"/>
      <c r="V81" s="10"/>
      <c r="W81" s="10"/>
      <c r="X81" s="10"/>
      <c r="Y81" s="10"/>
      <c r="Z81" s="10"/>
      <c r="AA81" s="10"/>
      <c r="AB81" s="10"/>
      <c r="AC81" s="10"/>
      <c r="AD81" s="10"/>
      <c r="AE81" s="10"/>
      <c r="AF81" s="10"/>
      <c r="AG81" s="10"/>
      <c r="AH81" s="10"/>
      <c r="AI81" s="10"/>
      <c r="AJ81" s="10"/>
      <c r="AK81" s="10"/>
      <c r="AL81" s="10"/>
      <c r="AM81" s="10"/>
      <c r="AN81" s="10"/>
      <c r="AO81" s="10"/>
      <c r="AP81" s="10"/>
      <c r="AQ81" s="10"/>
      <c r="AR81" s="10"/>
      <c r="AS81" s="10"/>
      <c r="AT81" s="10"/>
      <c r="AU81" s="10"/>
      <c r="AV81" s="10"/>
      <c r="AW81" s="10"/>
      <c r="AX81" s="10"/>
      <c r="AY81" s="10"/>
      <c r="AZ81" s="10"/>
      <c r="BA81" s="10"/>
      <c r="BB81" s="10"/>
      <c r="BC81" s="10"/>
      <c r="BD81" s="10"/>
      <c r="BE81" s="10"/>
      <c r="BF81" s="10"/>
      <c r="BG81" s="10"/>
      <c r="BH81" s="10"/>
      <c r="BI81" s="10"/>
      <c r="BJ81" s="10"/>
      <c r="BK81" s="10"/>
      <c r="BL81" s="10"/>
      <c r="BM81" s="10"/>
      <c r="BN81" s="10"/>
      <c r="BO81" s="10"/>
      <c r="BP81" s="10"/>
      <c r="BQ81" s="10"/>
      <c r="BR81" s="10"/>
      <c r="BS81" s="10"/>
    </row>
    <row r="82" spans="1:71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0"/>
      <c r="M82" s="10"/>
      <c r="N82" s="10"/>
      <c r="O82" s="10"/>
      <c r="P82" s="10"/>
      <c r="Q82" s="10"/>
      <c r="R82" s="10"/>
      <c r="S82" s="10"/>
      <c r="T82" s="10"/>
      <c r="U82" s="10"/>
      <c r="V82" s="10"/>
      <c r="W82" s="10"/>
      <c r="X82" s="10"/>
      <c r="Y82" s="10"/>
      <c r="Z82" s="10"/>
      <c r="AA82" s="10"/>
      <c r="AB82" s="10"/>
      <c r="AC82" s="10"/>
      <c r="AD82" s="10"/>
      <c r="AE82" s="10"/>
      <c r="AF82" s="10"/>
      <c r="AG82" s="10"/>
      <c r="AH82" s="10"/>
      <c r="AI82" s="10"/>
      <c r="AJ82" s="10"/>
      <c r="AK82" s="10"/>
      <c r="AL82" s="10"/>
      <c r="AM82" s="10"/>
      <c r="AN82" s="10"/>
      <c r="AO82" s="10"/>
      <c r="AP82" s="10"/>
      <c r="AQ82" s="10"/>
      <c r="AR82" s="10"/>
      <c r="AS82" s="10"/>
      <c r="AT82" s="10"/>
      <c r="AU82" s="10"/>
      <c r="AV82" s="10"/>
      <c r="AW82" s="10"/>
      <c r="AX82" s="10"/>
      <c r="AY82" s="10"/>
      <c r="AZ82" s="10"/>
      <c r="BA82" s="10"/>
      <c r="BB82" s="10"/>
      <c r="BC82" s="10"/>
      <c r="BD82" s="10"/>
      <c r="BE82" s="10"/>
      <c r="BF82" s="10"/>
      <c r="BG82" s="10"/>
      <c r="BH82" s="10"/>
      <c r="BI82" s="10"/>
      <c r="BJ82" s="10"/>
      <c r="BK82" s="10"/>
      <c r="BL82" s="10"/>
      <c r="BM82" s="10"/>
      <c r="BN82" s="10"/>
      <c r="BO82" s="10"/>
      <c r="BP82" s="10"/>
      <c r="BQ82" s="10"/>
      <c r="BR82" s="10"/>
      <c r="BS82" s="10"/>
    </row>
    <row r="83" spans="1:71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0"/>
      <c r="M83" s="10"/>
      <c r="N83" s="10"/>
      <c r="O83" s="10"/>
      <c r="P83" s="10"/>
      <c r="Q83" s="10"/>
      <c r="R83" s="10"/>
      <c r="S83" s="10"/>
      <c r="T83" s="10"/>
      <c r="U83" s="10"/>
      <c r="V83" s="10"/>
      <c r="W83" s="10"/>
      <c r="X83" s="10"/>
      <c r="Y83" s="10"/>
      <c r="Z83" s="10"/>
      <c r="AA83" s="10"/>
      <c r="AB83" s="10"/>
      <c r="AC83" s="10"/>
      <c r="AD83" s="10"/>
      <c r="AE83" s="10"/>
      <c r="AF83" s="10"/>
      <c r="AG83" s="10"/>
      <c r="AH83" s="10"/>
      <c r="AI83" s="10"/>
      <c r="AJ83" s="10"/>
      <c r="AK83" s="10"/>
      <c r="AL83" s="10"/>
      <c r="AM83" s="10"/>
      <c r="AN83" s="10"/>
      <c r="AO83" s="10"/>
      <c r="AP83" s="10"/>
      <c r="AQ83" s="10"/>
      <c r="AR83" s="10"/>
      <c r="AS83" s="10"/>
      <c r="AT83" s="10"/>
      <c r="AU83" s="10"/>
      <c r="AV83" s="10"/>
      <c r="AW83" s="10"/>
      <c r="AX83" s="10"/>
      <c r="AY83" s="10"/>
      <c r="AZ83" s="10"/>
      <c r="BA83" s="10"/>
      <c r="BB83" s="10"/>
      <c r="BC83" s="10"/>
      <c r="BD83" s="10"/>
      <c r="BE83" s="10"/>
      <c r="BF83" s="10"/>
      <c r="BG83" s="10"/>
      <c r="BH83" s="10"/>
      <c r="BI83" s="10"/>
      <c r="BJ83" s="10"/>
      <c r="BK83" s="10"/>
      <c r="BL83" s="10"/>
      <c r="BM83" s="10"/>
      <c r="BN83" s="10"/>
      <c r="BO83" s="10"/>
      <c r="BP83" s="10"/>
      <c r="BQ83" s="10"/>
      <c r="BR83" s="10"/>
      <c r="BS83" s="10"/>
    </row>
    <row r="84" spans="1:71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0"/>
      <c r="M84" s="10"/>
      <c r="N84" s="10"/>
      <c r="O84" s="10"/>
      <c r="P84" s="10"/>
      <c r="Q84" s="10"/>
      <c r="R84" s="10"/>
      <c r="S84" s="10"/>
      <c r="T84" s="10"/>
      <c r="U84" s="10"/>
      <c r="V84" s="10"/>
      <c r="W84" s="10"/>
      <c r="X84" s="10"/>
      <c r="Y84" s="10"/>
      <c r="Z84" s="10"/>
      <c r="AA84" s="10"/>
      <c r="AB84" s="10"/>
      <c r="AC84" s="10"/>
      <c r="AD84" s="10"/>
      <c r="AE84" s="10"/>
      <c r="AF84" s="10"/>
      <c r="AG84" s="10"/>
      <c r="AH84" s="10"/>
      <c r="AI84" s="10"/>
      <c r="AJ84" s="10"/>
      <c r="AK84" s="10"/>
      <c r="AL84" s="10"/>
      <c r="AM84" s="10"/>
      <c r="AN84" s="10"/>
      <c r="AO84" s="10"/>
      <c r="AP84" s="10"/>
      <c r="AQ84" s="10"/>
      <c r="AR84" s="10"/>
      <c r="AS84" s="10"/>
      <c r="AT84" s="10"/>
      <c r="AU84" s="10"/>
      <c r="AV84" s="10"/>
      <c r="AW84" s="10"/>
      <c r="AX84" s="10"/>
      <c r="AY84" s="10"/>
      <c r="AZ84" s="10"/>
      <c r="BA84" s="10"/>
      <c r="BB84" s="10"/>
      <c r="BC84" s="10"/>
      <c r="BD84" s="10"/>
      <c r="BE84" s="10"/>
      <c r="BF84" s="10"/>
      <c r="BG84" s="10"/>
      <c r="BH84" s="10"/>
      <c r="BI84" s="10"/>
      <c r="BJ84" s="10"/>
      <c r="BK84" s="10"/>
      <c r="BL84" s="10"/>
      <c r="BM84" s="10"/>
      <c r="BN84" s="10"/>
      <c r="BO84" s="10"/>
      <c r="BP84" s="10"/>
      <c r="BQ84" s="10"/>
      <c r="BR84" s="10"/>
      <c r="BS84" s="10"/>
    </row>
    <row r="85" spans="1:71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0"/>
      <c r="M85" s="10"/>
      <c r="N85" s="10"/>
      <c r="O85" s="10"/>
      <c r="P85" s="10"/>
      <c r="Q85" s="10"/>
      <c r="R85" s="10"/>
      <c r="S85" s="10"/>
      <c r="T85" s="10"/>
      <c r="U85" s="10"/>
      <c r="V85" s="10"/>
      <c r="W85" s="10"/>
      <c r="X85" s="10"/>
      <c r="Y85" s="10"/>
      <c r="Z85" s="10"/>
      <c r="AA85" s="10"/>
      <c r="AB85" s="10"/>
      <c r="AC85" s="10"/>
      <c r="AD85" s="10"/>
      <c r="AE85" s="10"/>
      <c r="AF85" s="10"/>
      <c r="AG85" s="10"/>
      <c r="AH85" s="10"/>
      <c r="AI85" s="10"/>
      <c r="AJ85" s="10"/>
      <c r="AK85" s="10"/>
      <c r="AL85" s="10"/>
      <c r="AM85" s="10"/>
      <c r="AN85" s="10"/>
      <c r="AO85" s="10"/>
      <c r="AP85" s="10"/>
      <c r="AQ85" s="10"/>
      <c r="AR85" s="10"/>
      <c r="AS85" s="10"/>
      <c r="AT85" s="10"/>
      <c r="AU85" s="10"/>
      <c r="AV85" s="10"/>
      <c r="AW85" s="10"/>
      <c r="AX85" s="10"/>
      <c r="AY85" s="10"/>
      <c r="AZ85" s="10"/>
      <c r="BA85" s="10"/>
      <c r="BB85" s="10"/>
      <c r="BC85" s="10"/>
      <c r="BD85" s="10"/>
      <c r="BE85" s="10"/>
      <c r="BF85" s="10"/>
      <c r="BG85" s="10"/>
      <c r="BH85" s="10"/>
      <c r="BI85" s="10"/>
      <c r="BJ85" s="10"/>
      <c r="BK85" s="10"/>
      <c r="BL85" s="10"/>
      <c r="BM85" s="10"/>
      <c r="BN85" s="10"/>
      <c r="BO85" s="10"/>
      <c r="BP85" s="10"/>
      <c r="BQ85" s="10"/>
      <c r="BR85" s="10"/>
      <c r="BS85" s="10"/>
    </row>
    <row r="86" spans="1:71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P86" s="10"/>
      <c r="Q86" s="10"/>
      <c r="R86" s="10"/>
      <c r="S86" s="10"/>
      <c r="T86" s="10"/>
      <c r="U86" s="10"/>
      <c r="V86" s="10"/>
      <c r="W86" s="10"/>
      <c r="X86" s="10"/>
      <c r="Y86" s="10"/>
      <c r="Z86" s="10"/>
      <c r="AA86" s="10"/>
      <c r="AB86" s="10"/>
      <c r="AC86" s="10"/>
      <c r="AD86" s="10"/>
      <c r="AE86" s="10"/>
      <c r="AF86" s="10"/>
      <c r="AG86" s="10"/>
      <c r="AH86" s="10"/>
      <c r="AI86" s="10"/>
      <c r="AJ86" s="10"/>
      <c r="AK86" s="10"/>
      <c r="AL86" s="10"/>
      <c r="AM86" s="10"/>
      <c r="AN86" s="10"/>
      <c r="AO86" s="10"/>
      <c r="AP86" s="10"/>
      <c r="AQ86" s="10"/>
      <c r="AR86" s="10"/>
      <c r="AS86" s="10"/>
      <c r="AT86" s="10"/>
      <c r="AU86" s="10"/>
      <c r="AV86" s="10"/>
      <c r="AW86" s="10"/>
      <c r="AX86" s="10"/>
      <c r="AY86" s="10"/>
      <c r="AZ86" s="10"/>
      <c r="BA86" s="10"/>
      <c r="BB86" s="10"/>
      <c r="BC86" s="10"/>
      <c r="BD86" s="10"/>
      <c r="BE86" s="10"/>
      <c r="BF86" s="10"/>
      <c r="BG86" s="10"/>
      <c r="BH86" s="10"/>
      <c r="BI86" s="10"/>
      <c r="BJ86" s="10"/>
      <c r="BK86" s="10"/>
      <c r="BL86" s="10"/>
      <c r="BM86" s="10"/>
      <c r="BN86" s="10"/>
      <c r="BO86" s="10"/>
      <c r="BP86" s="10"/>
      <c r="BQ86" s="10"/>
      <c r="BR86" s="10"/>
      <c r="BS86" s="10"/>
    </row>
    <row r="87" spans="1:71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P87" s="10"/>
      <c r="Q87" s="10"/>
      <c r="R87" s="10"/>
      <c r="S87" s="10"/>
      <c r="T87" s="10"/>
      <c r="U87" s="10"/>
      <c r="V87" s="10"/>
      <c r="W87" s="10"/>
      <c r="X87" s="10"/>
      <c r="Y87" s="10"/>
      <c r="Z87" s="10"/>
      <c r="AA87" s="10"/>
      <c r="AB87" s="10"/>
      <c r="AC87" s="10"/>
      <c r="AD87" s="10"/>
      <c r="AE87" s="10"/>
      <c r="AF87" s="10"/>
      <c r="AG87" s="10"/>
      <c r="AH87" s="10"/>
      <c r="AI87" s="10"/>
      <c r="AJ87" s="10"/>
      <c r="AK87" s="10"/>
      <c r="AL87" s="10"/>
      <c r="AM87" s="10"/>
      <c r="AN87" s="10"/>
      <c r="AO87" s="10"/>
      <c r="AP87" s="10"/>
      <c r="AQ87" s="10"/>
      <c r="AR87" s="10"/>
      <c r="AS87" s="10"/>
      <c r="AT87" s="10"/>
      <c r="AU87" s="10"/>
      <c r="AV87" s="10"/>
      <c r="AW87" s="10"/>
      <c r="AX87" s="10"/>
      <c r="AY87" s="10"/>
      <c r="AZ87" s="10"/>
      <c r="BA87" s="10"/>
      <c r="BB87" s="10"/>
      <c r="BC87" s="10"/>
      <c r="BD87" s="10"/>
      <c r="BE87" s="10"/>
      <c r="BF87" s="10"/>
      <c r="BG87" s="10"/>
      <c r="BH87" s="10"/>
      <c r="BI87" s="10"/>
      <c r="BJ87" s="10"/>
      <c r="BK87" s="10"/>
      <c r="BL87" s="10"/>
      <c r="BM87" s="10"/>
      <c r="BN87" s="10"/>
      <c r="BO87" s="10"/>
      <c r="BP87" s="10"/>
      <c r="BQ87" s="10"/>
      <c r="BR87" s="10"/>
      <c r="BS87" s="10"/>
    </row>
    <row r="88" spans="1:71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P88" s="10"/>
      <c r="Q88" s="10"/>
      <c r="R88" s="10"/>
      <c r="S88" s="10"/>
      <c r="T88" s="10"/>
      <c r="U88" s="10"/>
      <c r="V88" s="10"/>
      <c r="W88" s="10"/>
      <c r="X88" s="10"/>
      <c r="Y88" s="10"/>
      <c r="Z88" s="10"/>
      <c r="AA88" s="10"/>
      <c r="AB88" s="10"/>
      <c r="AC88" s="10"/>
      <c r="AD88" s="10"/>
      <c r="AE88" s="10"/>
      <c r="AF88" s="10"/>
      <c r="AG88" s="10"/>
      <c r="AH88" s="10"/>
      <c r="AI88" s="10"/>
      <c r="AJ88" s="10"/>
      <c r="AK88" s="10"/>
      <c r="AL88" s="10"/>
      <c r="AM88" s="10"/>
      <c r="AN88" s="10"/>
      <c r="AO88" s="10"/>
      <c r="AP88" s="10"/>
      <c r="AQ88" s="10"/>
      <c r="AR88" s="10"/>
      <c r="AS88" s="10"/>
      <c r="AT88" s="10"/>
      <c r="AU88" s="10"/>
      <c r="AV88" s="10"/>
      <c r="AW88" s="10"/>
      <c r="AX88" s="10"/>
      <c r="AY88" s="10"/>
      <c r="AZ88" s="10"/>
      <c r="BA88" s="10"/>
      <c r="BB88" s="10"/>
      <c r="BC88" s="10"/>
      <c r="BD88" s="10"/>
      <c r="BE88" s="10"/>
      <c r="BF88" s="10"/>
      <c r="BG88" s="10"/>
      <c r="BH88" s="10"/>
      <c r="BI88" s="10"/>
      <c r="BJ88" s="10"/>
      <c r="BK88" s="10"/>
      <c r="BL88" s="10"/>
      <c r="BM88" s="10"/>
      <c r="BN88" s="10"/>
      <c r="BO88" s="10"/>
      <c r="BP88" s="10"/>
      <c r="BQ88" s="10"/>
      <c r="BR88" s="10"/>
      <c r="BS88" s="10"/>
    </row>
    <row r="89" spans="1:71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P89" s="10"/>
      <c r="Q89" s="10"/>
      <c r="R89" s="10"/>
      <c r="S89" s="10"/>
      <c r="T89" s="10"/>
      <c r="U89" s="10"/>
      <c r="V89" s="10"/>
      <c r="W89" s="10"/>
      <c r="X89" s="10"/>
      <c r="Y89" s="10"/>
      <c r="Z89" s="10"/>
      <c r="AA89" s="10"/>
      <c r="AB89" s="10"/>
      <c r="AC89" s="10"/>
      <c r="AD89" s="10"/>
      <c r="AE89" s="10"/>
      <c r="AF89" s="10"/>
      <c r="AG89" s="10"/>
      <c r="AH89" s="10"/>
      <c r="AI89" s="10"/>
      <c r="AJ89" s="10"/>
      <c r="AK89" s="10"/>
      <c r="AL89" s="10"/>
      <c r="AM89" s="10"/>
      <c r="AN89" s="10"/>
      <c r="AO89" s="10"/>
      <c r="AP89" s="10"/>
      <c r="AQ89" s="10"/>
      <c r="AR89" s="10"/>
      <c r="AS89" s="10"/>
      <c r="AT89" s="10"/>
      <c r="AU89" s="10"/>
      <c r="AV89" s="10"/>
      <c r="AW89" s="10"/>
      <c r="AX89" s="10"/>
      <c r="AY89" s="10"/>
      <c r="AZ89" s="10"/>
      <c r="BA89" s="10"/>
      <c r="BB89" s="10"/>
      <c r="BC89" s="10"/>
      <c r="BD89" s="10"/>
      <c r="BE89" s="10"/>
      <c r="BF89" s="10"/>
      <c r="BG89" s="10"/>
      <c r="BH89" s="10"/>
      <c r="BI89" s="10"/>
      <c r="BJ89" s="10"/>
      <c r="BK89" s="10"/>
      <c r="BL89" s="10"/>
      <c r="BM89" s="10"/>
      <c r="BN89" s="10"/>
      <c r="BO89" s="10"/>
      <c r="BP89" s="10"/>
      <c r="BQ89" s="10"/>
      <c r="BR89" s="10"/>
      <c r="BS89" s="10"/>
    </row>
    <row r="90" spans="1:71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P90" s="10"/>
      <c r="Q90" s="10"/>
      <c r="R90" s="10"/>
      <c r="S90" s="10"/>
      <c r="T90" s="10"/>
      <c r="U90" s="10"/>
      <c r="V90" s="10"/>
      <c r="W90" s="10"/>
      <c r="X90" s="10"/>
      <c r="Y90" s="10"/>
      <c r="Z90" s="10"/>
      <c r="AA90" s="10"/>
      <c r="AB90" s="10"/>
      <c r="AC90" s="10"/>
      <c r="AD90" s="10"/>
      <c r="AE90" s="10"/>
      <c r="AF90" s="10"/>
      <c r="AG90" s="10"/>
      <c r="AH90" s="10"/>
      <c r="AI90" s="10"/>
      <c r="AJ90" s="10"/>
      <c r="AK90" s="10"/>
      <c r="AL90" s="10"/>
      <c r="AM90" s="10"/>
      <c r="AN90" s="10"/>
      <c r="AO90" s="10"/>
      <c r="AP90" s="10"/>
      <c r="AQ90" s="10"/>
      <c r="AR90" s="10"/>
      <c r="AS90" s="10"/>
      <c r="AT90" s="10"/>
      <c r="AU90" s="10"/>
      <c r="AV90" s="10"/>
      <c r="AW90" s="10"/>
      <c r="AX90" s="10"/>
      <c r="AY90" s="10"/>
      <c r="AZ90" s="10"/>
      <c r="BA90" s="10"/>
      <c r="BB90" s="10"/>
      <c r="BC90" s="10"/>
      <c r="BD90" s="10"/>
      <c r="BE90" s="10"/>
      <c r="BF90" s="10"/>
      <c r="BG90" s="10"/>
      <c r="BH90" s="10"/>
      <c r="BI90" s="10"/>
      <c r="BJ90" s="10"/>
      <c r="BK90" s="10"/>
      <c r="BL90" s="10"/>
      <c r="BM90" s="10"/>
      <c r="BN90" s="10"/>
      <c r="BO90" s="10"/>
      <c r="BP90" s="10"/>
      <c r="BQ90" s="10"/>
      <c r="BR90" s="10"/>
      <c r="BS90" s="10"/>
    </row>
    <row r="91" spans="1:71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P91" s="10"/>
      <c r="Q91" s="10"/>
      <c r="R91" s="10"/>
      <c r="S91" s="10"/>
      <c r="T91" s="10"/>
      <c r="U91" s="10"/>
      <c r="V91" s="10"/>
      <c r="W91" s="10"/>
      <c r="X91" s="10"/>
      <c r="Y91" s="10"/>
      <c r="Z91" s="10"/>
      <c r="AA91" s="10"/>
      <c r="AB91" s="10"/>
      <c r="AC91" s="10"/>
      <c r="AD91" s="10"/>
      <c r="AE91" s="10"/>
      <c r="AF91" s="10"/>
      <c r="AG91" s="10"/>
      <c r="AH91" s="10"/>
      <c r="AI91" s="10"/>
      <c r="AJ91" s="10"/>
      <c r="AK91" s="10"/>
      <c r="AL91" s="10"/>
      <c r="AM91" s="10"/>
      <c r="AN91" s="10"/>
      <c r="AO91" s="10"/>
      <c r="AP91" s="10"/>
      <c r="AQ91" s="10"/>
      <c r="AR91" s="10"/>
      <c r="AS91" s="10"/>
      <c r="AT91" s="10"/>
      <c r="AU91" s="10"/>
      <c r="AV91" s="10"/>
      <c r="AW91" s="10"/>
      <c r="AX91" s="10"/>
      <c r="AY91" s="10"/>
      <c r="AZ91" s="10"/>
      <c r="BA91" s="10"/>
      <c r="BB91" s="10"/>
      <c r="BC91" s="10"/>
      <c r="BD91" s="10"/>
      <c r="BE91" s="10"/>
      <c r="BF91" s="10"/>
      <c r="BG91" s="10"/>
      <c r="BH91" s="10"/>
      <c r="BI91" s="10"/>
      <c r="BJ91" s="10"/>
      <c r="BK91" s="10"/>
      <c r="BL91" s="10"/>
      <c r="BM91" s="10"/>
      <c r="BN91" s="10"/>
      <c r="BO91" s="10"/>
      <c r="BP91" s="10"/>
      <c r="BQ91" s="10"/>
      <c r="BR91" s="10"/>
      <c r="BS91" s="10"/>
    </row>
    <row r="92" spans="1:71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P92" s="10"/>
      <c r="Q92" s="10"/>
      <c r="R92" s="10"/>
      <c r="S92" s="10"/>
      <c r="T92" s="10"/>
      <c r="U92" s="10"/>
      <c r="V92" s="10"/>
      <c r="W92" s="10"/>
      <c r="X92" s="10"/>
      <c r="Y92" s="10"/>
      <c r="Z92" s="10"/>
      <c r="AA92" s="10"/>
      <c r="AB92" s="10"/>
      <c r="AC92" s="10"/>
      <c r="AD92" s="10"/>
      <c r="AE92" s="10"/>
      <c r="AF92" s="10"/>
      <c r="AG92" s="10"/>
      <c r="AH92" s="10"/>
      <c r="AI92" s="10"/>
      <c r="AJ92" s="10"/>
      <c r="AK92" s="10"/>
      <c r="AL92" s="10"/>
      <c r="AM92" s="10"/>
      <c r="AN92" s="10"/>
      <c r="AO92" s="10"/>
      <c r="AP92" s="10"/>
      <c r="AQ92" s="10"/>
      <c r="AR92" s="10"/>
      <c r="AS92" s="10"/>
      <c r="AT92" s="10"/>
      <c r="AU92" s="10"/>
      <c r="AV92" s="10"/>
      <c r="AW92" s="10"/>
      <c r="AX92" s="10"/>
      <c r="AY92" s="10"/>
      <c r="AZ92" s="10"/>
      <c r="BA92" s="10"/>
      <c r="BB92" s="10"/>
      <c r="BC92" s="10"/>
      <c r="BD92" s="10"/>
      <c r="BE92" s="10"/>
      <c r="BF92" s="10"/>
      <c r="BG92" s="10"/>
      <c r="BH92" s="10"/>
      <c r="BI92" s="10"/>
      <c r="BJ92" s="10"/>
      <c r="BK92" s="10"/>
      <c r="BL92" s="10"/>
      <c r="BM92" s="10"/>
      <c r="BN92" s="10"/>
      <c r="BO92" s="10"/>
      <c r="BP92" s="10"/>
      <c r="BQ92" s="10"/>
      <c r="BR92" s="10"/>
      <c r="BS92" s="10"/>
    </row>
    <row r="93" spans="1:71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P93" s="10"/>
      <c r="Q93" s="10"/>
      <c r="R93" s="10"/>
      <c r="S93" s="10"/>
      <c r="T93" s="10"/>
      <c r="U93" s="10"/>
      <c r="V93" s="10"/>
      <c r="W93" s="10"/>
      <c r="X93" s="10"/>
      <c r="Y93" s="10"/>
      <c r="Z93" s="10"/>
      <c r="AA93" s="10"/>
      <c r="AB93" s="10"/>
      <c r="AC93" s="10"/>
      <c r="AD93" s="10"/>
      <c r="AE93" s="10"/>
      <c r="AF93" s="10"/>
      <c r="AG93" s="10"/>
      <c r="AH93" s="10"/>
      <c r="AI93" s="10"/>
      <c r="AJ93" s="10"/>
      <c r="AK93" s="10"/>
      <c r="AL93" s="10"/>
      <c r="AM93" s="10"/>
      <c r="AN93" s="10"/>
      <c r="AO93" s="10"/>
      <c r="AP93" s="10"/>
      <c r="AQ93" s="10"/>
      <c r="AR93" s="10"/>
      <c r="AS93" s="10"/>
      <c r="AT93" s="10"/>
      <c r="AU93" s="10"/>
      <c r="AV93" s="10"/>
      <c r="AW93" s="10"/>
      <c r="AX93" s="10"/>
      <c r="AY93" s="10"/>
      <c r="AZ93" s="10"/>
      <c r="BA93" s="10"/>
      <c r="BB93" s="10"/>
      <c r="BC93" s="10"/>
      <c r="BD93" s="10"/>
      <c r="BE93" s="10"/>
      <c r="BF93" s="10"/>
      <c r="BG93" s="10"/>
      <c r="BH93" s="10"/>
      <c r="BI93" s="10"/>
      <c r="BJ93" s="10"/>
      <c r="BK93" s="10"/>
      <c r="BL93" s="10"/>
      <c r="BM93" s="10"/>
      <c r="BN93" s="10"/>
      <c r="BO93" s="10"/>
      <c r="BP93" s="10"/>
      <c r="BQ93" s="10"/>
      <c r="BR93" s="10"/>
      <c r="BS93" s="10"/>
    </row>
    <row r="94" spans="1:71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P94" s="10"/>
      <c r="Q94" s="10"/>
      <c r="R94" s="10"/>
      <c r="S94" s="10"/>
      <c r="T94" s="10"/>
      <c r="U94" s="10"/>
      <c r="V94" s="10"/>
      <c r="W94" s="10"/>
      <c r="X94" s="10"/>
      <c r="Y94" s="10"/>
      <c r="Z94" s="10"/>
      <c r="AA94" s="10"/>
      <c r="AB94" s="10"/>
      <c r="AC94" s="10"/>
      <c r="AD94" s="10"/>
      <c r="AE94" s="10"/>
      <c r="AF94" s="10"/>
      <c r="AG94" s="10"/>
      <c r="AH94" s="10"/>
      <c r="AI94" s="10"/>
      <c r="AJ94" s="10"/>
      <c r="AK94" s="10"/>
      <c r="AL94" s="10"/>
      <c r="AM94" s="10"/>
      <c r="AN94" s="10"/>
      <c r="AO94" s="10"/>
      <c r="AP94" s="10"/>
      <c r="AQ94" s="10"/>
      <c r="AR94" s="10"/>
      <c r="AS94" s="10"/>
      <c r="AT94" s="10"/>
      <c r="AU94" s="10"/>
      <c r="AV94" s="10"/>
      <c r="AW94" s="10"/>
      <c r="AX94" s="10"/>
      <c r="AY94" s="10"/>
      <c r="AZ94" s="10"/>
      <c r="BA94" s="10"/>
      <c r="BB94" s="10"/>
      <c r="BC94" s="10"/>
      <c r="BD94" s="10"/>
      <c r="BE94" s="10"/>
      <c r="BF94" s="10"/>
      <c r="BG94" s="10"/>
      <c r="BH94" s="10"/>
      <c r="BI94" s="10"/>
      <c r="BJ94" s="10"/>
      <c r="BK94" s="10"/>
      <c r="BL94" s="10"/>
      <c r="BM94" s="10"/>
      <c r="BN94" s="10"/>
      <c r="BO94" s="10"/>
      <c r="BP94" s="10"/>
      <c r="BQ94" s="10"/>
      <c r="BR94" s="10"/>
      <c r="BS94" s="10"/>
    </row>
    <row r="95" spans="1:71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P95" s="10"/>
      <c r="Q95" s="10"/>
      <c r="R95" s="10"/>
      <c r="S95" s="10"/>
      <c r="T95" s="10"/>
      <c r="U95" s="10"/>
      <c r="V95" s="10"/>
      <c r="W95" s="10"/>
      <c r="X95" s="10"/>
      <c r="Y95" s="10"/>
      <c r="Z95" s="10"/>
      <c r="AA95" s="10"/>
      <c r="AB95" s="10"/>
      <c r="AC95" s="10"/>
      <c r="AD95" s="10"/>
      <c r="AE95" s="10"/>
      <c r="AF95" s="10"/>
      <c r="AG95" s="10"/>
      <c r="AH95" s="10"/>
      <c r="AI95" s="10"/>
      <c r="AJ95" s="10"/>
      <c r="AK95" s="10"/>
      <c r="AL95" s="10"/>
      <c r="AM95" s="10"/>
      <c r="AN95" s="10"/>
      <c r="AO95" s="10"/>
      <c r="AP95" s="10"/>
      <c r="AQ95" s="10"/>
      <c r="AR95" s="10"/>
      <c r="AS95" s="10"/>
      <c r="AT95" s="10"/>
      <c r="AU95" s="10"/>
      <c r="AV95" s="10"/>
      <c r="AW95" s="10"/>
      <c r="AX95" s="10"/>
      <c r="AY95" s="10"/>
      <c r="AZ95" s="10"/>
      <c r="BA95" s="10"/>
      <c r="BB95" s="10"/>
      <c r="BC95" s="10"/>
      <c r="BD95" s="10"/>
      <c r="BE95" s="10"/>
      <c r="BF95" s="10"/>
      <c r="BG95" s="10"/>
      <c r="BH95" s="10"/>
      <c r="BI95" s="10"/>
      <c r="BJ95" s="10"/>
      <c r="BK95" s="10"/>
      <c r="BL95" s="10"/>
      <c r="BM95" s="10"/>
      <c r="BN95" s="10"/>
      <c r="BO95" s="10"/>
      <c r="BP95" s="10"/>
      <c r="BQ95" s="10"/>
      <c r="BR95" s="10"/>
      <c r="BS95" s="10"/>
    </row>
    <row r="96" spans="1:71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P96" s="10"/>
      <c r="Q96" s="10"/>
      <c r="R96" s="10"/>
      <c r="S96" s="10"/>
      <c r="T96" s="10"/>
      <c r="U96" s="10"/>
      <c r="V96" s="10"/>
      <c r="W96" s="10"/>
      <c r="X96" s="10"/>
      <c r="Y96" s="10"/>
      <c r="Z96" s="10"/>
      <c r="AA96" s="10"/>
      <c r="AB96" s="10"/>
      <c r="AC96" s="10"/>
      <c r="AD96" s="10"/>
      <c r="AE96" s="10"/>
      <c r="AF96" s="10"/>
      <c r="AG96" s="10"/>
      <c r="AH96" s="10"/>
      <c r="AI96" s="10"/>
      <c r="AJ96" s="10"/>
      <c r="AK96" s="10"/>
      <c r="AL96" s="10"/>
      <c r="AM96" s="10"/>
      <c r="AN96" s="10"/>
      <c r="AO96" s="10"/>
      <c r="AP96" s="10"/>
      <c r="AQ96" s="10"/>
      <c r="AR96" s="10"/>
      <c r="AS96" s="10"/>
      <c r="AT96" s="10"/>
      <c r="AU96" s="10"/>
      <c r="AV96" s="10"/>
      <c r="AW96" s="10"/>
      <c r="AX96" s="10"/>
      <c r="AY96" s="10"/>
      <c r="AZ96" s="10"/>
      <c r="BA96" s="10"/>
      <c r="BB96" s="10"/>
      <c r="BC96" s="10"/>
      <c r="BD96" s="10"/>
      <c r="BE96" s="10"/>
      <c r="BF96" s="10"/>
      <c r="BG96" s="10"/>
      <c r="BH96" s="10"/>
      <c r="BI96" s="10"/>
      <c r="BJ96" s="10"/>
      <c r="BK96" s="10"/>
      <c r="BL96" s="10"/>
      <c r="BM96" s="10"/>
      <c r="BN96" s="10"/>
      <c r="BO96" s="10"/>
      <c r="BP96" s="10"/>
      <c r="BQ96" s="10"/>
      <c r="BR96" s="10"/>
      <c r="BS96" s="10"/>
    </row>
    <row r="97" spans="1:71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P97" s="10"/>
      <c r="Q97" s="10"/>
      <c r="R97" s="10"/>
      <c r="S97" s="10"/>
      <c r="T97" s="10"/>
      <c r="U97" s="10"/>
      <c r="V97" s="10"/>
      <c r="W97" s="10"/>
      <c r="X97" s="10"/>
      <c r="Y97" s="10"/>
      <c r="Z97" s="10"/>
      <c r="AA97" s="10"/>
      <c r="AB97" s="10"/>
      <c r="AC97" s="10"/>
      <c r="AD97" s="10"/>
      <c r="AE97" s="10"/>
      <c r="AF97" s="10"/>
      <c r="AG97" s="10"/>
      <c r="AH97" s="10"/>
      <c r="AI97" s="10"/>
      <c r="AJ97" s="10"/>
      <c r="AK97" s="10"/>
      <c r="AL97" s="10"/>
      <c r="AM97" s="10"/>
      <c r="AN97" s="10"/>
      <c r="AO97" s="10"/>
      <c r="AP97" s="10"/>
      <c r="AQ97" s="10"/>
      <c r="AR97" s="10"/>
      <c r="AS97" s="10"/>
      <c r="AT97" s="10"/>
      <c r="AU97" s="10"/>
      <c r="AV97" s="10"/>
      <c r="AW97" s="10"/>
      <c r="AX97" s="10"/>
      <c r="AY97" s="10"/>
      <c r="AZ97" s="10"/>
      <c r="BA97" s="10"/>
      <c r="BB97" s="10"/>
      <c r="BC97" s="10"/>
      <c r="BD97" s="10"/>
      <c r="BE97" s="10"/>
      <c r="BF97" s="10"/>
      <c r="BG97" s="10"/>
      <c r="BH97" s="10"/>
      <c r="BI97" s="10"/>
      <c r="BJ97" s="10"/>
      <c r="BK97" s="10"/>
      <c r="BL97" s="10"/>
      <c r="BM97" s="10"/>
      <c r="BN97" s="10"/>
      <c r="BO97" s="10"/>
      <c r="BP97" s="10"/>
      <c r="BQ97" s="10"/>
      <c r="BR97" s="10"/>
      <c r="BS97" s="10"/>
    </row>
    <row r="98" spans="1:71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P98" s="10"/>
      <c r="Q98" s="10"/>
      <c r="R98" s="10"/>
      <c r="S98" s="10"/>
      <c r="T98" s="10"/>
      <c r="U98" s="10"/>
      <c r="V98" s="10"/>
      <c r="W98" s="10"/>
      <c r="X98" s="10"/>
      <c r="Y98" s="10"/>
      <c r="Z98" s="10"/>
      <c r="AA98" s="10"/>
      <c r="AB98" s="10"/>
      <c r="AC98" s="10"/>
      <c r="AD98" s="10"/>
      <c r="AE98" s="10"/>
      <c r="AF98" s="10"/>
      <c r="AG98" s="10"/>
      <c r="AH98" s="10"/>
      <c r="AI98" s="10"/>
      <c r="AJ98" s="10"/>
      <c r="AK98" s="10"/>
      <c r="AL98" s="10"/>
      <c r="AM98" s="10"/>
      <c r="AN98" s="10"/>
      <c r="AO98" s="10"/>
      <c r="AP98" s="10"/>
      <c r="AQ98" s="10"/>
      <c r="AR98" s="10"/>
      <c r="AS98" s="10"/>
      <c r="AT98" s="10"/>
      <c r="AU98" s="10"/>
      <c r="AV98" s="10"/>
      <c r="AW98" s="10"/>
      <c r="AX98" s="10"/>
      <c r="AY98" s="10"/>
      <c r="AZ98" s="10"/>
      <c r="BA98" s="10"/>
      <c r="BB98" s="10"/>
      <c r="BC98" s="10"/>
      <c r="BD98" s="10"/>
      <c r="BE98" s="10"/>
      <c r="BF98" s="10"/>
      <c r="BG98" s="10"/>
      <c r="BH98" s="10"/>
      <c r="BI98" s="10"/>
      <c r="BJ98" s="10"/>
      <c r="BK98" s="10"/>
      <c r="BL98" s="10"/>
      <c r="BM98" s="10"/>
      <c r="BN98" s="10"/>
      <c r="BO98" s="10"/>
      <c r="BP98" s="10"/>
      <c r="BQ98" s="10"/>
      <c r="BR98" s="10"/>
      <c r="BS98" s="10"/>
    </row>
    <row r="99" spans="1:71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P99" s="10"/>
      <c r="Q99" s="10"/>
      <c r="R99" s="10"/>
      <c r="S99" s="10"/>
      <c r="T99" s="10"/>
      <c r="U99" s="10"/>
      <c r="V99" s="10"/>
      <c r="W99" s="10"/>
      <c r="X99" s="10"/>
      <c r="Y99" s="10"/>
      <c r="Z99" s="10"/>
      <c r="AA99" s="10"/>
      <c r="AB99" s="10"/>
      <c r="AC99" s="10"/>
      <c r="AD99" s="10"/>
      <c r="AE99" s="10"/>
      <c r="AF99" s="10"/>
      <c r="AG99" s="10"/>
      <c r="AH99" s="10"/>
      <c r="AI99" s="10"/>
      <c r="AJ99" s="10"/>
      <c r="AK99" s="10"/>
      <c r="AL99" s="10"/>
      <c r="AM99" s="10"/>
      <c r="AN99" s="10"/>
      <c r="AO99" s="10"/>
      <c r="AP99" s="10"/>
      <c r="AQ99" s="10"/>
      <c r="AR99" s="10"/>
      <c r="AS99" s="10"/>
      <c r="AT99" s="10"/>
      <c r="AU99" s="10"/>
      <c r="AV99" s="10"/>
      <c r="AW99" s="10"/>
      <c r="AX99" s="10"/>
      <c r="AY99" s="10"/>
      <c r="AZ99" s="10"/>
      <c r="BA99" s="10"/>
      <c r="BB99" s="10"/>
      <c r="BC99" s="10"/>
      <c r="BD99" s="10"/>
      <c r="BE99" s="10"/>
      <c r="BF99" s="10"/>
      <c r="BG99" s="10"/>
      <c r="BH99" s="10"/>
      <c r="BI99" s="10"/>
      <c r="BJ99" s="10"/>
      <c r="BK99" s="10"/>
      <c r="BL99" s="10"/>
      <c r="BM99" s="10"/>
      <c r="BN99" s="10"/>
      <c r="BO99" s="10"/>
      <c r="BP99" s="10"/>
      <c r="BQ99" s="10"/>
      <c r="BR99" s="10"/>
      <c r="BS99" s="10"/>
    </row>
    <row r="100" spans="1:71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P100" s="10"/>
      <c r="Q100" s="10"/>
      <c r="R100" s="10"/>
      <c r="S100" s="10"/>
      <c r="T100" s="10"/>
      <c r="U100" s="10"/>
      <c r="V100" s="10"/>
      <c r="W100" s="10"/>
      <c r="X100" s="10"/>
      <c r="Y100" s="10"/>
      <c r="Z100" s="10"/>
      <c r="AA100" s="10"/>
      <c r="AB100" s="10"/>
      <c r="AC100" s="10"/>
      <c r="AD100" s="10"/>
      <c r="AE100" s="10"/>
      <c r="AF100" s="10"/>
      <c r="AG100" s="10"/>
      <c r="AH100" s="10"/>
      <c r="AI100" s="10"/>
      <c r="AJ100" s="10"/>
      <c r="AK100" s="10"/>
      <c r="AL100" s="10"/>
      <c r="AM100" s="10"/>
      <c r="AN100" s="10"/>
      <c r="AO100" s="10"/>
      <c r="AP100" s="10"/>
      <c r="AQ100" s="10"/>
      <c r="AR100" s="10"/>
      <c r="AS100" s="10"/>
      <c r="AT100" s="10"/>
      <c r="AU100" s="10"/>
      <c r="AV100" s="10"/>
      <c r="AW100" s="10"/>
      <c r="AX100" s="10"/>
      <c r="AY100" s="10"/>
      <c r="AZ100" s="10"/>
      <c r="BA100" s="10"/>
      <c r="BB100" s="10"/>
      <c r="BC100" s="10"/>
      <c r="BD100" s="10"/>
      <c r="BE100" s="10"/>
      <c r="BF100" s="10"/>
      <c r="BG100" s="10"/>
      <c r="BH100" s="10"/>
      <c r="BI100" s="10"/>
      <c r="BJ100" s="10"/>
      <c r="BK100" s="10"/>
      <c r="BL100" s="10"/>
      <c r="BM100" s="10"/>
      <c r="BN100" s="10"/>
      <c r="BO100" s="10"/>
      <c r="BP100" s="10"/>
      <c r="BQ100" s="10"/>
      <c r="BR100" s="10"/>
      <c r="BS100" s="10"/>
    </row>
    <row r="101" spans="1:71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P101" s="10"/>
      <c r="Q101" s="10"/>
      <c r="R101" s="10"/>
      <c r="S101" s="10"/>
      <c r="T101" s="10"/>
      <c r="U101" s="10"/>
      <c r="V101" s="10"/>
      <c r="W101" s="10"/>
      <c r="X101" s="10"/>
      <c r="Y101" s="10"/>
      <c r="Z101" s="10"/>
      <c r="AA101" s="10"/>
      <c r="AB101" s="10"/>
      <c r="AC101" s="10"/>
      <c r="AD101" s="10"/>
      <c r="AE101" s="10"/>
      <c r="AF101" s="10"/>
      <c r="AG101" s="10"/>
      <c r="AH101" s="10"/>
      <c r="AI101" s="10"/>
      <c r="AJ101" s="10"/>
      <c r="AK101" s="10"/>
      <c r="AL101" s="10"/>
      <c r="AM101" s="10"/>
      <c r="AN101" s="10"/>
      <c r="AO101" s="10"/>
      <c r="AP101" s="10"/>
      <c r="AQ101" s="10"/>
      <c r="AR101" s="10"/>
      <c r="AS101" s="10"/>
      <c r="AT101" s="10"/>
      <c r="AU101" s="10"/>
      <c r="AV101" s="10"/>
      <c r="AW101" s="10"/>
      <c r="AX101" s="10"/>
      <c r="AY101" s="10"/>
      <c r="AZ101" s="10"/>
      <c r="BA101" s="10"/>
      <c r="BB101" s="10"/>
      <c r="BC101" s="10"/>
      <c r="BD101" s="10"/>
      <c r="BE101" s="10"/>
      <c r="BF101" s="10"/>
      <c r="BG101" s="10"/>
      <c r="BH101" s="10"/>
      <c r="BI101" s="10"/>
      <c r="BJ101" s="10"/>
      <c r="BK101" s="10"/>
      <c r="BL101" s="10"/>
      <c r="BM101" s="10"/>
      <c r="BN101" s="10"/>
      <c r="BO101" s="10"/>
      <c r="BP101" s="10"/>
      <c r="BQ101" s="10"/>
      <c r="BR101" s="10"/>
      <c r="BS101" s="10"/>
    </row>
    <row r="102" spans="1:71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P102" s="10"/>
      <c r="Q102" s="10"/>
      <c r="R102" s="10"/>
      <c r="S102" s="10"/>
      <c r="T102" s="10"/>
      <c r="U102" s="10"/>
      <c r="V102" s="10"/>
      <c r="W102" s="10"/>
      <c r="X102" s="10"/>
      <c r="Y102" s="10"/>
      <c r="Z102" s="10"/>
      <c r="AA102" s="10"/>
      <c r="AB102" s="10"/>
      <c r="AC102" s="10"/>
      <c r="AD102" s="10"/>
      <c r="AE102" s="10"/>
      <c r="AF102" s="10"/>
      <c r="AG102" s="10"/>
      <c r="AH102" s="10"/>
      <c r="AI102" s="10"/>
      <c r="AJ102" s="10"/>
      <c r="AK102" s="10"/>
      <c r="AL102" s="10"/>
      <c r="AM102" s="10"/>
      <c r="AN102" s="10"/>
      <c r="AO102" s="10"/>
      <c r="AP102" s="10"/>
      <c r="AQ102" s="10"/>
      <c r="AR102" s="10"/>
      <c r="AS102" s="10"/>
      <c r="AT102" s="10"/>
      <c r="AU102" s="10"/>
      <c r="AV102" s="10"/>
      <c r="AW102" s="10"/>
      <c r="AX102" s="10"/>
      <c r="AY102" s="10"/>
      <c r="AZ102" s="10"/>
      <c r="BA102" s="10"/>
      <c r="BB102" s="10"/>
      <c r="BC102" s="10"/>
      <c r="BD102" s="10"/>
      <c r="BE102" s="10"/>
      <c r="BF102" s="10"/>
      <c r="BG102" s="10"/>
      <c r="BH102" s="10"/>
      <c r="BI102" s="10"/>
      <c r="BJ102" s="10"/>
      <c r="BK102" s="10"/>
      <c r="BL102" s="10"/>
      <c r="BM102" s="10"/>
      <c r="BN102" s="10"/>
      <c r="BO102" s="10"/>
      <c r="BP102" s="10"/>
      <c r="BQ102" s="10"/>
      <c r="BR102" s="10"/>
      <c r="BS102" s="10"/>
    </row>
    <row r="103" spans="1:71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P103" s="10"/>
      <c r="Q103" s="10"/>
      <c r="R103" s="10"/>
      <c r="S103" s="10"/>
      <c r="T103" s="10"/>
      <c r="U103" s="10"/>
      <c r="V103" s="10"/>
      <c r="W103" s="10"/>
      <c r="X103" s="10"/>
      <c r="Y103" s="10"/>
      <c r="Z103" s="10"/>
      <c r="AA103" s="10"/>
      <c r="AB103" s="10"/>
      <c r="AC103" s="10"/>
      <c r="AD103" s="10"/>
      <c r="AE103" s="10"/>
      <c r="AF103" s="10"/>
      <c r="AG103" s="10"/>
      <c r="AH103" s="10"/>
      <c r="AI103" s="10"/>
      <c r="AJ103" s="10"/>
      <c r="AK103" s="10"/>
      <c r="AL103" s="10"/>
      <c r="AM103" s="10"/>
      <c r="AN103" s="10"/>
      <c r="AO103" s="10"/>
      <c r="AP103" s="10"/>
      <c r="AQ103" s="10"/>
      <c r="AR103" s="10"/>
      <c r="AS103" s="10"/>
      <c r="AT103" s="10"/>
      <c r="AU103" s="10"/>
      <c r="AV103" s="10"/>
      <c r="AW103" s="10"/>
      <c r="AX103" s="10"/>
      <c r="AY103" s="10"/>
      <c r="AZ103" s="10"/>
      <c r="BA103" s="10"/>
      <c r="BB103" s="10"/>
      <c r="BC103" s="10"/>
      <c r="BD103" s="10"/>
      <c r="BE103" s="10"/>
      <c r="BF103" s="10"/>
      <c r="BG103" s="10"/>
      <c r="BH103" s="10"/>
      <c r="BI103" s="10"/>
      <c r="BJ103" s="10"/>
      <c r="BK103" s="10"/>
      <c r="BL103" s="10"/>
      <c r="BM103" s="10"/>
      <c r="BN103" s="10"/>
      <c r="BO103" s="10"/>
      <c r="BP103" s="10"/>
      <c r="BQ103" s="10"/>
      <c r="BR103" s="10"/>
      <c r="BS103" s="10"/>
    </row>
    <row r="104" spans="1:71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P104" s="10"/>
      <c r="Q104" s="10"/>
      <c r="R104" s="10"/>
      <c r="S104" s="10"/>
      <c r="T104" s="10"/>
      <c r="U104" s="10"/>
      <c r="V104" s="10"/>
      <c r="W104" s="10"/>
      <c r="X104" s="10"/>
      <c r="Y104" s="10"/>
      <c r="Z104" s="10"/>
      <c r="AA104" s="10"/>
      <c r="AB104" s="10"/>
      <c r="AC104" s="10"/>
      <c r="AD104" s="10"/>
      <c r="AE104" s="10"/>
      <c r="AF104" s="10"/>
      <c r="AG104" s="10"/>
      <c r="AH104" s="10"/>
      <c r="AI104" s="10"/>
      <c r="AJ104" s="10"/>
      <c r="AK104" s="10"/>
      <c r="AL104" s="10"/>
      <c r="AM104" s="10"/>
      <c r="AN104" s="10"/>
      <c r="AO104" s="10"/>
      <c r="AP104" s="10"/>
      <c r="AQ104" s="10"/>
      <c r="AR104" s="10"/>
      <c r="AS104" s="10"/>
      <c r="AT104" s="10"/>
      <c r="AU104" s="10"/>
      <c r="AV104" s="10"/>
      <c r="AW104" s="10"/>
      <c r="AX104" s="10"/>
      <c r="AY104" s="10"/>
      <c r="AZ104" s="10"/>
      <c r="BA104" s="10"/>
      <c r="BB104" s="10"/>
      <c r="BC104" s="10"/>
      <c r="BD104" s="10"/>
      <c r="BE104" s="10"/>
      <c r="BF104" s="10"/>
      <c r="BG104" s="10"/>
      <c r="BH104" s="10"/>
      <c r="BI104" s="10"/>
      <c r="BJ104" s="10"/>
      <c r="BK104" s="10"/>
      <c r="BL104" s="10"/>
      <c r="BM104" s="10"/>
      <c r="BN104" s="10"/>
      <c r="BO104" s="10"/>
      <c r="BP104" s="10"/>
      <c r="BQ104" s="10"/>
      <c r="BR104" s="10"/>
      <c r="BS104" s="10"/>
    </row>
    <row r="105" spans="1:71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P105" s="10"/>
      <c r="Q105" s="10"/>
      <c r="R105" s="10"/>
      <c r="S105" s="10"/>
      <c r="T105" s="10"/>
      <c r="U105" s="10"/>
      <c r="V105" s="10"/>
      <c r="W105" s="10"/>
      <c r="X105" s="10"/>
      <c r="Y105" s="10"/>
      <c r="Z105" s="10"/>
      <c r="AA105" s="10"/>
      <c r="AB105" s="10"/>
      <c r="AC105" s="10"/>
      <c r="AD105" s="10"/>
      <c r="AE105" s="10"/>
      <c r="AF105" s="10"/>
      <c r="AG105" s="10"/>
      <c r="AH105" s="10"/>
      <c r="AI105" s="10"/>
      <c r="AJ105" s="10"/>
      <c r="AK105" s="10"/>
      <c r="AL105" s="10"/>
      <c r="AM105" s="10"/>
      <c r="AN105" s="10"/>
      <c r="AO105" s="10"/>
      <c r="AP105" s="10"/>
      <c r="AQ105" s="10"/>
      <c r="AR105" s="10"/>
      <c r="AS105" s="10"/>
      <c r="AT105" s="10"/>
      <c r="AU105" s="10"/>
      <c r="AV105" s="10"/>
      <c r="AW105" s="10"/>
      <c r="AX105" s="10"/>
      <c r="AY105" s="10"/>
      <c r="AZ105" s="10"/>
      <c r="BA105" s="10"/>
      <c r="BB105" s="10"/>
      <c r="BC105" s="10"/>
      <c r="BD105" s="10"/>
      <c r="BE105" s="10"/>
      <c r="BF105" s="10"/>
      <c r="BG105" s="10"/>
      <c r="BH105" s="10"/>
      <c r="BI105" s="10"/>
      <c r="BJ105" s="10"/>
      <c r="BK105" s="10"/>
      <c r="BL105" s="10"/>
      <c r="BM105" s="10"/>
      <c r="BN105" s="10"/>
      <c r="BO105" s="10"/>
      <c r="BP105" s="10"/>
      <c r="BQ105" s="10"/>
      <c r="BR105" s="10"/>
      <c r="BS105" s="10"/>
    </row>
    <row r="106" spans="1:71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P106" s="10"/>
      <c r="Q106" s="10"/>
      <c r="R106" s="10"/>
      <c r="S106" s="10"/>
      <c r="T106" s="10"/>
      <c r="U106" s="10"/>
      <c r="V106" s="10"/>
      <c r="W106" s="10"/>
      <c r="X106" s="10"/>
      <c r="Y106" s="10"/>
      <c r="Z106" s="10"/>
      <c r="AA106" s="10"/>
      <c r="AB106" s="10"/>
      <c r="AC106" s="10"/>
      <c r="AD106" s="10"/>
      <c r="AE106" s="10"/>
      <c r="AF106" s="10"/>
      <c r="AG106" s="10"/>
      <c r="AH106" s="10"/>
      <c r="AI106" s="10"/>
      <c r="AJ106" s="10"/>
      <c r="AK106" s="10"/>
      <c r="AL106" s="10"/>
      <c r="AM106" s="10"/>
      <c r="AN106" s="10"/>
      <c r="AO106" s="10"/>
      <c r="AP106" s="10"/>
      <c r="AQ106" s="10"/>
      <c r="AR106" s="10"/>
      <c r="AS106" s="10"/>
      <c r="AT106" s="10"/>
      <c r="AU106" s="10"/>
      <c r="AV106" s="10"/>
      <c r="AW106" s="10"/>
      <c r="AX106" s="10"/>
      <c r="AY106" s="10"/>
      <c r="AZ106" s="10"/>
      <c r="BA106" s="10"/>
      <c r="BB106" s="10"/>
      <c r="BC106" s="10"/>
      <c r="BD106" s="10"/>
      <c r="BE106" s="10"/>
      <c r="BF106" s="10"/>
      <c r="BG106" s="10"/>
      <c r="BH106" s="10"/>
      <c r="BI106" s="10"/>
      <c r="BJ106" s="10"/>
      <c r="BK106" s="10"/>
      <c r="BL106" s="10"/>
      <c r="BM106" s="10"/>
      <c r="BN106" s="10"/>
      <c r="BO106" s="10"/>
      <c r="BP106" s="10"/>
      <c r="BQ106" s="10"/>
      <c r="BR106" s="10"/>
      <c r="BS106" s="10"/>
    </row>
    <row r="107" spans="1:71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P107" s="10"/>
      <c r="Q107" s="10"/>
      <c r="R107" s="10"/>
      <c r="S107" s="10"/>
      <c r="T107" s="10"/>
      <c r="U107" s="10"/>
      <c r="V107" s="10"/>
      <c r="W107" s="10"/>
      <c r="X107" s="10"/>
      <c r="Y107" s="10"/>
      <c r="Z107" s="10"/>
      <c r="AA107" s="10"/>
      <c r="AB107" s="10"/>
      <c r="AC107" s="10"/>
      <c r="AD107" s="10"/>
      <c r="AE107" s="10"/>
      <c r="AF107" s="10"/>
      <c r="AG107" s="10"/>
      <c r="AH107" s="10"/>
      <c r="AI107" s="10"/>
      <c r="AJ107" s="10"/>
      <c r="AK107" s="10"/>
      <c r="AL107" s="10"/>
      <c r="AM107" s="10"/>
      <c r="AN107" s="10"/>
      <c r="AO107" s="10"/>
      <c r="AP107" s="10"/>
      <c r="AQ107" s="10"/>
      <c r="AR107" s="10"/>
      <c r="AS107" s="10"/>
      <c r="AT107" s="10"/>
      <c r="AU107" s="10"/>
      <c r="AV107" s="10"/>
      <c r="AW107" s="10"/>
      <c r="AX107" s="10"/>
      <c r="AY107" s="10"/>
      <c r="AZ107" s="10"/>
      <c r="BA107" s="10"/>
      <c r="BB107" s="10"/>
      <c r="BC107" s="10"/>
      <c r="BD107" s="10"/>
      <c r="BE107" s="10"/>
      <c r="BF107" s="10"/>
      <c r="BG107" s="10"/>
      <c r="BH107" s="10"/>
      <c r="BI107" s="10"/>
      <c r="BJ107" s="10"/>
      <c r="BK107" s="10"/>
      <c r="BL107" s="10"/>
      <c r="BM107" s="10"/>
      <c r="BN107" s="10"/>
      <c r="BO107" s="10"/>
      <c r="BP107" s="10"/>
      <c r="BQ107" s="10"/>
      <c r="BR107" s="10"/>
      <c r="BS107" s="10"/>
    </row>
    <row r="108" spans="1:71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P108" s="10"/>
      <c r="Q108" s="10"/>
      <c r="R108" s="10"/>
      <c r="S108" s="10"/>
      <c r="T108" s="10"/>
      <c r="U108" s="10"/>
      <c r="V108" s="10"/>
      <c r="W108" s="10"/>
      <c r="X108" s="10"/>
      <c r="Y108" s="10"/>
      <c r="Z108" s="10"/>
      <c r="AA108" s="10"/>
      <c r="AB108" s="10"/>
      <c r="AC108" s="10"/>
      <c r="AD108" s="10"/>
      <c r="AE108" s="10"/>
      <c r="AF108" s="10"/>
      <c r="AG108" s="10"/>
      <c r="AH108" s="10"/>
      <c r="AI108" s="10"/>
      <c r="AJ108" s="10"/>
      <c r="AK108" s="10"/>
      <c r="AL108" s="10"/>
      <c r="AM108" s="10"/>
      <c r="AN108" s="10"/>
      <c r="AO108" s="10"/>
      <c r="AP108" s="10"/>
      <c r="AQ108" s="10"/>
      <c r="AR108" s="10"/>
      <c r="AS108" s="10"/>
      <c r="AT108" s="10"/>
      <c r="AU108" s="10"/>
      <c r="AV108" s="10"/>
      <c r="AW108" s="10"/>
      <c r="AX108" s="10"/>
      <c r="AY108" s="10"/>
      <c r="AZ108" s="10"/>
      <c r="BA108" s="10"/>
      <c r="BB108" s="10"/>
      <c r="BC108" s="10"/>
      <c r="BD108" s="10"/>
      <c r="BE108" s="10"/>
      <c r="BF108" s="10"/>
      <c r="BG108" s="10"/>
      <c r="BH108" s="10"/>
      <c r="BI108" s="10"/>
      <c r="BJ108" s="10"/>
      <c r="BK108" s="10"/>
      <c r="BL108" s="10"/>
      <c r="BM108" s="10"/>
      <c r="BN108" s="10"/>
      <c r="BO108" s="10"/>
      <c r="BP108" s="10"/>
      <c r="BQ108" s="10"/>
      <c r="BR108" s="10"/>
      <c r="BS108" s="10"/>
    </row>
    <row r="109" spans="1:71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P109" s="10"/>
      <c r="Q109" s="10"/>
      <c r="R109" s="10"/>
      <c r="S109" s="10"/>
      <c r="T109" s="10"/>
      <c r="U109" s="10"/>
      <c r="V109" s="10"/>
      <c r="W109" s="10"/>
      <c r="X109" s="10"/>
      <c r="Y109" s="10"/>
      <c r="Z109" s="10"/>
      <c r="AA109" s="10"/>
      <c r="AB109" s="10"/>
      <c r="AC109" s="10"/>
      <c r="AD109" s="10"/>
      <c r="AE109" s="10"/>
      <c r="AF109" s="10"/>
      <c r="AG109" s="10"/>
      <c r="AH109" s="10"/>
      <c r="AI109" s="10"/>
      <c r="AJ109" s="10"/>
      <c r="AK109" s="10"/>
      <c r="AL109" s="10"/>
      <c r="AM109" s="10"/>
      <c r="AN109" s="10"/>
      <c r="AO109" s="10"/>
      <c r="AP109" s="10"/>
      <c r="AQ109" s="10"/>
      <c r="AR109" s="10"/>
      <c r="AS109" s="10"/>
      <c r="AT109" s="10"/>
      <c r="AU109" s="10"/>
      <c r="AV109" s="10"/>
      <c r="AW109" s="10"/>
      <c r="AX109" s="10"/>
      <c r="AY109" s="10"/>
      <c r="AZ109" s="10"/>
      <c r="BA109" s="10"/>
      <c r="BB109" s="10"/>
      <c r="BC109" s="10"/>
      <c r="BD109" s="10"/>
      <c r="BE109" s="10"/>
      <c r="BF109" s="10"/>
      <c r="BG109" s="10"/>
      <c r="BH109" s="10"/>
      <c r="BI109" s="10"/>
      <c r="BJ109" s="10"/>
      <c r="BK109" s="10"/>
      <c r="BL109" s="10"/>
      <c r="BM109" s="10"/>
      <c r="BN109" s="10"/>
      <c r="BO109" s="10"/>
      <c r="BP109" s="10"/>
      <c r="BQ109" s="10"/>
      <c r="BR109" s="10"/>
      <c r="BS109" s="10"/>
    </row>
    <row r="110" spans="1:71">
      <c r="A110" s="10"/>
      <c r="B110" s="10"/>
      <c r="C110" s="10"/>
      <c r="D110" s="10"/>
      <c r="P110" s="10"/>
      <c r="Q110" s="10"/>
      <c r="R110" s="10"/>
      <c r="S110" s="10"/>
      <c r="T110" s="10"/>
      <c r="U110" s="10"/>
      <c r="V110" s="10"/>
      <c r="W110" s="10"/>
      <c r="X110" s="10"/>
      <c r="Y110" s="10"/>
      <c r="Z110" s="10"/>
      <c r="AA110" s="10"/>
      <c r="AB110" s="10"/>
      <c r="AC110" s="10"/>
      <c r="AD110" s="10"/>
      <c r="AE110" s="10"/>
      <c r="AF110" s="10"/>
      <c r="AG110" s="10"/>
      <c r="AH110" s="10"/>
      <c r="AI110" s="10"/>
      <c r="AJ110" s="10"/>
      <c r="AK110" s="10"/>
      <c r="AL110" s="10"/>
      <c r="AM110" s="10"/>
      <c r="AN110" s="10"/>
      <c r="AO110" s="10"/>
      <c r="AP110" s="10"/>
      <c r="AQ110" s="10"/>
      <c r="AR110" s="10"/>
      <c r="AS110" s="10"/>
      <c r="AT110" s="10"/>
      <c r="AU110" s="10"/>
      <c r="AV110" s="10"/>
      <c r="AW110" s="10"/>
      <c r="AX110" s="10"/>
      <c r="AY110" s="10"/>
      <c r="AZ110" s="10"/>
      <c r="BA110" s="10"/>
      <c r="BB110" s="10"/>
      <c r="BC110" s="10"/>
      <c r="BD110" s="10"/>
      <c r="BE110" s="10"/>
      <c r="BF110" s="10"/>
      <c r="BG110" s="10"/>
      <c r="BH110" s="10"/>
      <c r="BI110" s="10"/>
      <c r="BJ110" s="10"/>
      <c r="BK110" s="10"/>
      <c r="BL110" s="10"/>
      <c r="BM110" s="10"/>
      <c r="BN110" s="10"/>
      <c r="BO110" s="10"/>
      <c r="BP110" s="10"/>
      <c r="BQ110" s="10"/>
      <c r="BR110" s="10"/>
      <c r="BS110" s="10"/>
    </row>
    <row r="111" spans="1:71">
      <c r="A111" s="10"/>
      <c r="B111" s="10"/>
      <c r="C111" s="10"/>
      <c r="D111" s="10"/>
      <c r="P111" s="10"/>
      <c r="Q111" s="10"/>
      <c r="R111" s="10"/>
      <c r="S111" s="10"/>
      <c r="T111" s="10"/>
      <c r="U111" s="10"/>
      <c r="V111" s="10"/>
      <c r="W111" s="10"/>
      <c r="X111" s="10"/>
      <c r="Y111" s="10"/>
      <c r="Z111" s="10"/>
      <c r="AA111" s="10"/>
      <c r="AB111" s="10"/>
      <c r="AC111" s="10"/>
      <c r="AD111" s="10"/>
      <c r="AE111" s="10"/>
      <c r="AF111" s="10"/>
      <c r="AG111" s="10"/>
      <c r="AH111" s="10"/>
      <c r="AI111" s="10"/>
      <c r="AJ111" s="10"/>
      <c r="AK111" s="10"/>
      <c r="AL111" s="10"/>
      <c r="AM111" s="10"/>
      <c r="AN111" s="10"/>
      <c r="AO111" s="10"/>
      <c r="AP111" s="10"/>
      <c r="AQ111" s="10"/>
      <c r="AR111" s="10"/>
      <c r="AS111" s="10"/>
      <c r="AT111" s="10"/>
      <c r="AU111" s="10"/>
      <c r="AV111" s="10"/>
      <c r="AW111" s="10"/>
      <c r="AX111" s="10"/>
      <c r="AY111" s="10"/>
      <c r="AZ111" s="10"/>
      <c r="BA111" s="10"/>
      <c r="BB111" s="10"/>
      <c r="BC111" s="10"/>
      <c r="BD111" s="10"/>
      <c r="BE111" s="10"/>
      <c r="BF111" s="10"/>
      <c r="BG111" s="10"/>
      <c r="BH111" s="10"/>
      <c r="BI111" s="10"/>
      <c r="BJ111" s="10"/>
      <c r="BK111" s="10"/>
      <c r="BL111" s="10"/>
      <c r="BM111" s="10"/>
      <c r="BN111" s="10"/>
      <c r="BO111" s="10"/>
      <c r="BP111" s="10"/>
      <c r="BQ111" s="10"/>
      <c r="BR111" s="10"/>
      <c r="BS111" s="10"/>
    </row>
    <row r="112" spans="1:71">
      <c r="A112" s="10"/>
      <c r="B112" s="10"/>
      <c r="C112" s="10"/>
      <c r="D112" s="10"/>
      <c r="P112" s="10"/>
      <c r="Q112" s="10"/>
      <c r="R112" s="10"/>
      <c r="S112" s="10"/>
      <c r="T112" s="10"/>
      <c r="U112" s="10"/>
      <c r="V112" s="10"/>
      <c r="W112" s="10"/>
      <c r="X112" s="10"/>
      <c r="Y112" s="10"/>
      <c r="Z112" s="10"/>
      <c r="AA112" s="10"/>
      <c r="AB112" s="10"/>
      <c r="AC112" s="10"/>
      <c r="AD112" s="10"/>
      <c r="AE112" s="10"/>
      <c r="AF112" s="10"/>
      <c r="AG112" s="10"/>
      <c r="AH112" s="10"/>
      <c r="AI112" s="10"/>
      <c r="AJ112" s="10"/>
      <c r="AK112" s="10"/>
      <c r="AL112" s="10"/>
      <c r="AM112" s="10"/>
      <c r="AN112" s="10"/>
      <c r="AO112" s="10"/>
      <c r="AP112" s="10"/>
      <c r="AQ112" s="10"/>
      <c r="AR112" s="10"/>
      <c r="AS112" s="10"/>
      <c r="AT112" s="10"/>
      <c r="AU112" s="10"/>
      <c r="AV112" s="10"/>
      <c r="AW112" s="10"/>
      <c r="AX112" s="10"/>
      <c r="AY112" s="10"/>
      <c r="AZ112" s="10"/>
      <c r="BA112" s="10"/>
      <c r="BB112" s="10"/>
      <c r="BC112" s="10"/>
      <c r="BD112" s="10"/>
      <c r="BE112" s="10"/>
      <c r="BF112" s="10"/>
      <c r="BG112" s="10"/>
      <c r="BH112" s="10"/>
      <c r="BI112" s="10"/>
      <c r="BJ112" s="10"/>
      <c r="BK112" s="10"/>
      <c r="BL112" s="10"/>
      <c r="BM112" s="10"/>
      <c r="BN112" s="10"/>
      <c r="BO112" s="10"/>
      <c r="BP112" s="10"/>
      <c r="BQ112" s="10"/>
      <c r="BR112" s="10"/>
      <c r="BS112" s="10"/>
    </row>
    <row r="113" spans="1:71">
      <c r="A113" s="10"/>
      <c r="B113" s="10"/>
      <c r="C113" s="10"/>
      <c r="D113" s="10"/>
      <c r="P113" s="10"/>
      <c r="Q113" s="10"/>
      <c r="R113" s="10"/>
      <c r="S113" s="10"/>
      <c r="T113" s="10"/>
      <c r="U113" s="10"/>
      <c r="V113" s="10"/>
      <c r="W113" s="10"/>
      <c r="X113" s="10"/>
      <c r="Y113" s="10"/>
      <c r="Z113" s="10"/>
      <c r="AA113" s="10"/>
      <c r="AB113" s="10"/>
      <c r="AC113" s="10"/>
      <c r="AD113" s="10"/>
      <c r="AE113" s="10"/>
      <c r="AF113" s="10"/>
      <c r="AG113" s="10"/>
      <c r="AH113" s="10"/>
      <c r="AI113" s="10"/>
      <c r="AJ113" s="10"/>
      <c r="AK113" s="10"/>
      <c r="AL113" s="10"/>
      <c r="AM113" s="10"/>
      <c r="AN113" s="10"/>
      <c r="AO113" s="10"/>
      <c r="AP113" s="10"/>
      <c r="AQ113" s="10"/>
      <c r="AR113" s="10"/>
      <c r="AS113" s="10"/>
      <c r="AT113" s="10"/>
      <c r="AU113" s="10"/>
      <c r="AV113" s="10"/>
      <c r="AW113" s="10"/>
      <c r="AX113" s="10"/>
      <c r="AY113" s="10"/>
      <c r="AZ113" s="10"/>
      <c r="BA113" s="10"/>
      <c r="BB113" s="10"/>
      <c r="BC113" s="10"/>
      <c r="BD113" s="10"/>
      <c r="BE113" s="10"/>
      <c r="BF113" s="10"/>
      <c r="BG113" s="10"/>
      <c r="BH113" s="10"/>
      <c r="BI113" s="10"/>
      <c r="BJ113" s="10"/>
      <c r="BK113" s="10"/>
      <c r="BL113" s="10"/>
      <c r="BM113" s="10"/>
      <c r="BN113" s="10"/>
      <c r="BO113" s="10"/>
      <c r="BP113" s="10"/>
      <c r="BQ113" s="10"/>
      <c r="BR113" s="10"/>
      <c r="BS113" s="10"/>
    </row>
    <row r="114" spans="1:71">
      <c r="A114" s="10"/>
      <c r="B114" s="10"/>
      <c r="C114" s="10"/>
      <c r="D114" s="10"/>
      <c r="P114" s="10"/>
      <c r="Q114" s="10"/>
      <c r="R114" s="10"/>
      <c r="S114" s="10"/>
      <c r="T114" s="10"/>
      <c r="U114" s="10"/>
      <c r="V114" s="10"/>
      <c r="W114" s="10"/>
      <c r="X114" s="10"/>
      <c r="Y114" s="10"/>
      <c r="Z114" s="10"/>
      <c r="AA114" s="10"/>
      <c r="AB114" s="10"/>
      <c r="AC114" s="10"/>
      <c r="AD114" s="10"/>
      <c r="AE114" s="10"/>
      <c r="AF114" s="10"/>
      <c r="AG114" s="10"/>
      <c r="AH114" s="10"/>
      <c r="AI114" s="10"/>
      <c r="AJ114" s="10"/>
      <c r="AK114" s="10"/>
      <c r="AL114" s="10"/>
      <c r="AM114" s="10"/>
      <c r="AN114" s="10"/>
      <c r="AO114" s="10"/>
      <c r="AP114" s="10"/>
      <c r="AQ114" s="10"/>
      <c r="AR114" s="10"/>
      <c r="AS114" s="10"/>
      <c r="AT114" s="10"/>
      <c r="AU114" s="10"/>
      <c r="AV114" s="10"/>
      <c r="AW114" s="10"/>
      <c r="AX114" s="10"/>
      <c r="AY114" s="10"/>
      <c r="AZ114" s="10"/>
      <c r="BA114" s="10"/>
      <c r="BB114" s="10"/>
      <c r="BC114" s="10"/>
      <c r="BD114" s="10"/>
      <c r="BE114" s="10"/>
      <c r="BF114" s="10"/>
      <c r="BG114" s="10"/>
      <c r="BH114" s="10"/>
      <c r="BI114" s="10"/>
      <c r="BJ114" s="10"/>
      <c r="BK114" s="10"/>
      <c r="BL114" s="10"/>
      <c r="BM114" s="10"/>
      <c r="BN114" s="10"/>
      <c r="BO114" s="10"/>
      <c r="BP114" s="10"/>
      <c r="BQ114" s="10"/>
      <c r="BR114" s="10"/>
      <c r="BS114" s="10"/>
    </row>
    <row r="115" spans="1:71">
      <c r="A115" s="10"/>
      <c r="B115" s="10"/>
      <c r="C115" s="10"/>
      <c r="D115" s="10"/>
      <c r="P115" s="10"/>
      <c r="Q115" s="10"/>
      <c r="R115" s="10"/>
      <c r="S115" s="10"/>
      <c r="T115" s="10"/>
      <c r="U115" s="10"/>
      <c r="V115" s="10"/>
      <c r="W115" s="10"/>
      <c r="X115" s="10"/>
      <c r="Y115" s="10"/>
      <c r="Z115" s="10"/>
      <c r="AA115" s="10"/>
      <c r="AB115" s="10"/>
      <c r="AC115" s="10"/>
      <c r="AD115" s="10"/>
      <c r="AE115" s="10"/>
      <c r="AF115" s="10"/>
      <c r="AG115" s="10"/>
      <c r="AH115" s="10"/>
      <c r="AI115" s="10"/>
      <c r="AJ115" s="10"/>
      <c r="AK115" s="10"/>
      <c r="AL115" s="10"/>
      <c r="AM115" s="10"/>
      <c r="AN115" s="10"/>
      <c r="AO115" s="10"/>
      <c r="AP115" s="10"/>
      <c r="AQ115" s="10"/>
      <c r="AR115" s="10"/>
      <c r="AS115" s="10"/>
      <c r="AT115" s="10"/>
      <c r="AU115" s="10"/>
      <c r="AV115" s="10"/>
      <c r="AW115" s="10"/>
      <c r="AX115" s="10"/>
      <c r="AY115" s="10"/>
      <c r="AZ115" s="10"/>
      <c r="BA115" s="10"/>
      <c r="BB115" s="10"/>
      <c r="BC115" s="10"/>
      <c r="BD115" s="10"/>
      <c r="BE115" s="10"/>
      <c r="BF115" s="10"/>
      <c r="BG115" s="10"/>
      <c r="BH115" s="10"/>
      <c r="BI115" s="10"/>
      <c r="BJ115" s="10"/>
      <c r="BK115" s="10"/>
      <c r="BL115" s="10"/>
      <c r="BM115" s="10"/>
      <c r="BN115" s="10"/>
      <c r="BO115" s="10"/>
      <c r="BP115" s="10"/>
      <c r="BQ115" s="10"/>
      <c r="BR115" s="10"/>
      <c r="BS115" s="10"/>
    </row>
    <row r="116" spans="1:71">
      <c r="A116" s="10"/>
      <c r="B116" s="10"/>
      <c r="C116" s="10"/>
      <c r="D116" s="10"/>
      <c r="P116" s="10"/>
      <c r="Q116" s="10"/>
      <c r="R116" s="10"/>
      <c r="S116" s="10"/>
      <c r="T116" s="10"/>
      <c r="U116" s="10"/>
      <c r="V116" s="10"/>
      <c r="W116" s="10"/>
      <c r="X116" s="10"/>
      <c r="Y116" s="10"/>
      <c r="Z116" s="10"/>
      <c r="AA116" s="10"/>
      <c r="AB116" s="10"/>
      <c r="AC116" s="10"/>
      <c r="AD116" s="10"/>
      <c r="AE116" s="10"/>
      <c r="AF116" s="10"/>
      <c r="AG116" s="10"/>
      <c r="AH116" s="10"/>
      <c r="AI116" s="10"/>
      <c r="AJ116" s="10"/>
      <c r="AK116" s="10"/>
      <c r="AL116" s="10"/>
      <c r="AM116" s="10"/>
      <c r="AN116" s="10"/>
      <c r="AO116" s="10"/>
      <c r="AP116" s="10"/>
      <c r="AQ116" s="10"/>
      <c r="AR116" s="10"/>
      <c r="AS116" s="10"/>
      <c r="AT116" s="10"/>
      <c r="AU116" s="10"/>
      <c r="AV116" s="10"/>
      <c r="AW116" s="10"/>
      <c r="AX116" s="10"/>
      <c r="AY116" s="10"/>
      <c r="AZ116" s="10"/>
      <c r="BA116" s="10"/>
      <c r="BB116" s="10"/>
      <c r="BC116" s="10"/>
      <c r="BD116" s="10"/>
      <c r="BE116" s="10"/>
      <c r="BF116" s="10"/>
      <c r="BG116" s="10"/>
      <c r="BH116" s="10"/>
      <c r="BI116" s="10"/>
      <c r="BJ116" s="10"/>
      <c r="BK116" s="10"/>
      <c r="BL116" s="10"/>
      <c r="BM116" s="10"/>
      <c r="BN116" s="10"/>
      <c r="BO116" s="10"/>
      <c r="BP116" s="10"/>
      <c r="BQ116" s="10"/>
      <c r="BR116" s="10"/>
      <c r="BS116" s="10"/>
    </row>
    <row r="117" spans="1:71">
      <c r="A117" s="10"/>
      <c r="B117" s="10"/>
      <c r="C117" s="10"/>
      <c r="D117" s="10"/>
      <c r="P117" s="10"/>
      <c r="Q117" s="10"/>
      <c r="R117" s="10"/>
      <c r="S117" s="10"/>
      <c r="T117" s="10"/>
      <c r="U117" s="10"/>
      <c r="V117" s="10"/>
      <c r="W117" s="10"/>
      <c r="X117" s="10"/>
      <c r="Y117" s="10"/>
      <c r="Z117" s="10"/>
      <c r="AA117" s="10"/>
      <c r="AB117" s="10"/>
      <c r="AC117" s="10"/>
      <c r="AD117" s="10"/>
      <c r="AE117" s="10"/>
      <c r="AF117" s="10"/>
      <c r="AG117" s="10"/>
      <c r="AH117" s="10"/>
      <c r="AI117" s="10"/>
      <c r="AJ117" s="10"/>
      <c r="AK117" s="10"/>
      <c r="AL117" s="10"/>
      <c r="AM117" s="10"/>
      <c r="AN117" s="10"/>
      <c r="AO117" s="10"/>
      <c r="AP117" s="10"/>
      <c r="AQ117" s="10"/>
      <c r="AR117" s="10"/>
      <c r="AS117" s="10"/>
      <c r="AT117" s="10"/>
      <c r="AU117" s="10"/>
      <c r="AV117" s="10"/>
      <c r="AW117" s="10"/>
      <c r="AX117" s="10"/>
      <c r="AY117" s="10"/>
      <c r="AZ117" s="10"/>
      <c r="BA117" s="10"/>
      <c r="BB117" s="10"/>
      <c r="BC117" s="10"/>
      <c r="BD117" s="10"/>
      <c r="BE117" s="10"/>
      <c r="BF117" s="10"/>
      <c r="BG117" s="10"/>
      <c r="BH117" s="10"/>
      <c r="BI117" s="10"/>
      <c r="BJ117" s="10"/>
      <c r="BK117" s="10"/>
      <c r="BL117" s="10"/>
      <c r="BM117" s="10"/>
      <c r="BN117" s="10"/>
      <c r="BO117" s="10"/>
      <c r="BP117" s="10"/>
      <c r="BQ117" s="10"/>
      <c r="BR117" s="10"/>
      <c r="BS117" s="10"/>
    </row>
    <row r="118" spans="1:71">
      <c r="A118" s="10"/>
      <c r="B118" s="10"/>
      <c r="C118" s="10"/>
      <c r="D118" s="10"/>
      <c r="P118" s="10"/>
      <c r="Q118" s="10"/>
      <c r="R118" s="10"/>
      <c r="S118" s="10"/>
      <c r="T118" s="10"/>
      <c r="U118" s="10"/>
      <c r="V118" s="10"/>
      <c r="W118" s="10"/>
      <c r="X118" s="10"/>
      <c r="Y118" s="10"/>
      <c r="Z118" s="10"/>
      <c r="AA118" s="10"/>
      <c r="AB118" s="10"/>
      <c r="AC118" s="10"/>
      <c r="AD118" s="10"/>
      <c r="AE118" s="10"/>
      <c r="AF118" s="10"/>
      <c r="AG118" s="10"/>
      <c r="AH118" s="10"/>
      <c r="AI118" s="10"/>
      <c r="AJ118" s="10"/>
      <c r="AK118" s="10"/>
      <c r="AL118" s="10"/>
      <c r="AM118" s="10"/>
      <c r="AN118" s="10"/>
      <c r="AO118" s="10"/>
      <c r="AP118" s="10"/>
      <c r="AQ118" s="10"/>
      <c r="AR118" s="10"/>
      <c r="AS118" s="10"/>
      <c r="AT118" s="10"/>
      <c r="AU118" s="10"/>
      <c r="AV118" s="10"/>
      <c r="AW118" s="10"/>
      <c r="AX118" s="10"/>
      <c r="AY118" s="10"/>
      <c r="AZ118" s="10"/>
      <c r="BA118" s="10"/>
      <c r="BB118" s="10"/>
      <c r="BC118" s="10"/>
      <c r="BD118" s="10"/>
      <c r="BE118" s="10"/>
      <c r="BF118" s="10"/>
      <c r="BG118" s="10"/>
      <c r="BH118" s="10"/>
      <c r="BI118" s="10"/>
      <c r="BJ118" s="10"/>
      <c r="BK118" s="10"/>
      <c r="BL118" s="10"/>
      <c r="BM118" s="10"/>
      <c r="BN118" s="10"/>
      <c r="BO118" s="10"/>
      <c r="BP118" s="10"/>
      <c r="BQ118" s="10"/>
      <c r="BR118" s="10"/>
      <c r="BS118" s="10"/>
    </row>
    <row r="119" spans="1:71">
      <c r="A119" s="10"/>
      <c r="B119" s="10"/>
      <c r="C119" s="10"/>
      <c r="D119" s="10"/>
      <c r="P119" s="10"/>
      <c r="Q119" s="10"/>
      <c r="R119" s="10"/>
      <c r="S119" s="10"/>
      <c r="T119" s="10"/>
      <c r="U119" s="10"/>
      <c r="V119" s="10"/>
      <c r="W119" s="10"/>
      <c r="X119" s="10"/>
      <c r="Y119" s="10"/>
      <c r="Z119" s="10"/>
      <c r="AA119" s="10"/>
      <c r="AB119" s="10"/>
      <c r="AC119" s="10"/>
      <c r="AD119" s="10"/>
      <c r="AE119" s="10"/>
      <c r="AF119" s="10"/>
      <c r="AG119" s="10"/>
      <c r="AH119" s="10"/>
      <c r="AI119" s="10"/>
      <c r="AJ119" s="10"/>
      <c r="AK119" s="10"/>
      <c r="AL119" s="10"/>
      <c r="AM119" s="10"/>
      <c r="AN119" s="10"/>
      <c r="AO119" s="10"/>
      <c r="AP119" s="10"/>
      <c r="AQ119" s="10"/>
      <c r="AR119" s="10"/>
      <c r="AS119" s="10"/>
      <c r="AT119" s="10"/>
      <c r="AU119" s="10"/>
      <c r="AV119" s="10"/>
      <c r="AW119" s="10"/>
      <c r="AX119" s="10"/>
      <c r="AY119" s="10"/>
      <c r="AZ119" s="10"/>
      <c r="BA119" s="10"/>
      <c r="BB119" s="10"/>
      <c r="BC119" s="10"/>
      <c r="BD119" s="10"/>
      <c r="BE119" s="10"/>
      <c r="BF119" s="10"/>
      <c r="BG119" s="10"/>
      <c r="BH119" s="10"/>
      <c r="BI119" s="10"/>
      <c r="BJ119" s="10"/>
      <c r="BK119" s="10"/>
      <c r="BL119" s="10"/>
      <c r="BM119" s="10"/>
      <c r="BN119" s="10"/>
      <c r="BO119" s="10"/>
      <c r="BP119" s="10"/>
      <c r="BQ119" s="10"/>
      <c r="BR119" s="10"/>
      <c r="BS119" s="10"/>
    </row>
    <row r="120" spans="1:71">
      <c r="A120" s="10"/>
      <c r="B120" s="10"/>
      <c r="C120" s="10"/>
      <c r="D120" s="10"/>
      <c r="P120" s="10"/>
      <c r="Q120" s="10"/>
      <c r="R120" s="10"/>
      <c r="S120" s="10"/>
      <c r="T120" s="10"/>
      <c r="U120" s="10"/>
      <c r="V120" s="10"/>
      <c r="W120" s="10"/>
      <c r="X120" s="10"/>
      <c r="Y120" s="10"/>
      <c r="Z120" s="10"/>
      <c r="AA120" s="10"/>
      <c r="AB120" s="10"/>
      <c r="AC120" s="10"/>
      <c r="AD120" s="10"/>
      <c r="AE120" s="10"/>
      <c r="AF120" s="10"/>
      <c r="AG120" s="10"/>
      <c r="AH120" s="10"/>
      <c r="AI120" s="10"/>
      <c r="AJ120" s="10"/>
      <c r="AK120" s="10"/>
      <c r="AL120" s="10"/>
      <c r="AM120" s="10"/>
      <c r="AN120" s="10"/>
      <c r="AO120" s="10"/>
      <c r="AP120" s="10"/>
      <c r="AQ120" s="10"/>
      <c r="AR120" s="10"/>
      <c r="AS120" s="10"/>
      <c r="AT120" s="10"/>
      <c r="AU120" s="10"/>
      <c r="AV120" s="10"/>
      <c r="AW120" s="10"/>
      <c r="AX120" s="10"/>
      <c r="AY120" s="10"/>
      <c r="AZ120" s="10"/>
      <c r="BA120" s="10"/>
      <c r="BB120" s="10"/>
      <c r="BC120" s="10"/>
      <c r="BD120" s="10"/>
      <c r="BE120" s="10"/>
      <c r="BF120" s="10"/>
      <c r="BG120" s="10"/>
      <c r="BH120" s="10"/>
      <c r="BI120" s="10"/>
      <c r="BJ120" s="10"/>
      <c r="BK120" s="10"/>
      <c r="BL120" s="10"/>
      <c r="BM120" s="10"/>
      <c r="BN120" s="10"/>
      <c r="BO120" s="10"/>
      <c r="BP120" s="10"/>
      <c r="BQ120" s="10"/>
      <c r="BR120" s="10"/>
      <c r="BS120" s="10"/>
    </row>
    <row r="121" spans="1:71">
      <c r="A121" s="10"/>
      <c r="B121" s="10"/>
      <c r="C121" s="10"/>
      <c r="D121" s="10"/>
      <c r="P121" s="10"/>
      <c r="Q121" s="10"/>
      <c r="R121" s="10"/>
      <c r="S121" s="10"/>
      <c r="T121" s="10"/>
      <c r="U121" s="10"/>
      <c r="V121" s="10"/>
      <c r="W121" s="10"/>
      <c r="X121" s="10"/>
      <c r="Y121" s="10"/>
      <c r="Z121" s="10"/>
      <c r="AA121" s="10"/>
      <c r="AB121" s="10"/>
      <c r="AC121" s="10"/>
      <c r="AD121" s="10"/>
      <c r="AE121" s="10"/>
      <c r="AF121" s="10"/>
      <c r="AG121" s="10"/>
      <c r="AH121" s="10"/>
      <c r="AI121" s="10"/>
      <c r="AJ121" s="10"/>
      <c r="AK121" s="10"/>
      <c r="AL121" s="10"/>
      <c r="AM121" s="10"/>
      <c r="AN121" s="10"/>
      <c r="AO121" s="10"/>
      <c r="AP121" s="10"/>
      <c r="AQ121" s="10"/>
      <c r="AR121" s="10"/>
      <c r="AS121" s="10"/>
      <c r="AT121" s="10"/>
      <c r="AU121" s="10"/>
      <c r="AV121" s="10"/>
      <c r="AW121" s="10"/>
      <c r="AX121" s="10"/>
      <c r="AY121" s="10"/>
      <c r="AZ121" s="10"/>
      <c r="BA121" s="10"/>
      <c r="BB121" s="10"/>
      <c r="BC121" s="10"/>
      <c r="BD121" s="10"/>
      <c r="BE121" s="10"/>
      <c r="BF121" s="10"/>
      <c r="BG121" s="10"/>
      <c r="BH121" s="10"/>
      <c r="BI121" s="10"/>
      <c r="BJ121" s="10"/>
      <c r="BK121" s="10"/>
      <c r="BL121" s="10"/>
      <c r="BM121" s="10"/>
      <c r="BN121" s="10"/>
      <c r="BO121" s="10"/>
      <c r="BP121" s="10"/>
      <c r="BQ121" s="10"/>
      <c r="BR121" s="10"/>
      <c r="BS121" s="10"/>
    </row>
    <row r="122" spans="1:71">
      <c r="A122" s="10"/>
      <c r="B122" s="10"/>
      <c r="C122" s="10"/>
      <c r="D122" s="10"/>
      <c r="P122" s="10"/>
      <c r="Q122" s="10"/>
      <c r="R122" s="10"/>
      <c r="S122" s="10"/>
      <c r="T122" s="10"/>
      <c r="U122" s="10"/>
      <c r="V122" s="10"/>
      <c r="W122" s="10"/>
      <c r="X122" s="10"/>
      <c r="Y122" s="10"/>
      <c r="Z122" s="10"/>
      <c r="AA122" s="10"/>
      <c r="AB122" s="10"/>
      <c r="AC122" s="10"/>
      <c r="AD122" s="10"/>
      <c r="AE122" s="10"/>
      <c r="AF122" s="10"/>
      <c r="AG122" s="10"/>
      <c r="AH122" s="10"/>
      <c r="AI122" s="10"/>
      <c r="AJ122" s="10"/>
      <c r="AK122" s="10"/>
      <c r="AL122" s="10"/>
      <c r="AM122" s="10"/>
      <c r="AN122" s="10"/>
      <c r="AO122" s="10"/>
      <c r="AP122" s="10"/>
      <c r="AQ122" s="10"/>
      <c r="AR122" s="10"/>
      <c r="AS122" s="10"/>
      <c r="AT122" s="10"/>
      <c r="AU122" s="10"/>
      <c r="AV122" s="10"/>
      <c r="AW122" s="10"/>
      <c r="AX122" s="10"/>
      <c r="AY122" s="10"/>
      <c r="AZ122" s="10"/>
      <c r="BA122" s="10"/>
      <c r="BB122" s="10"/>
      <c r="BC122" s="10"/>
      <c r="BD122" s="10"/>
      <c r="BE122" s="10"/>
      <c r="BF122" s="10"/>
      <c r="BG122" s="10"/>
      <c r="BH122" s="10"/>
      <c r="BI122" s="10"/>
      <c r="BJ122" s="10"/>
      <c r="BK122" s="10"/>
      <c r="BL122" s="10"/>
      <c r="BM122" s="10"/>
      <c r="BN122" s="10"/>
      <c r="BO122" s="10"/>
      <c r="BP122" s="10"/>
      <c r="BQ122" s="10"/>
      <c r="BR122" s="10"/>
      <c r="BS122" s="10"/>
    </row>
    <row r="123" spans="1:71">
      <c r="A123" s="10"/>
      <c r="B123" s="10"/>
      <c r="C123" s="10"/>
      <c r="D123" s="10"/>
      <c r="P123" s="10"/>
      <c r="Q123" s="10"/>
      <c r="R123" s="10"/>
      <c r="S123" s="10"/>
      <c r="T123" s="10"/>
      <c r="U123" s="10"/>
      <c r="V123" s="10"/>
      <c r="W123" s="10"/>
      <c r="X123" s="10"/>
      <c r="Y123" s="10"/>
      <c r="Z123" s="10"/>
      <c r="AA123" s="10"/>
      <c r="AB123" s="10"/>
      <c r="AC123" s="10"/>
      <c r="AD123" s="10"/>
      <c r="AE123" s="10"/>
      <c r="AF123" s="10"/>
      <c r="AG123" s="10"/>
      <c r="AH123" s="10"/>
      <c r="AI123" s="10"/>
      <c r="AJ123" s="10"/>
      <c r="AK123" s="10"/>
      <c r="AL123" s="10"/>
      <c r="AM123" s="10"/>
      <c r="AN123" s="10"/>
      <c r="AO123" s="10"/>
      <c r="AP123" s="10"/>
      <c r="AQ123" s="10"/>
      <c r="AR123" s="10"/>
      <c r="AS123" s="10"/>
      <c r="AT123" s="10"/>
      <c r="AU123" s="10"/>
      <c r="AV123" s="10"/>
      <c r="AW123" s="10"/>
      <c r="AX123" s="10"/>
      <c r="AY123" s="10"/>
      <c r="AZ123" s="10"/>
      <c r="BA123" s="10"/>
      <c r="BB123" s="10"/>
      <c r="BC123" s="10"/>
      <c r="BD123" s="10"/>
      <c r="BE123" s="10"/>
      <c r="BF123" s="10"/>
      <c r="BG123" s="10"/>
      <c r="BH123" s="10"/>
      <c r="BI123" s="10"/>
      <c r="BJ123" s="10"/>
      <c r="BK123" s="10"/>
      <c r="BL123" s="10"/>
      <c r="BM123" s="10"/>
      <c r="BN123" s="10"/>
      <c r="BO123" s="10"/>
      <c r="BP123" s="10"/>
      <c r="BQ123" s="10"/>
      <c r="BR123" s="10"/>
      <c r="BS123" s="10"/>
    </row>
    <row r="124" spans="1:71">
      <c r="A124" s="10"/>
      <c r="B124" s="10"/>
      <c r="C124" s="10"/>
      <c r="D124" s="10"/>
      <c r="P124" s="10"/>
      <c r="Q124" s="10"/>
      <c r="R124" s="10"/>
      <c r="S124" s="10"/>
      <c r="T124" s="10"/>
      <c r="U124" s="10"/>
      <c r="V124" s="10"/>
      <c r="W124" s="10"/>
      <c r="X124" s="10"/>
      <c r="Y124" s="10"/>
      <c r="Z124" s="10"/>
      <c r="AA124" s="10"/>
      <c r="AB124" s="10"/>
      <c r="AC124" s="10"/>
      <c r="AD124" s="10"/>
      <c r="AE124" s="10"/>
      <c r="AF124" s="10"/>
      <c r="AG124" s="10"/>
      <c r="AH124" s="10"/>
      <c r="AI124" s="10"/>
      <c r="AJ124" s="10"/>
      <c r="AK124" s="10"/>
      <c r="AL124" s="10"/>
      <c r="AM124" s="10"/>
      <c r="AN124" s="10"/>
      <c r="AO124" s="10"/>
      <c r="AP124" s="10"/>
      <c r="AQ124" s="10"/>
      <c r="AR124" s="10"/>
      <c r="AS124" s="10"/>
      <c r="AT124" s="10"/>
      <c r="AU124" s="10"/>
      <c r="AV124" s="10"/>
      <c r="AW124" s="10"/>
      <c r="AX124" s="10"/>
      <c r="AY124" s="10"/>
      <c r="AZ124" s="10"/>
      <c r="BA124" s="10"/>
      <c r="BB124" s="10"/>
      <c r="BC124" s="10"/>
      <c r="BD124" s="10"/>
      <c r="BE124" s="10"/>
      <c r="BF124" s="10"/>
      <c r="BG124" s="10"/>
      <c r="BH124" s="10"/>
      <c r="BI124" s="10"/>
      <c r="BJ124" s="10"/>
      <c r="BK124" s="10"/>
      <c r="BL124" s="10"/>
      <c r="BM124" s="10"/>
      <c r="BN124" s="10"/>
      <c r="BO124" s="10"/>
      <c r="BP124" s="10"/>
      <c r="BQ124" s="10"/>
      <c r="BR124" s="10"/>
      <c r="BS124" s="10"/>
    </row>
    <row r="125" spans="1:71">
      <c r="A125" s="10"/>
      <c r="B125" s="10"/>
      <c r="C125" s="10"/>
      <c r="D125" s="10"/>
      <c r="P125" s="10"/>
      <c r="Q125" s="10"/>
      <c r="R125" s="10"/>
      <c r="S125" s="10"/>
      <c r="T125" s="10"/>
      <c r="U125" s="10"/>
      <c r="V125" s="10"/>
      <c r="W125" s="10"/>
      <c r="X125" s="10"/>
      <c r="Y125" s="10"/>
      <c r="Z125" s="10"/>
      <c r="AA125" s="10"/>
      <c r="AB125" s="10"/>
      <c r="AC125" s="10"/>
      <c r="AD125" s="10"/>
      <c r="AE125" s="10"/>
      <c r="AF125" s="10"/>
      <c r="AG125" s="10"/>
      <c r="AH125" s="10"/>
      <c r="AI125" s="10"/>
      <c r="AJ125" s="10"/>
      <c r="AK125" s="10"/>
      <c r="AL125" s="10"/>
      <c r="AM125" s="10"/>
      <c r="AN125" s="10"/>
      <c r="AO125" s="10"/>
      <c r="AP125" s="10"/>
      <c r="AQ125" s="10"/>
      <c r="AR125" s="10"/>
      <c r="AS125" s="10"/>
      <c r="AT125" s="10"/>
      <c r="AU125" s="10"/>
      <c r="AV125" s="10"/>
      <c r="AW125" s="10"/>
      <c r="AX125" s="10"/>
      <c r="AY125" s="10"/>
      <c r="AZ125" s="10"/>
      <c r="BA125" s="10"/>
      <c r="BB125" s="10"/>
      <c r="BC125" s="10"/>
      <c r="BD125" s="10"/>
      <c r="BE125" s="10"/>
      <c r="BF125" s="10"/>
      <c r="BG125" s="10"/>
      <c r="BH125" s="10"/>
      <c r="BI125" s="10"/>
      <c r="BJ125" s="10"/>
      <c r="BK125" s="10"/>
      <c r="BL125" s="10"/>
      <c r="BM125" s="10"/>
      <c r="BN125" s="10"/>
      <c r="BO125" s="10"/>
      <c r="BP125" s="10"/>
      <c r="BQ125" s="10"/>
      <c r="BR125" s="10"/>
      <c r="BS125" s="10"/>
    </row>
    <row r="126" spans="1:71">
      <c r="A126" s="10"/>
      <c r="B126" s="10"/>
      <c r="C126" s="10"/>
      <c r="D126" s="10"/>
      <c r="P126" s="10"/>
      <c r="Q126" s="10"/>
      <c r="R126" s="10"/>
      <c r="S126" s="10"/>
      <c r="T126" s="10"/>
      <c r="U126" s="10"/>
      <c r="V126" s="10"/>
      <c r="W126" s="10"/>
      <c r="X126" s="10"/>
      <c r="Y126" s="10"/>
      <c r="Z126" s="10"/>
      <c r="AA126" s="10"/>
      <c r="AB126" s="10"/>
      <c r="AC126" s="10"/>
      <c r="AD126" s="10"/>
      <c r="AE126" s="10"/>
      <c r="AF126" s="10"/>
      <c r="AG126" s="10"/>
      <c r="AH126" s="10"/>
      <c r="AI126" s="10"/>
      <c r="AJ126" s="10"/>
      <c r="AK126" s="10"/>
      <c r="AL126" s="10"/>
      <c r="AM126" s="10"/>
      <c r="AN126" s="10"/>
      <c r="AO126" s="10"/>
      <c r="AP126" s="10"/>
      <c r="AQ126" s="10"/>
      <c r="AR126" s="10"/>
      <c r="AS126" s="10"/>
      <c r="AT126" s="10"/>
      <c r="AU126" s="10"/>
      <c r="AV126" s="10"/>
      <c r="AW126" s="10"/>
      <c r="AX126" s="10"/>
      <c r="AY126" s="10"/>
      <c r="AZ126" s="10"/>
      <c r="BA126" s="10"/>
      <c r="BB126" s="10"/>
      <c r="BC126" s="10"/>
      <c r="BD126" s="10"/>
      <c r="BE126" s="10"/>
      <c r="BF126" s="10"/>
      <c r="BG126" s="10"/>
      <c r="BH126" s="10"/>
      <c r="BI126" s="10"/>
      <c r="BJ126" s="10"/>
      <c r="BK126" s="10"/>
      <c r="BL126" s="10"/>
      <c r="BM126" s="10"/>
      <c r="BN126" s="10"/>
      <c r="BO126" s="10"/>
      <c r="BP126" s="10"/>
      <c r="BQ126" s="10"/>
      <c r="BR126" s="10"/>
      <c r="BS126" s="10"/>
    </row>
    <row r="127" spans="1:71">
      <c r="A127" s="10"/>
      <c r="B127" s="10"/>
      <c r="C127" s="10"/>
      <c r="D127" s="10"/>
      <c r="P127" s="10"/>
      <c r="Q127" s="10"/>
      <c r="R127" s="10"/>
      <c r="S127" s="10"/>
      <c r="T127" s="10"/>
      <c r="U127" s="10"/>
      <c r="V127" s="10"/>
      <c r="W127" s="10"/>
      <c r="X127" s="10"/>
      <c r="Y127" s="10"/>
      <c r="Z127" s="10"/>
      <c r="AA127" s="10"/>
      <c r="AB127" s="10"/>
      <c r="AC127" s="10"/>
      <c r="AD127" s="10"/>
      <c r="AE127" s="10"/>
      <c r="AF127" s="10"/>
      <c r="AG127" s="10"/>
      <c r="AH127" s="10"/>
      <c r="AI127" s="10"/>
      <c r="AJ127" s="10"/>
      <c r="AK127" s="10"/>
      <c r="AL127" s="10"/>
      <c r="AM127" s="10"/>
      <c r="AN127" s="10"/>
      <c r="AO127" s="10"/>
      <c r="AP127" s="10"/>
      <c r="AQ127" s="10"/>
      <c r="AR127" s="10"/>
      <c r="AS127" s="10"/>
      <c r="AT127" s="10"/>
      <c r="AU127" s="10"/>
      <c r="AV127" s="10"/>
      <c r="AW127" s="10"/>
      <c r="AX127" s="10"/>
      <c r="AY127" s="10"/>
      <c r="AZ127" s="10"/>
      <c r="BA127" s="10"/>
      <c r="BB127" s="10"/>
      <c r="BC127" s="10"/>
      <c r="BD127" s="10"/>
      <c r="BE127" s="10"/>
      <c r="BF127" s="10"/>
      <c r="BG127" s="10"/>
      <c r="BH127" s="10"/>
      <c r="BI127" s="10"/>
      <c r="BJ127" s="10"/>
      <c r="BK127" s="10"/>
      <c r="BL127" s="10"/>
      <c r="BM127" s="10"/>
      <c r="BN127" s="10"/>
      <c r="BO127" s="10"/>
      <c r="BP127" s="10"/>
      <c r="BQ127" s="10"/>
      <c r="BR127" s="10"/>
      <c r="BS127" s="10"/>
    </row>
    <row r="128" spans="1:71">
      <c r="A128" s="10"/>
      <c r="B128" s="10"/>
      <c r="C128" s="10"/>
      <c r="D128" s="10"/>
      <c r="P128" s="10"/>
      <c r="Q128" s="10"/>
      <c r="R128" s="10"/>
      <c r="S128" s="10"/>
      <c r="T128" s="10"/>
      <c r="U128" s="10"/>
      <c r="V128" s="10"/>
      <c r="W128" s="10"/>
      <c r="X128" s="10"/>
      <c r="Y128" s="10"/>
      <c r="Z128" s="10"/>
      <c r="AA128" s="10"/>
      <c r="AB128" s="10"/>
      <c r="AC128" s="10"/>
      <c r="AD128" s="10"/>
      <c r="AE128" s="10"/>
      <c r="AF128" s="10"/>
      <c r="AG128" s="10"/>
      <c r="AH128" s="10"/>
      <c r="AI128" s="10"/>
      <c r="AJ128" s="10"/>
      <c r="AK128" s="10"/>
      <c r="AL128" s="10"/>
      <c r="AM128" s="10"/>
      <c r="AN128" s="10"/>
      <c r="AO128" s="10"/>
      <c r="AP128" s="10"/>
      <c r="AQ128" s="10"/>
      <c r="AR128" s="10"/>
      <c r="AS128" s="10"/>
      <c r="AT128" s="10"/>
      <c r="AU128" s="10"/>
      <c r="AV128" s="10"/>
      <c r="AW128" s="10"/>
      <c r="AX128" s="10"/>
      <c r="AY128" s="10"/>
      <c r="AZ128" s="10"/>
      <c r="BA128" s="10"/>
      <c r="BB128" s="10"/>
      <c r="BC128" s="10"/>
      <c r="BD128" s="10"/>
      <c r="BE128" s="10"/>
      <c r="BF128" s="10"/>
      <c r="BG128" s="10"/>
      <c r="BH128" s="10"/>
      <c r="BI128" s="10"/>
      <c r="BJ128" s="10"/>
      <c r="BK128" s="10"/>
      <c r="BL128" s="10"/>
      <c r="BM128" s="10"/>
      <c r="BN128" s="10"/>
      <c r="BO128" s="10"/>
      <c r="BP128" s="10"/>
      <c r="BQ128" s="10"/>
      <c r="BR128" s="10"/>
      <c r="BS128" s="10"/>
    </row>
    <row r="129" spans="16:71">
      <c r="P129" s="10"/>
      <c r="Q129" s="10"/>
      <c r="R129" s="10"/>
      <c r="S129" s="10"/>
      <c r="T129" s="10"/>
      <c r="U129" s="10"/>
      <c r="V129" s="10"/>
      <c r="W129" s="10"/>
      <c r="X129" s="10"/>
      <c r="Y129" s="10"/>
      <c r="Z129" s="10"/>
      <c r="AA129" s="10"/>
      <c r="AB129" s="10"/>
      <c r="AC129" s="10"/>
      <c r="AD129" s="10"/>
      <c r="AE129" s="10"/>
      <c r="AF129" s="10"/>
      <c r="AG129" s="10"/>
      <c r="AH129" s="10"/>
      <c r="AI129" s="10"/>
      <c r="AJ129" s="10"/>
      <c r="AK129" s="10"/>
      <c r="AL129" s="10"/>
      <c r="AM129" s="10"/>
      <c r="AN129" s="10"/>
      <c r="AO129" s="10"/>
      <c r="AP129" s="10"/>
      <c r="AQ129" s="10"/>
      <c r="AR129" s="10"/>
      <c r="AS129" s="10"/>
      <c r="AT129" s="10"/>
      <c r="AU129" s="10"/>
      <c r="AV129" s="10"/>
      <c r="AW129" s="10"/>
      <c r="AX129" s="10"/>
      <c r="AY129" s="10"/>
      <c r="AZ129" s="10"/>
      <c r="BA129" s="10"/>
      <c r="BB129" s="10"/>
      <c r="BC129" s="10"/>
      <c r="BD129" s="10"/>
      <c r="BE129" s="10"/>
      <c r="BF129" s="10"/>
      <c r="BG129" s="10"/>
      <c r="BH129" s="10"/>
      <c r="BI129" s="10"/>
      <c r="BJ129" s="10"/>
      <c r="BK129" s="10"/>
      <c r="BL129" s="10"/>
      <c r="BM129" s="10"/>
      <c r="BN129" s="10"/>
      <c r="BO129" s="10"/>
      <c r="BP129" s="10"/>
      <c r="BQ129" s="10"/>
      <c r="BR129" s="10"/>
      <c r="BS129" s="10"/>
    </row>
    <row r="130" spans="16:71">
      <c r="P130" s="10"/>
      <c r="Q130" s="10"/>
      <c r="R130" s="10"/>
      <c r="S130" s="10"/>
      <c r="T130" s="10"/>
      <c r="U130" s="10"/>
      <c r="V130" s="10"/>
      <c r="W130" s="10"/>
      <c r="X130" s="10"/>
      <c r="Y130" s="10"/>
      <c r="Z130" s="10"/>
      <c r="AA130" s="10"/>
      <c r="AB130" s="10"/>
      <c r="AC130" s="10"/>
      <c r="AD130" s="10"/>
      <c r="AE130" s="10"/>
      <c r="AF130" s="10"/>
      <c r="AG130" s="10"/>
      <c r="AH130" s="10"/>
      <c r="AI130" s="10"/>
      <c r="AJ130" s="10"/>
      <c r="AK130" s="10"/>
      <c r="AL130" s="10"/>
      <c r="AM130" s="10"/>
      <c r="AN130" s="10"/>
      <c r="AO130" s="10"/>
      <c r="AP130" s="10"/>
      <c r="AQ130" s="10"/>
      <c r="AR130" s="10"/>
      <c r="AS130" s="10"/>
      <c r="AT130" s="10"/>
      <c r="AU130" s="10"/>
      <c r="AV130" s="10"/>
      <c r="AW130" s="10"/>
      <c r="AX130" s="10"/>
      <c r="AY130" s="10"/>
      <c r="AZ130" s="10"/>
      <c r="BA130" s="10"/>
      <c r="BB130" s="10"/>
      <c r="BC130" s="10"/>
      <c r="BD130" s="10"/>
      <c r="BE130" s="10"/>
      <c r="BF130" s="10"/>
      <c r="BG130" s="10"/>
      <c r="BH130" s="10"/>
      <c r="BI130" s="10"/>
      <c r="BJ130" s="10"/>
      <c r="BK130" s="10"/>
      <c r="BL130" s="10"/>
      <c r="BM130" s="10"/>
      <c r="BN130" s="10"/>
      <c r="BO130" s="10"/>
      <c r="BP130" s="10"/>
      <c r="BQ130" s="10"/>
      <c r="BR130" s="10"/>
      <c r="BS130" s="10"/>
    </row>
    <row r="131" spans="16:71">
      <c r="P131" s="10"/>
      <c r="Q131" s="10"/>
      <c r="R131" s="10"/>
      <c r="S131" s="10"/>
      <c r="T131" s="10"/>
      <c r="U131" s="10"/>
      <c r="V131" s="10"/>
      <c r="W131" s="10"/>
      <c r="X131" s="10"/>
      <c r="Y131" s="10"/>
      <c r="Z131" s="10"/>
      <c r="AA131" s="10"/>
      <c r="AB131" s="10"/>
      <c r="AC131" s="10"/>
      <c r="AD131" s="10"/>
      <c r="AE131" s="10"/>
      <c r="AF131" s="10"/>
      <c r="AG131" s="10"/>
      <c r="AH131" s="10"/>
      <c r="AI131" s="10"/>
      <c r="AJ131" s="10"/>
      <c r="AK131" s="10"/>
      <c r="AL131" s="10"/>
      <c r="AM131" s="10"/>
      <c r="AN131" s="10"/>
      <c r="AO131" s="10"/>
      <c r="AP131" s="10"/>
      <c r="AQ131" s="10"/>
      <c r="AR131" s="10"/>
      <c r="AS131" s="10"/>
      <c r="AT131" s="10"/>
      <c r="AU131" s="10"/>
      <c r="AV131" s="10"/>
      <c r="AW131" s="10"/>
      <c r="AX131" s="10"/>
      <c r="AY131" s="10"/>
      <c r="AZ131" s="10"/>
      <c r="BA131" s="10"/>
      <c r="BB131" s="10"/>
      <c r="BC131" s="10"/>
      <c r="BD131" s="10"/>
      <c r="BE131" s="10"/>
      <c r="BF131" s="10"/>
      <c r="BG131" s="10"/>
      <c r="BH131" s="10"/>
      <c r="BI131" s="10"/>
      <c r="BJ131" s="10"/>
      <c r="BK131" s="10"/>
      <c r="BL131" s="10"/>
      <c r="BM131" s="10"/>
      <c r="BN131" s="10"/>
      <c r="BO131" s="10"/>
      <c r="BP131" s="10"/>
      <c r="BQ131" s="10"/>
      <c r="BR131" s="10"/>
      <c r="BS131" s="10"/>
    </row>
    <row r="132" spans="16:71">
      <c r="P132" s="10"/>
      <c r="Q132" s="10"/>
      <c r="R132" s="10"/>
      <c r="S132" s="10"/>
      <c r="T132" s="10"/>
      <c r="U132" s="10"/>
      <c r="V132" s="10"/>
      <c r="W132" s="10"/>
      <c r="X132" s="10"/>
      <c r="Y132" s="10"/>
      <c r="Z132" s="10"/>
      <c r="AA132" s="10"/>
      <c r="AB132" s="10"/>
      <c r="AC132" s="10"/>
      <c r="AD132" s="10"/>
      <c r="AE132" s="10"/>
      <c r="AF132" s="10"/>
      <c r="AG132" s="10"/>
      <c r="AH132" s="10"/>
      <c r="AI132" s="10"/>
      <c r="AJ132" s="10"/>
      <c r="AK132" s="10"/>
      <c r="AL132" s="10"/>
      <c r="AM132" s="10"/>
      <c r="AN132" s="10"/>
      <c r="AO132" s="10"/>
      <c r="AP132" s="10"/>
      <c r="AQ132" s="10"/>
      <c r="AR132" s="10"/>
      <c r="AS132" s="10"/>
      <c r="AT132" s="10"/>
      <c r="AU132" s="10"/>
      <c r="AV132" s="10"/>
      <c r="AW132" s="10"/>
      <c r="AX132" s="10"/>
      <c r="AY132" s="10"/>
      <c r="AZ132" s="10"/>
      <c r="BA132" s="10"/>
      <c r="BB132" s="10"/>
      <c r="BC132" s="10"/>
      <c r="BD132" s="10"/>
      <c r="BE132" s="10"/>
      <c r="BF132" s="10"/>
      <c r="BG132" s="10"/>
      <c r="BH132" s="10"/>
      <c r="BI132" s="10"/>
      <c r="BJ132" s="10"/>
      <c r="BK132" s="10"/>
      <c r="BL132" s="10"/>
      <c r="BM132" s="10"/>
      <c r="BN132" s="10"/>
      <c r="BO132" s="10"/>
      <c r="BP132" s="10"/>
      <c r="BQ132" s="10"/>
      <c r="BR132" s="10"/>
      <c r="BS132" s="10"/>
    </row>
    <row r="133" spans="16:71">
      <c r="P133" s="10"/>
      <c r="Q133" s="10"/>
      <c r="R133" s="10"/>
      <c r="S133" s="10"/>
      <c r="T133" s="10"/>
      <c r="U133" s="10"/>
      <c r="V133" s="10"/>
      <c r="W133" s="10"/>
      <c r="X133" s="10"/>
      <c r="Y133" s="10"/>
      <c r="Z133" s="10"/>
      <c r="AA133" s="10"/>
      <c r="AB133" s="10"/>
      <c r="AC133" s="10"/>
      <c r="AD133" s="10"/>
      <c r="AE133" s="10"/>
      <c r="AF133" s="10"/>
      <c r="AG133" s="10"/>
      <c r="AH133" s="10"/>
      <c r="AI133" s="10"/>
      <c r="AJ133" s="10"/>
      <c r="AK133" s="10"/>
      <c r="AL133" s="10"/>
      <c r="AM133" s="10"/>
      <c r="AN133" s="10"/>
      <c r="AO133" s="10"/>
      <c r="AP133" s="10"/>
      <c r="AQ133" s="10"/>
      <c r="AR133" s="10"/>
      <c r="AS133" s="10"/>
      <c r="AT133" s="10"/>
      <c r="AU133" s="10"/>
      <c r="AV133" s="10"/>
      <c r="AW133" s="10"/>
      <c r="AX133" s="10"/>
      <c r="AY133" s="10"/>
      <c r="AZ133" s="10"/>
      <c r="BA133" s="10"/>
      <c r="BB133" s="10"/>
      <c r="BC133" s="10"/>
      <c r="BD133" s="10"/>
      <c r="BE133" s="10"/>
      <c r="BF133" s="10"/>
      <c r="BG133" s="10"/>
      <c r="BH133" s="10"/>
      <c r="BI133" s="10"/>
      <c r="BJ133" s="10"/>
      <c r="BK133" s="10"/>
      <c r="BL133" s="10"/>
      <c r="BM133" s="10"/>
      <c r="BN133" s="10"/>
      <c r="BO133" s="10"/>
      <c r="BP133" s="10"/>
      <c r="BQ133" s="10"/>
      <c r="BR133" s="10"/>
      <c r="BS133" s="10"/>
    </row>
    <row r="134" spans="16:71">
      <c r="P134" s="10"/>
      <c r="Q134" s="10"/>
      <c r="R134" s="10"/>
      <c r="S134" s="10"/>
      <c r="T134" s="10"/>
      <c r="U134" s="10"/>
      <c r="V134" s="10"/>
      <c r="W134" s="10"/>
      <c r="X134" s="10"/>
      <c r="Y134" s="10"/>
      <c r="Z134" s="10"/>
      <c r="AA134" s="10"/>
      <c r="AB134" s="10"/>
      <c r="AC134" s="10"/>
      <c r="AD134" s="10"/>
      <c r="AE134" s="10"/>
      <c r="AF134" s="10"/>
      <c r="AG134" s="10"/>
      <c r="AH134" s="10"/>
      <c r="AI134" s="10"/>
      <c r="AJ134" s="10"/>
      <c r="AK134" s="10"/>
      <c r="AL134" s="10"/>
      <c r="AM134" s="10"/>
      <c r="AN134" s="10"/>
      <c r="AO134" s="10"/>
      <c r="AP134" s="10"/>
      <c r="AQ134" s="10"/>
      <c r="AR134" s="10"/>
      <c r="AS134" s="10"/>
      <c r="AT134" s="10"/>
      <c r="AU134" s="10"/>
      <c r="AV134" s="10"/>
      <c r="AW134" s="10"/>
      <c r="AX134" s="10"/>
      <c r="AY134" s="10"/>
      <c r="AZ134" s="10"/>
      <c r="BA134" s="10"/>
      <c r="BB134" s="10"/>
      <c r="BC134" s="10"/>
      <c r="BD134" s="10"/>
      <c r="BE134" s="10"/>
      <c r="BF134" s="10"/>
      <c r="BG134" s="10"/>
      <c r="BH134" s="10"/>
      <c r="BI134" s="10"/>
      <c r="BJ134" s="10"/>
      <c r="BK134" s="10"/>
      <c r="BL134" s="10"/>
      <c r="BM134" s="10"/>
      <c r="BN134" s="10"/>
      <c r="BO134" s="10"/>
      <c r="BP134" s="10"/>
      <c r="BQ134" s="10"/>
      <c r="BR134" s="10"/>
      <c r="BS134" s="10"/>
    </row>
    <row r="135" spans="16:71">
      <c r="P135" s="10"/>
      <c r="Q135" s="10"/>
      <c r="R135" s="10"/>
      <c r="S135" s="10"/>
      <c r="T135" s="10"/>
      <c r="U135" s="10"/>
      <c r="V135" s="10"/>
      <c r="W135" s="10"/>
      <c r="X135" s="10"/>
      <c r="Y135" s="10"/>
      <c r="Z135" s="10"/>
      <c r="AA135" s="10"/>
      <c r="AB135" s="10"/>
      <c r="AC135" s="10"/>
      <c r="AD135" s="10"/>
      <c r="AE135" s="10"/>
      <c r="AF135" s="10"/>
      <c r="AG135" s="10"/>
      <c r="AH135" s="10"/>
      <c r="AI135" s="10"/>
      <c r="AJ135" s="10"/>
      <c r="AK135" s="10"/>
      <c r="AL135" s="10"/>
      <c r="AM135" s="10"/>
      <c r="AN135" s="10"/>
      <c r="AO135" s="10"/>
      <c r="AP135" s="10"/>
      <c r="AQ135" s="10"/>
      <c r="AR135" s="10"/>
      <c r="AS135" s="10"/>
      <c r="AT135" s="10"/>
      <c r="AU135" s="10"/>
      <c r="AV135" s="10"/>
      <c r="AW135" s="10"/>
      <c r="AX135" s="10"/>
      <c r="AY135" s="10"/>
      <c r="AZ135" s="10"/>
      <c r="BA135" s="10"/>
      <c r="BB135" s="10"/>
      <c r="BC135" s="10"/>
      <c r="BD135" s="10"/>
      <c r="BE135" s="10"/>
      <c r="BF135" s="10"/>
      <c r="BG135" s="10"/>
      <c r="BH135" s="10"/>
      <c r="BI135" s="10"/>
      <c r="BJ135" s="10"/>
      <c r="BK135" s="10"/>
      <c r="BL135" s="10"/>
      <c r="BM135" s="10"/>
      <c r="BN135" s="10"/>
      <c r="BO135" s="10"/>
      <c r="BP135" s="10"/>
      <c r="BQ135" s="10"/>
      <c r="BR135" s="10"/>
      <c r="BS135" s="10"/>
    </row>
    <row r="136" spans="16:71">
      <c r="P136" s="10"/>
      <c r="Q136" s="10"/>
      <c r="R136" s="10"/>
      <c r="S136" s="10"/>
      <c r="T136" s="10"/>
      <c r="U136" s="10"/>
      <c r="V136" s="10"/>
      <c r="W136" s="10"/>
      <c r="X136" s="10"/>
      <c r="Y136" s="10"/>
      <c r="Z136" s="10"/>
      <c r="AA136" s="10"/>
      <c r="AB136" s="10"/>
      <c r="AC136" s="10"/>
      <c r="AD136" s="10"/>
      <c r="AE136" s="10"/>
      <c r="AF136" s="10"/>
      <c r="AG136" s="10"/>
      <c r="AH136" s="10"/>
      <c r="AI136" s="10"/>
      <c r="AJ136" s="10"/>
      <c r="AK136" s="10"/>
      <c r="AL136" s="10"/>
      <c r="AM136" s="10"/>
      <c r="AN136" s="10"/>
      <c r="AO136" s="10"/>
      <c r="AP136" s="10"/>
      <c r="AQ136" s="10"/>
      <c r="AR136" s="10"/>
      <c r="AS136" s="10"/>
      <c r="AT136" s="10"/>
      <c r="AU136" s="10"/>
      <c r="AV136" s="10"/>
      <c r="AW136" s="10"/>
      <c r="AX136" s="10"/>
      <c r="AY136" s="10"/>
      <c r="AZ136" s="10"/>
      <c r="BA136" s="10"/>
      <c r="BB136" s="10"/>
      <c r="BC136" s="10"/>
      <c r="BD136" s="10"/>
      <c r="BE136" s="10"/>
      <c r="BF136" s="10"/>
      <c r="BG136" s="10"/>
      <c r="BH136" s="10"/>
      <c r="BI136" s="10"/>
      <c r="BJ136" s="10"/>
      <c r="BK136" s="10"/>
      <c r="BL136" s="10"/>
      <c r="BM136" s="10"/>
      <c r="BN136" s="10"/>
      <c r="BO136" s="10"/>
      <c r="BP136" s="10"/>
      <c r="BQ136" s="10"/>
      <c r="BR136" s="10"/>
      <c r="BS136" s="10"/>
    </row>
    <row r="137" spans="16:71">
      <c r="P137" s="10"/>
      <c r="Q137" s="10"/>
      <c r="R137" s="10"/>
      <c r="S137" s="10"/>
      <c r="T137" s="10"/>
      <c r="U137" s="10"/>
      <c r="V137" s="10"/>
      <c r="W137" s="10"/>
      <c r="X137" s="10"/>
      <c r="Y137" s="10"/>
      <c r="Z137" s="10"/>
      <c r="AA137" s="10"/>
      <c r="AB137" s="10"/>
      <c r="AC137" s="10"/>
      <c r="AD137" s="10"/>
      <c r="AE137" s="10"/>
      <c r="AF137" s="10"/>
      <c r="AG137" s="10"/>
      <c r="AH137" s="10"/>
      <c r="AI137" s="10"/>
      <c r="AJ137" s="10"/>
      <c r="AK137" s="10"/>
      <c r="AL137" s="10"/>
      <c r="AM137" s="10"/>
      <c r="AN137" s="10"/>
      <c r="AO137" s="10"/>
      <c r="AP137" s="10"/>
      <c r="AQ137" s="10"/>
      <c r="AR137" s="10"/>
      <c r="AS137" s="10"/>
      <c r="AT137" s="10"/>
      <c r="AU137" s="10"/>
      <c r="AV137" s="10"/>
      <c r="AW137" s="10"/>
      <c r="AX137" s="10"/>
      <c r="AY137" s="10"/>
      <c r="AZ137" s="10"/>
      <c r="BA137" s="10"/>
      <c r="BB137" s="10"/>
      <c r="BC137" s="10"/>
      <c r="BD137" s="10"/>
      <c r="BE137" s="10"/>
      <c r="BF137" s="10"/>
      <c r="BG137" s="10"/>
      <c r="BH137" s="10"/>
      <c r="BI137" s="10"/>
      <c r="BJ137" s="10"/>
      <c r="BK137" s="10"/>
      <c r="BL137" s="10"/>
      <c r="BM137" s="10"/>
      <c r="BN137" s="10"/>
      <c r="BO137" s="10"/>
      <c r="BP137" s="10"/>
      <c r="BQ137" s="10"/>
      <c r="BR137" s="10"/>
      <c r="BS137" s="10"/>
    </row>
    <row r="138" spans="16:71">
      <c r="P138" s="10"/>
      <c r="Q138" s="10"/>
      <c r="R138" s="10"/>
      <c r="S138" s="10"/>
      <c r="T138" s="10"/>
      <c r="U138" s="10"/>
      <c r="V138" s="10"/>
      <c r="W138" s="10"/>
      <c r="X138" s="10"/>
      <c r="Y138" s="10"/>
      <c r="Z138" s="10"/>
      <c r="AA138" s="10"/>
      <c r="AB138" s="10"/>
      <c r="AC138" s="10"/>
      <c r="AD138" s="10"/>
      <c r="AE138" s="10"/>
      <c r="AF138" s="10"/>
      <c r="AG138" s="10"/>
      <c r="AH138" s="10"/>
      <c r="AI138" s="10"/>
      <c r="AJ138" s="10"/>
      <c r="AK138" s="10"/>
      <c r="AL138" s="10"/>
      <c r="AM138" s="10"/>
      <c r="AN138" s="10"/>
      <c r="AO138" s="10"/>
      <c r="AP138" s="10"/>
      <c r="AQ138" s="10"/>
      <c r="AR138" s="10"/>
      <c r="AS138" s="10"/>
      <c r="AT138" s="10"/>
      <c r="AU138" s="10"/>
      <c r="AV138" s="10"/>
      <c r="AW138" s="10"/>
      <c r="AX138" s="10"/>
      <c r="AY138" s="10"/>
      <c r="AZ138" s="10"/>
      <c r="BA138" s="10"/>
      <c r="BB138" s="10"/>
      <c r="BC138" s="10"/>
      <c r="BD138" s="10"/>
      <c r="BE138" s="10"/>
      <c r="BF138" s="10"/>
      <c r="BG138" s="10"/>
      <c r="BH138" s="10"/>
      <c r="BI138" s="10"/>
      <c r="BJ138" s="10"/>
      <c r="BK138" s="10"/>
      <c r="BL138" s="10"/>
      <c r="BM138" s="10"/>
      <c r="BN138" s="10"/>
      <c r="BO138" s="10"/>
      <c r="BP138" s="10"/>
      <c r="BQ138" s="10"/>
      <c r="BR138" s="10"/>
      <c r="BS138" s="10"/>
    </row>
    <row r="139" spans="16:71">
      <c r="P139" s="10"/>
      <c r="Q139" s="10"/>
      <c r="R139" s="10"/>
      <c r="S139" s="10"/>
      <c r="T139" s="10"/>
      <c r="U139" s="10"/>
      <c r="V139" s="10"/>
      <c r="W139" s="10"/>
      <c r="X139" s="10"/>
      <c r="Y139" s="10"/>
      <c r="Z139" s="10"/>
      <c r="AA139" s="10"/>
      <c r="AB139" s="10"/>
      <c r="AC139" s="10"/>
      <c r="AD139" s="10"/>
      <c r="AE139" s="10"/>
      <c r="AF139" s="10"/>
      <c r="AG139" s="10"/>
      <c r="AH139" s="10"/>
      <c r="AI139" s="10"/>
      <c r="AJ139" s="10"/>
      <c r="AK139" s="10"/>
      <c r="AL139" s="10"/>
      <c r="AM139" s="10"/>
      <c r="AN139" s="10"/>
      <c r="AO139" s="10"/>
      <c r="AP139" s="10"/>
      <c r="AQ139" s="10"/>
      <c r="AR139" s="10"/>
      <c r="AS139" s="10"/>
      <c r="AT139" s="10"/>
      <c r="AU139" s="10"/>
      <c r="AV139" s="10"/>
      <c r="AW139" s="10"/>
      <c r="AX139" s="10"/>
      <c r="AY139" s="10"/>
      <c r="AZ139" s="10"/>
      <c r="BA139" s="10"/>
      <c r="BB139" s="10"/>
      <c r="BC139" s="10"/>
      <c r="BD139" s="10"/>
      <c r="BE139" s="10"/>
      <c r="BF139" s="10"/>
      <c r="BG139" s="10"/>
      <c r="BH139" s="10"/>
      <c r="BI139" s="10"/>
      <c r="BJ139" s="10"/>
      <c r="BK139" s="10"/>
      <c r="BL139" s="10"/>
      <c r="BM139" s="10"/>
      <c r="BN139" s="10"/>
      <c r="BO139" s="10"/>
      <c r="BP139" s="10"/>
      <c r="BQ139" s="10"/>
      <c r="BR139" s="10"/>
      <c r="BS139" s="10"/>
    </row>
    <row r="140" spans="16:71">
      <c r="P140" s="10"/>
      <c r="Q140" s="10"/>
      <c r="R140" s="10"/>
      <c r="S140" s="10"/>
      <c r="T140" s="10"/>
      <c r="U140" s="10"/>
      <c r="V140" s="10"/>
      <c r="W140" s="10"/>
      <c r="X140" s="10"/>
      <c r="Y140" s="10"/>
      <c r="Z140" s="10"/>
      <c r="AA140" s="10"/>
      <c r="AB140" s="10"/>
      <c r="AC140" s="10"/>
      <c r="AD140" s="10"/>
      <c r="AE140" s="10"/>
      <c r="AF140" s="10"/>
      <c r="AG140" s="10"/>
      <c r="AH140" s="10"/>
      <c r="AI140" s="10"/>
      <c r="AJ140" s="10"/>
      <c r="AK140" s="10"/>
      <c r="AL140" s="10"/>
      <c r="AM140" s="10"/>
      <c r="AN140" s="10"/>
      <c r="AO140" s="10"/>
      <c r="AP140" s="10"/>
      <c r="AQ140" s="10"/>
      <c r="AR140" s="10"/>
      <c r="AS140" s="10"/>
      <c r="AT140" s="10"/>
      <c r="AU140" s="10"/>
      <c r="AV140" s="10"/>
      <c r="AW140" s="10"/>
      <c r="AX140" s="10"/>
      <c r="AY140" s="10"/>
      <c r="AZ140" s="10"/>
      <c r="BA140" s="10"/>
      <c r="BB140" s="10"/>
      <c r="BC140" s="10"/>
      <c r="BD140" s="10"/>
      <c r="BE140" s="10"/>
      <c r="BF140" s="10"/>
      <c r="BG140" s="10"/>
      <c r="BH140" s="10"/>
      <c r="BI140" s="10"/>
      <c r="BJ140" s="10"/>
      <c r="BK140" s="10"/>
      <c r="BL140" s="10"/>
      <c r="BM140" s="10"/>
      <c r="BN140" s="10"/>
      <c r="BO140" s="10"/>
      <c r="BP140" s="10"/>
      <c r="BQ140" s="10"/>
      <c r="BR140" s="10"/>
      <c r="BS140" s="10"/>
    </row>
    <row r="141" spans="16:71">
      <c r="P141" s="10"/>
      <c r="Q141" s="10"/>
      <c r="R141" s="10"/>
      <c r="S141" s="10"/>
      <c r="T141" s="10"/>
      <c r="U141" s="10"/>
      <c r="V141" s="10"/>
      <c r="W141" s="10"/>
      <c r="X141" s="10"/>
      <c r="Y141" s="10"/>
      <c r="Z141" s="10"/>
      <c r="AA141" s="10"/>
      <c r="AB141" s="10"/>
      <c r="AC141" s="10"/>
      <c r="AD141" s="10"/>
      <c r="AE141" s="10"/>
      <c r="AF141" s="10"/>
      <c r="AG141" s="10"/>
      <c r="AH141" s="10"/>
      <c r="AI141" s="10"/>
      <c r="AJ141" s="10"/>
      <c r="AK141" s="10"/>
      <c r="AL141" s="10"/>
      <c r="AM141" s="10"/>
      <c r="AN141" s="10"/>
      <c r="AO141" s="10"/>
      <c r="AP141" s="10"/>
      <c r="AQ141" s="10"/>
      <c r="AR141" s="10"/>
      <c r="AS141" s="10"/>
      <c r="AT141" s="10"/>
      <c r="AU141" s="10"/>
      <c r="AV141" s="10"/>
      <c r="AW141" s="10"/>
      <c r="AX141" s="10"/>
      <c r="AY141" s="10"/>
      <c r="AZ141" s="10"/>
      <c r="BA141" s="10"/>
      <c r="BB141" s="10"/>
      <c r="BC141" s="10"/>
      <c r="BD141" s="10"/>
      <c r="BE141" s="10"/>
      <c r="BF141" s="10"/>
      <c r="BG141" s="10"/>
      <c r="BH141" s="10"/>
      <c r="BI141" s="10"/>
      <c r="BJ141" s="10"/>
      <c r="BK141" s="10"/>
      <c r="BL141" s="10"/>
      <c r="BM141" s="10"/>
      <c r="BN141" s="10"/>
      <c r="BO141" s="10"/>
      <c r="BP141" s="10"/>
      <c r="BQ141" s="10"/>
      <c r="BR141" s="10"/>
      <c r="BS141" s="10"/>
    </row>
    <row r="142" spans="16:71">
      <c r="P142" s="10"/>
      <c r="Q142" s="10"/>
      <c r="R142" s="10"/>
      <c r="S142" s="10"/>
      <c r="T142" s="10"/>
      <c r="U142" s="10"/>
      <c r="V142" s="10"/>
      <c r="W142" s="10"/>
      <c r="X142" s="10"/>
      <c r="Y142" s="10"/>
      <c r="Z142" s="10"/>
      <c r="AA142" s="10"/>
      <c r="AB142" s="10"/>
      <c r="AC142" s="10"/>
      <c r="AD142" s="10"/>
      <c r="AE142" s="10"/>
      <c r="AF142" s="10"/>
      <c r="AG142" s="10"/>
      <c r="AH142" s="10"/>
      <c r="AI142" s="10"/>
      <c r="AJ142" s="10"/>
      <c r="AK142" s="10"/>
      <c r="AL142" s="10"/>
      <c r="AM142" s="10"/>
      <c r="AN142" s="10"/>
      <c r="AO142" s="10"/>
      <c r="AP142" s="10"/>
      <c r="AQ142" s="10"/>
      <c r="AR142" s="10"/>
      <c r="AS142" s="10"/>
      <c r="AT142" s="10"/>
      <c r="AU142" s="10"/>
      <c r="AV142" s="10"/>
      <c r="AW142" s="10"/>
      <c r="AX142" s="10"/>
      <c r="AY142" s="10"/>
      <c r="AZ142" s="10"/>
      <c r="BA142" s="10"/>
      <c r="BB142" s="10"/>
      <c r="BC142" s="10"/>
      <c r="BD142" s="10"/>
      <c r="BE142" s="10"/>
      <c r="BF142" s="10"/>
      <c r="BG142" s="10"/>
      <c r="BH142" s="10"/>
      <c r="BI142" s="10"/>
      <c r="BJ142" s="10"/>
      <c r="BK142" s="10"/>
      <c r="BL142" s="10"/>
      <c r="BM142" s="10"/>
      <c r="BN142" s="10"/>
      <c r="BO142" s="10"/>
      <c r="BP142" s="10"/>
      <c r="BQ142" s="10"/>
      <c r="BR142" s="10"/>
      <c r="BS142" s="10"/>
    </row>
    <row r="143" spans="16:71">
      <c r="P143" s="10"/>
      <c r="Q143" s="10"/>
      <c r="R143" s="10"/>
      <c r="S143" s="10"/>
      <c r="T143" s="10"/>
      <c r="U143" s="10"/>
      <c r="V143" s="10"/>
      <c r="W143" s="10"/>
      <c r="X143" s="10"/>
      <c r="Y143" s="10"/>
      <c r="Z143" s="10"/>
      <c r="AA143" s="10"/>
      <c r="AB143" s="10"/>
      <c r="AC143" s="10"/>
      <c r="AD143" s="10"/>
      <c r="AE143" s="10"/>
      <c r="AF143" s="10"/>
      <c r="AG143" s="10"/>
      <c r="AH143" s="10"/>
      <c r="AI143" s="10"/>
      <c r="AJ143" s="10"/>
      <c r="AK143" s="10"/>
      <c r="AL143" s="10"/>
      <c r="AM143" s="10"/>
      <c r="AN143" s="10"/>
      <c r="AO143" s="10"/>
      <c r="AP143" s="10"/>
      <c r="AQ143" s="10"/>
      <c r="AR143" s="10"/>
      <c r="AS143" s="10"/>
      <c r="AT143" s="10"/>
      <c r="AU143" s="10"/>
      <c r="AV143" s="10"/>
      <c r="AW143" s="10"/>
      <c r="AX143" s="10"/>
      <c r="AY143" s="10"/>
      <c r="AZ143" s="10"/>
      <c r="BA143" s="10"/>
      <c r="BB143" s="10"/>
      <c r="BC143" s="10"/>
      <c r="BD143" s="10"/>
      <c r="BE143" s="10"/>
      <c r="BF143" s="10"/>
      <c r="BG143" s="10"/>
      <c r="BH143" s="10"/>
      <c r="BI143" s="10"/>
      <c r="BJ143" s="10"/>
      <c r="BK143" s="10"/>
      <c r="BL143" s="10"/>
      <c r="BM143" s="10"/>
      <c r="BN143" s="10"/>
      <c r="BO143" s="10"/>
      <c r="BP143" s="10"/>
      <c r="BQ143" s="10"/>
      <c r="BR143" s="10"/>
      <c r="BS143" s="10"/>
    </row>
    <row r="144" spans="16:71">
      <c r="P144" s="10"/>
      <c r="Q144" s="10"/>
      <c r="R144" s="10"/>
      <c r="S144" s="10"/>
      <c r="T144" s="10"/>
      <c r="U144" s="10"/>
      <c r="V144" s="10"/>
      <c r="W144" s="10"/>
      <c r="X144" s="10"/>
      <c r="Y144" s="10"/>
      <c r="Z144" s="10"/>
      <c r="AA144" s="10"/>
      <c r="AB144" s="10"/>
      <c r="AC144" s="10"/>
      <c r="AD144" s="10"/>
      <c r="AE144" s="10"/>
      <c r="AF144" s="10"/>
      <c r="AG144" s="10"/>
      <c r="AH144" s="10"/>
      <c r="AI144" s="10"/>
      <c r="AJ144" s="10"/>
      <c r="AK144" s="10"/>
      <c r="AL144" s="10"/>
      <c r="AM144" s="10"/>
      <c r="AN144" s="10"/>
      <c r="AO144" s="10"/>
      <c r="AP144" s="10"/>
      <c r="AQ144" s="10"/>
      <c r="AR144" s="10"/>
      <c r="AS144" s="10"/>
      <c r="AT144" s="10"/>
      <c r="AU144" s="10"/>
      <c r="AV144" s="10"/>
      <c r="AW144" s="10"/>
      <c r="AX144" s="10"/>
      <c r="AY144" s="10"/>
      <c r="AZ144" s="10"/>
      <c r="BA144" s="10"/>
      <c r="BB144" s="10"/>
      <c r="BC144" s="10"/>
      <c r="BD144" s="10"/>
      <c r="BE144" s="10"/>
      <c r="BF144" s="10"/>
      <c r="BG144" s="10"/>
      <c r="BH144" s="10"/>
      <c r="BI144" s="10"/>
      <c r="BJ144" s="10"/>
      <c r="BK144" s="10"/>
      <c r="BL144" s="10"/>
      <c r="BM144" s="10"/>
      <c r="BN144" s="10"/>
      <c r="BO144" s="10"/>
      <c r="BP144" s="10"/>
      <c r="BQ144" s="10"/>
      <c r="BR144" s="10"/>
      <c r="BS144" s="10"/>
    </row>
    <row r="145" spans="16:71">
      <c r="P145" s="10"/>
      <c r="Q145" s="10"/>
      <c r="R145" s="10"/>
      <c r="S145" s="10"/>
      <c r="T145" s="10"/>
      <c r="U145" s="10"/>
      <c r="V145" s="10"/>
      <c r="W145" s="10"/>
      <c r="X145" s="10"/>
      <c r="Y145" s="10"/>
      <c r="Z145" s="10"/>
      <c r="AA145" s="10"/>
      <c r="AB145" s="10"/>
      <c r="AC145" s="10"/>
      <c r="AD145" s="10"/>
      <c r="AE145" s="10"/>
      <c r="AF145" s="10"/>
      <c r="AG145" s="10"/>
      <c r="AH145" s="10"/>
      <c r="AI145" s="10"/>
      <c r="AJ145" s="10"/>
      <c r="AK145" s="10"/>
      <c r="AL145" s="10"/>
      <c r="AM145" s="10"/>
      <c r="AN145" s="10"/>
      <c r="AO145" s="10"/>
      <c r="AP145" s="10"/>
      <c r="AQ145" s="10"/>
      <c r="AR145" s="10"/>
      <c r="AS145" s="10"/>
      <c r="AT145" s="10"/>
      <c r="AU145" s="10"/>
      <c r="AV145" s="10"/>
      <c r="AW145" s="10"/>
      <c r="AX145" s="10"/>
      <c r="AY145" s="10"/>
      <c r="AZ145" s="10"/>
      <c r="BA145" s="10"/>
      <c r="BB145" s="10"/>
      <c r="BC145" s="10"/>
      <c r="BD145" s="10"/>
      <c r="BE145" s="10"/>
      <c r="BF145" s="10"/>
      <c r="BG145" s="10"/>
      <c r="BH145" s="10"/>
      <c r="BI145" s="10"/>
      <c r="BJ145" s="10"/>
      <c r="BK145" s="10"/>
      <c r="BL145" s="10"/>
      <c r="BM145" s="10"/>
      <c r="BN145" s="10"/>
      <c r="BO145" s="10"/>
      <c r="BP145" s="10"/>
      <c r="BQ145" s="10"/>
      <c r="BR145" s="10"/>
      <c r="BS145" s="10"/>
    </row>
    <row r="146" spans="16:71">
      <c r="P146" s="10"/>
      <c r="Q146" s="10"/>
      <c r="R146" s="10"/>
      <c r="S146" s="10"/>
      <c r="T146" s="10"/>
      <c r="U146" s="10"/>
      <c r="V146" s="10"/>
      <c r="W146" s="10"/>
      <c r="X146" s="10"/>
      <c r="Y146" s="10"/>
      <c r="Z146" s="10"/>
      <c r="AA146" s="10"/>
      <c r="AB146" s="10"/>
      <c r="AC146" s="10"/>
      <c r="AD146" s="10"/>
      <c r="AE146" s="10"/>
      <c r="AF146" s="10"/>
      <c r="AG146" s="10"/>
      <c r="AH146" s="10"/>
      <c r="AI146" s="10"/>
      <c r="AJ146" s="10"/>
      <c r="AK146" s="10"/>
      <c r="AL146" s="10"/>
      <c r="AM146" s="10"/>
      <c r="AN146" s="10"/>
      <c r="AO146" s="10"/>
      <c r="AP146" s="10"/>
      <c r="AQ146" s="10"/>
      <c r="AR146" s="10"/>
      <c r="AS146" s="10"/>
      <c r="AT146" s="10"/>
      <c r="AU146" s="10"/>
      <c r="AV146" s="10"/>
      <c r="AW146" s="10"/>
      <c r="AX146" s="10"/>
      <c r="AY146" s="10"/>
      <c r="AZ146" s="10"/>
      <c r="BA146" s="10"/>
      <c r="BB146" s="10"/>
      <c r="BC146" s="10"/>
      <c r="BD146" s="10"/>
      <c r="BE146" s="10"/>
      <c r="BF146" s="10"/>
      <c r="BG146" s="10"/>
      <c r="BH146" s="10"/>
      <c r="BI146" s="10"/>
      <c r="BJ146" s="10"/>
      <c r="BK146" s="10"/>
      <c r="BL146" s="10"/>
      <c r="BM146" s="10"/>
      <c r="BN146" s="10"/>
      <c r="BO146" s="10"/>
      <c r="BP146" s="10"/>
      <c r="BQ146" s="10"/>
      <c r="BR146" s="10"/>
      <c r="BS146" s="10"/>
    </row>
    <row r="147" spans="16:71">
      <c r="P147" s="10"/>
      <c r="Q147" s="10"/>
      <c r="R147" s="10"/>
      <c r="S147" s="10"/>
      <c r="T147" s="10"/>
      <c r="U147" s="10"/>
      <c r="V147" s="10"/>
      <c r="W147" s="10"/>
      <c r="X147" s="10"/>
      <c r="Y147" s="10"/>
      <c r="Z147" s="10"/>
      <c r="AA147" s="10"/>
      <c r="AB147" s="10"/>
      <c r="AC147" s="10"/>
      <c r="AD147" s="10"/>
      <c r="AE147" s="10"/>
      <c r="AF147" s="10"/>
      <c r="AG147" s="10"/>
      <c r="AH147" s="10"/>
      <c r="AI147" s="10"/>
      <c r="AJ147" s="10"/>
      <c r="AK147" s="10"/>
      <c r="AL147" s="10"/>
      <c r="AM147" s="10"/>
      <c r="AN147" s="10"/>
      <c r="AO147" s="10"/>
      <c r="AP147" s="10"/>
      <c r="AQ147" s="10"/>
      <c r="AR147" s="10"/>
      <c r="AS147" s="10"/>
      <c r="AT147" s="10"/>
      <c r="AU147" s="10"/>
      <c r="AV147" s="10"/>
      <c r="AW147" s="10"/>
      <c r="AX147" s="10"/>
      <c r="AY147" s="10"/>
      <c r="AZ147" s="10"/>
      <c r="BA147" s="10"/>
      <c r="BB147" s="10"/>
      <c r="BC147" s="10"/>
      <c r="BD147" s="10"/>
      <c r="BE147" s="10"/>
      <c r="BF147" s="10"/>
      <c r="BG147" s="10"/>
      <c r="BH147" s="10"/>
      <c r="BI147" s="10"/>
      <c r="BJ147" s="10"/>
      <c r="BK147" s="10"/>
      <c r="BL147" s="10"/>
      <c r="BM147" s="10"/>
      <c r="BN147" s="10"/>
      <c r="BO147" s="10"/>
      <c r="BP147" s="10"/>
      <c r="BQ147" s="10"/>
      <c r="BR147" s="10"/>
      <c r="BS147" s="10"/>
    </row>
    <row r="148" spans="16:71">
      <c r="P148" s="10"/>
      <c r="Q148" s="10"/>
      <c r="R148" s="10"/>
      <c r="S148" s="10"/>
      <c r="T148" s="10"/>
      <c r="U148" s="10"/>
      <c r="V148" s="10"/>
      <c r="W148" s="10"/>
      <c r="X148" s="10"/>
      <c r="Y148" s="10"/>
      <c r="Z148" s="10"/>
      <c r="AA148" s="10"/>
      <c r="AB148" s="10"/>
      <c r="AC148" s="10"/>
      <c r="AD148" s="10"/>
      <c r="AE148" s="10"/>
      <c r="AF148" s="10"/>
      <c r="AG148" s="10"/>
      <c r="AH148" s="10"/>
      <c r="AI148" s="10"/>
      <c r="AJ148" s="10"/>
      <c r="AK148" s="10"/>
      <c r="AL148" s="10"/>
      <c r="AM148" s="10"/>
      <c r="AN148" s="10"/>
      <c r="AO148" s="10"/>
      <c r="AP148" s="10"/>
      <c r="AQ148" s="10"/>
      <c r="AR148" s="10"/>
      <c r="AS148" s="10"/>
      <c r="AT148" s="10"/>
      <c r="AU148" s="10"/>
      <c r="AV148" s="10"/>
      <c r="AW148" s="10"/>
      <c r="AX148" s="10"/>
      <c r="AY148" s="10"/>
      <c r="AZ148" s="10"/>
      <c r="BA148" s="10"/>
      <c r="BB148" s="10"/>
      <c r="BC148" s="10"/>
      <c r="BD148" s="10"/>
      <c r="BE148" s="10"/>
      <c r="BF148" s="10"/>
      <c r="BG148" s="10"/>
      <c r="BH148" s="10"/>
      <c r="BI148" s="10"/>
      <c r="BJ148" s="10"/>
      <c r="BK148" s="10"/>
      <c r="BL148" s="10"/>
      <c r="BM148" s="10"/>
      <c r="BN148" s="10"/>
      <c r="BO148" s="10"/>
      <c r="BP148" s="10"/>
      <c r="BQ148" s="10"/>
      <c r="BR148" s="10"/>
      <c r="BS148" s="10"/>
    </row>
    <row r="149" spans="16:71">
      <c r="P149" s="10"/>
      <c r="Q149" s="10"/>
      <c r="R149" s="10"/>
      <c r="S149" s="10"/>
      <c r="T149" s="10"/>
      <c r="U149" s="10"/>
      <c r="V149" s="10"/>
      <c r="W149" s="10"/>
      <c r="X149" s="10"/>
      <c r="Y149" s="10"/>
      <c r="Z149" s="10"/>
      <c r="AA149" s="10"/>
      <c r="AB149" s="10"/>
      <c r="AC149" s="10"/>
      <c r="AD149" s="10"/>
      <c r="AE149" s="10"/>
      <c r="AF149" s="10"/>
      <c r="AG149" s="10"/>
      <c r="AH149" s="10"/>
      <c r="AI149" s="10"/>
      <c r="AJ149" s="10"/>
      <c r="AK149" s="10"/>
      <c r="AL149" s="10"/>
      <c r="AM149" s="10"/>
      <c r="AN149" s="10"/>
      <c r="AO149" s="10"/>
      <c r="AP149" s="10"/>
      <c r="AQ149" s="10"/>
      <c r="AR149" s="10"/>
      <c r="AS149" s="10"/>
      <c r="AT149" s="10"/>
      <c r="AU149" s="10"/>
      <c r="AV149" s="10"/>
      <c r="AW149" s="10"/>
      <c r="AX149" s="10"/>
      <c r="AY149" s="10"/>
      <c r="AZ149" s="10"/>
      <c r="BA149" s="10"/>
      <c r="BB149" s="10"/>
      <c r="BC149" s="10"/>
      <c r="BD149" s="10"/>
      <c r="BE149" s="10"/>
      <c r="BF149" s="10"/>
      <c r="BG149" s="10"/>
      <c r="BH149" s="10"/>
      <c r="BI149" s="10"/>
      <c r="BJ149" s="10"/>
      <c r="BK149" s="10"/>
      <c r="BL149" s="10"/>
      <c r="BM149" s="10"/>
      <c r="BN149" s="10"/>
      <c r="BO149" s="10"/>
      <c r="BP149" s="10"/>
      <c r="BQ149" s="10"/>
      <c r="BR149" s="10"/>
      <c r="BS149" s="10"/>
    </row>
    <row r="150" spans="16:71">
      <c r="P150" s="10"/>
      <c r="Q150" s="10"/>
      <c r="R150" s="10"/>
      <c r="S150" s="10"/>
      <c r="T150" s="10"/>
      <c r="U150" s="10"/>
      <c r="V150" s="10"/>
      <c r="W150" s="10"/>
      <c r="X150" s="10"/>
      <c r="Y150" s="10"/>
      <c r="Z150" s="10"/>
      <c r="AA150" s="10"/>
      <c r="AB150" s="10"/>
      <c r="AC150" s="10"/>
      <c r="AD150" s="10"/>
      <c r="AE150" s="10"/>
      <c r="AF150" s="10"/>
      <c r="AG150" s="10"/>
      <c r="AH150" s="10"/>
      <c r="AI150" s="10"/>
      <c r="AJ150" s="10"/>
      <c r="AK150" s="10"/>
      <c r="AL150" s="10"/>
      <c r="AM150" s="10"/>
      <c r="AN150" s="10"/>
      <c r="AO150" s="10"/>
      <c r="AP150" s="10"/>
      <c r="AQ150" s="10"/>
      <c r="AR150" s="10"/>
      <c r="AS150" s="10"/>
      <c r="AT150" s="10"/>
      <c r="AU150" s="10"/>
      <c r="AV150" s="10"/>
      <c r="AW150" s="10"/>
      <c r="AX150" s="10"/>
      <c r="AY150" s="10"/>
      <c r="AZ150" s="10"/>
      <c r="BA150" s="10"/>
      <c r="BB150" s="10"/>
      <c r="BC150" s="10"/>
      <c r="BD150" s="10"/>
      <c r="BE150" s="10"/>
      <c r="BF150" s="10"/>
      <c r="BG150" s="10"/>
      <c r="BH150" s="10"/>
      <c r="BI150" s="10"/>
      <c r="BJ150" s="10"/>
      <c r="BK150" s="10"/>
      <c r="BL150" s="10"/>
      <c r="BM150" s="10"/>
      <c r="BN150" s="10"/>
      <c r="BO150" s="10"/>
      <c r="BP150" s="10"/>
      <c r="BQ150" s="10"/>
      <c r="BR150" s="10"/>
      <c r="BS150" s="10"/>
    </row>
    <row r="151" spans="16:71">
      <c r="P151" s="10"/>
      <c r="Q151" s="10"/>
      <c r="R151" s="10"/>
      <c r="S151" s="10"/>
      <c r="T151" s="10"/>
      <c r="U151" s="10"/>
      <c r="V151" s="10"/>
      <c r="W151" s="10"/>
      <c r="X151" s="10"/>
      <c r="Y151" s="10"/>
      <c r="Z151" s="10"/>
      <c r="AA151" s="10"/>
      <c r="AB151" s="10"/>
      <c r="AC151" s="10"/>
      <c r="AD151" s="10"/>
      <c r="AE151" s="10"/>
      <c r="AF151" s="10"/>
      <c r="AG151" s="10"/>
      <c r="AH151" s="10"/>
      <c r="AI151" s="10"/>
      <c r="AJ151" s="10"/>
      <c r="AK151" s="10"/>
      <c r="AL151" s="10"/>
      <c r="AM151" s="10"/>
      <c r="AN151" s="10"/>
      <c r="AO151" s="10"/>
      <c r="AP151" s="10"/>
      <c r="AQ151" s="10"/>
      <c r="AR151" s="10"/>
      <c r="AS151" s="10"/>
      <c r="AT151" s="10"/>
      <c r="AU151" s="10"/>
      <c r="AV151" s="10"/>
      <c r="AW151" s="10"/>
      <c r="AX151" s="10"/>
      <c r="AY151" s="10"/>
      <c r="AZ151" s="10"/>
      <c r="BA151" s="10"/>
      <c r="BB151" s="10"/>
      <c r="BC151" s="10"/>
      <c r="BD151" s="10"/>
      <c r="BE151" s="10"/>
      <c r="BF151" s="10"/>
      <c r="BG151" s="10"/>
      <c r="BH151" s="10"/>
      <c r="BI151" s="10"/>
      <c r="BJ151" s="10"/>
      <c r="BK151" s="10"/>
      <c r="BL151" s="10"/>
      <c r="BM151" s="10"/>
      <c r="BN151" s="10"/>
      <c r="BO151" s="10"/>
      <c r="BP151" s="10"/>
      <c r="BQ151" s="10"/>
      <c r="BR151" s="10"/>
      <c r="BS151" s="10"/>
    </row>
    <row r="152" spans="16:71">
      <c r="P152" s="10"/>
      <c r="Q152" s="10"/>
      <c r="R152" s="10"/>
      <c r="S152" s="10"/>
      <c r="T152" s="10"/>
      <c r="U152" s="10"/>
      <c r="V152" s="10"/>
      <c r="W152" s="10"/>
      <c r="X152" s="10"/>
      <c r="Y152" s="10"/>
      <c r="Z152" s="10"/>
      <c r="AA152" s="10"/>
      <c r="AB152" s="10"/>
      <c r="AC152" s="10"/>
      <c r="AD152" s="10"/>
      <c r="AE152" s="10"/>
      <c r="AF152" s="10"/>
      <c r="AG152" s="10"/>
      <c r="AH152" s="10"/>
      <c r="AI152" s="10"/>
      <c r="AJ152" s="10"/>
      <c r="AK152" s="10"/>
      <c r="AL152" s="10"/>
      <c r="AM152" s="10"/>
      <c r="AN152" s="10"/>
      <c r="AO152" s="10"/>
      <c r="AP152" s="10"/>
      <c r="AQ152" s="10"/>
      <c r="AR152" s="10"/>
      <c r="AS152" s="10"/>
      <c r="AT152" s="10"/>
      <c r="AU152" s="10"/>
      <c r="AV152" s="10"/>
      <c r="AW152" s="10"/>
      <c r="AX152" s="10"/>
      <c r="AY152" s="10"/>
      <c r="AZ152" s="10"/>
      <c r="BA152" s="10"/>
      <c r="BB152" s="10"/>
      <c r="BC152" s="10"/>
      <c r="BD152" s="10"/>
      <c r="BE152" s="10"/>
      <c r="BF152" s="10"/>
      <c r="BG152" s="10"/>
      <c r="BH152" s="10"/>
      <c r="BI152" s="10"/>
      <c r="BJ152" s="10"/>
      <c r="BK152" s="10"/>
      <c r="BL152" s="10"/>
      <c r="BM152" s="10"/>
      <c r="BN152" s="10"/>
      <c r="BO152" s="10"/>
      <c r="BP152" s="10"/>
      <c r="BQ152" s="10"/>
      <c r="BR152" s="10"/>
      <c r="BS152" s="10"/>
    </row>
    <row r="153" spans="16:71">
      <c r="P153" s="10"/>
      <c r="Q153" s="10"/>
      <c r="R153" s="10"/>
      <c r="S153" s="10"/>
      <c r="T153" s="10"/>
      <c r="U153" s="10"/>
      <c r="V153" s="10"/>
      <c r="W153" s="10"/>
      <c r="X153" s="10"/>
      <c r="Y153" s="10"/>
      <c r="Z153" s="10"/>
      <c r="AA153" s="10"/>
      <c r="AB153" s="10"/>
      <c r="AC153" s="10"/>
      <c r="AD153" s="10"/>
      <c r="AE153" s="10"/>
      <c r="AF153" s="10"/>
      <c r="AG153" s="10"/>
      <c r="AH153" s="10"/>
      <c r="AI153" s="10"/>
      <c r="AJ153" s="10"/>
      <c r="AK153" s="10"/>
      <c r="AL153" s="10"/>
      <c r="AM153" s="10"/>
      <c r="AN153" s="10"/>
      <c r="AO153" s="10"/>
      <c r="AP153" s="10"/>
      <c r="AQ153" s="10"/>
      <c r="AR153" s="10"/>
      <c r="AS153" s="10"/>
      <c r="AT153" s="10"/>
      <c r="AU153" s="10"/>
      <c r="AV153" s="10"/>
      <c r="AW153" s="10"/>
      <c r="AX153" s="10"/>
      <c r="AY153" s="10"/>
      <c r="AZ153" s="10"/>
      <c r="BA153" s="10"/>
      <c r="BB153" s="10"/>
      <c r="BC153" s="10"/>
      <c r="BD153" s="10"/>
      <c r="BE153" s="10"/>
      <c r="BF153" s="10"/>
      <c r="BG153" s="10"/>
      <c r="BH153" s="10"/>
      <c r="BI153" s="10"/>
      <c r="BJ153" s="10"/>
      <c r="BK153" s="10"/>
      <c r="BL153" s="10"/>
      <c r="BM153" s="10"/>
      <c r="BN153" s="10"/>
      <c r="BO153" s="10"/>
      <c r="BP153" s="10"/>
      <c r="BQ153" s="10"/>
      <c r="BR153" s="10"/>
      <c r="BS153" s="10"/>
    </row>
    <row r="154" spans="16:71">
      <c r="P154" s="10"/>
      <c r="Q154" s="10"/>
      <c r="R154" s="10"/>
      <c r="S154" s="10"/>
      <c r="T154" s="10"/>
      <c r="U154" s="10"/>
      <c r="V154" s="10"/>
      <c r="W154" s="10"/>
      <c r="X154" s="10"/>
      <c r="Y154" s="10"/>
      <c r="Z154" s="10"/>
      <c r="AA154" s="10"/>
      <c r="AB154" s="10"/>
      <c r="AC154" s="10"/>
      <c r="AD154" s="10"/>
      <c r="AE154" s="10"/>
      <c r="AF154" s="10"/>
      <c r="AG154" s="10"/>
      <c r="AH154" s="10"/>
      <c r="AI154" s="10"/>
      <c r="AJ154" s="10"/>
      <c r="AK154" s="10"/>
      <c r="AL154" s="10"/>
      <c r="AM154" s="10"/>
      <c r="AN154" s="10"/>
      <c r="AO154" s="10"/>
      <c r="AP154" s="10"/>
      <c r="AQ154" s="10"/>
      <c r="AR154" s="10"/>
      <c r="AS154" s="10"/>
      <c r="AT154" s="10"/>
      <c r="AU154" s="10"/>
      <c r="AV154" s="10"/>
      <c r="AW154" s="10"/>
      <c r="AX154" s="10"/>
      <c r="AY154" s="10"/>
      <c r="AZ154" s="10"/>
      <c r="BA154" s="10"/>
      <c r="BB154" s="10"/>
      <c r="BC154" s="10"/>
      <c r="BD154" s="10"/>
      <c r="BE154" s="10"/>
      <c r="BF154" s="10"/>
      <c r="BG154" s="10"/>
      <c r="BH154" s="10"/>
      <c r="BI154" s="10"/>
      <c r="BJ154" s="10"/>
      <c r="BK154" s="10"/>
      <c r="BL154" s="10"/>
      <c r="BM154" s="10"/>
      <c r="BN154" s="10"/>
      <c r="BO154" s="10"/>
      <c r="BP154" s="10"/>
      <c r="BQ154" s="10"/>
      <c r="BR154" s="10"/>
      <c r="BS154" s="10"/>
    </row>
    <row r="155" spans="16:71">
      <c r="P155" s="10"/>
      <c r="Q155" s="10"/>
      <c r="R155" s="10"/>
      <c r="S155" s="10"/>
      <c r="T155" s="10"/>
      <c r="U155" s="10"/>
      <c r="V155" s="10"/>
      <c r="W155" s="10"/>
      <c r="X155" s="10"/>
      <c r="Y155" s="10"/>
      <c r="Z155" s="10"/>
      <c r="AA155" s="10"/>
      <c r="AB155" s="10"/>
      <c r="AC155" s="10"/>
      <c r="AD155" s="10"/>
      <c r="AE155" s="10"/>
      <c r="AF155" s="10"/>
      <c r="AG155" s="10"/>
      <c r="AH155" s="10"/>
      <c r="AI155" s="10"/>
      <c r="AJ155" s="10"/>
      <c r="AK155" s="10"/>
      <c r="AL155" s="10"/>
      <c r="AM155" s="10"/>
      <c r="AN155" s="10"/>
      <c r="AO155" s="10"/>
      <c r="AP155" s="10"/>
      <c r="AQ155" s="10"/>
      <c r="AR155" s="10"/>
      <c r="AS155" s="10"/>
      <c r="AT155" s="10"/>
      <c r="AU155" s="10"/>
      <c r="AV155" s="10"/>
      <c r="AW155" s="10"/>
      <c r="AX155" s="10"/>
      <c r="AY155" s="10"/>
      <c r="AZ155" s="10"/>
      <c r="BA155" s="10"/>
      <c r="BB155" s="10"/>
      <c r="BC155" s="10"/>
      <c r="BD155" s="10"/>
      <c r="BE155" s="10"/>
      <c r="BF155" s="10"/>
      <c r="BG155" s="10"/>
      <c r="BH155" s="10"/>
      <c r="BI155" s="10"/>
      <c r="BJ155" s="10"/>
      <c r="BK155" s="10"/>
      <c r="BL155" s="10"/>
      <c r="BM155" s="10"/>
      <c r="BN155" s="10"/>
      <c r="BO155" s="10"/>
      <c r="BP155" s="10"/>
      <c r="BQ155" s="10"/>
      <c r="BR155" s="10"/>
      <c r="BS155" s="10"/>
    </row>
    <row r="156" spans="16:71">
      <c r="P156" s="10"/>
      <c r="Q156" s="10"/>
      <c r="R156" s="10"/>
      <c r="S156" s="10"/>
      <c r="T156" s="10"/>
      <c r="U156" s="10"/>
      <c r="V156" s="10"/>
      <c r="W156" s="10"/>
      <c r="X156" s="10"/>
      <c r="Y156" s="10"/>
      <c r="Z156" s="10"/>
      <c r="AA156" s="10"/>
      <c r="AB156" s="10"/>
      <c r="AC156" s="10"/>
      <c r="AD156" s="10"/>
      <c r="AE156" s="10"/>
      <c r="AF156" s="10"/>
      <c r="AG156" s="10"/>
      <c r="AH156" s="10"/>
      <c r="AI156" s="10"/>
      <c r="AJ156" s="10"/>
      <c r="AK156" s="10"/>
      <c r="AL156" s="10"/>
      <c r="AM156" s="10"/>
      <c r="AN156" s="10"/>
      <c r="AO156" s="10"/>
      <c r="AP156" s="10"/>
      <c r="AQ156" s="10"/>
      <c r="AR156" s="10"/>
      <c r="AS156" s="10"/>
      <c r="AT156" s="10"/>
      <c r="AU156" s="10"/>
      <c r="AV156" s="10"/>
      <c r="AW156" s="10"/>
      <c r="AX156" s="10"/>
      <c r="AY156" s="10"/>
      <c r="AZ156" s="10"/>
      <c r="BA156" s="10"/>
      <c r="BB156" s="10"/>
      <c r="BC156" s="10"/>
      <c r="BD156" s="10"/>
      <c r="BE156" s="10"/>
      <c r="BF156" s="10"/>
      <c r="BG156" s="10"/>
      <c r="BH156" s="10"/>
      <c r="BI156" s="10"/>
      <c r="BJ156" s="10"/>
      <c r="BK156" s="10"/>
      <c r="BL156" s="10"/>
      <c r="BM156" s="10"/>
      <c r="BN156" s="10"/>
      <c r="BO156" s="10"/>
      <c r="BP156" s="10"/>
      <c r="BQ156" s="10"/>
      <c r="BR156" s="10"/>
      <c r="BS156" s="10"/>
    </row>
    <row r="157" spans="16:71">
      <c r="P157" s="10"/>
      <c r="Q157" s="10"/>
      <c r="R157" s="10"/>
      <c r="S157" s="10"/>
      <c r="T157" s="10"/>
      <c r="U157" s="10"/>
      <c r="V157" s="10"/>
      <c r="W157" s="10"/>
      <c r="X157" s="10"/>
      <c r="Y157" s="10"/>
      <c r="Z157" s="10"/>
      <c r="AA157" s="10"/>
      <c r="AB157" s="10"/>
      <c r="AC157" s="10"/>
      <c r="AD157" s="10"/>
      <c r="AE157" s="10"/>
      <c r="AF157" s="10"/>
      <c r="AG157" s="10"/>
      <c r="AH157" s="10"/>
      <c r="AI157" s="10"/>
      <c r="AJ157" s="10"/>
      <c r="AK157" s="10"/>
      <c r="AL157" s="10"/>
      <c r="AM157" s="10"/>
      <c r="AN157" s="10"/>
      <c r="AO157" s="10"/>
      <c r="AP157" s="10"/>
      <c r="AQ157" s="10"/>
      <c r="AR157" s="10"/>
      <c r="AS157" s="10"/>
      <c r="AT157" s="10"/>
      <c r="AU157" s="10"/>
      <c r="AV157" s="10"/>
      <c r="AW157" s="10"/>
      <c r="AX157" s="10"/>
      <c r="AY157" s="10"/>
      <c r="AZ157" s="10"/>
      <c r="BA157" s="10"/>
      <c r="BB157" s="10"/>
      <c r="BC157" s="10"/>
      <c r="BD157" s="10"/>
      <c r="BE157" s="10"/>
      <c r="BF157" s="10"/>
      <c r="BG157" s="10"/>
      <c r="BH157" s="10"/>
      <c r="BI157" s="10"/>
      <c r="BJ157" s="10"/>
      <c r="BK157" s="10"/>
      <c r="BL157" s="10"/>
      <c r="BM157" s="10"/>
      <c r="BN157" s="10"/>
      <c r="BO157" s="10"/>
      <c r="BP157" s="10"/>
      <c r="BQ157" s="10"/>
      <c r="BR157" s="10"/>
      <c r="BS157" s="10"/>
    </row>
    <row r="158" spans="16:71">
      <c r="P158" s="10"/>
      <c r="Q158" s="10"/>
      <c r="R158" s="10"/>
      <c r="S158" s="10"/>
      <c r="T158" s="10"/>
      <c r="U158" s="10"/>
      <c r="V158" s="10"/>
      <c r="W158" s="10"/>
      <c r="X158" s="10"/>
      <c r="Y158" s="10"/>
      <c r="Z158" s="10"/>
      <c r="AA158" s="10"/>
      <c r="AB158" s="10"/>
      <c r="AC158" s="10"/>
      <c r="AD158" s="10"/>
      <c r="AE158" s="10"/>
      <c r="AF158" s="10"/>
      <c r="AG158" s="10"/>
      <c r="AH158" s="10"/>
      <c r="AI158" s="10"/>
      <c r="AJ158" s="10"/>
      <c r="AK158" s="10"/>
      <c r="AL158" s="10"/>
      <c r="AM158" s="10"/>
      <c r="AN158" s="10"/>
      <c r="AO158" s="10"/>
      <c r="AP158" s="10"/>
      <c r="AQ158" s="10"/>
      <c r="AR158" s="10"/>
      <c r="AS158" s="10"/>
      <c r="AT158" s="10"/>
      <c r="AU158" s="10"/>
      <c r="AV158" s="10"/>
      <c r="AW158" s="10"/>
      <c r="AX158" s="10"/>
      <c r="AY158" s="10"/>
      <c r="AZ158" s="10"/>
      <c r="BA158" s="10"/>
      <c r="BB158" s="10"/>
      <c r="BC158" s="10"/>
      <c r="BD158" s="10"/>
      <c r="BE158" s="10"/>
      <c r="BF158" s="10"/>
      <c r="BG158" s="10"/>
      <c r="BH158" s="10"/>
      <c r="BI158" s="10"/>
      <c r="BJ158" s="10"/>
      <c r="BK158" s="10"/>
      <c r="BL158" s="10"/>
      <c r="BM158" s="10"/>
      <c r="BN158" s="10"/>
      <c r="BO158" s="10"/>
      <c r="BP158" s="10"/>
      <c r="BQ158" s="10"/>
      <c r="BR158" s="10"/>
      <c r="BS158" s="10"/>
    </row>
    <row r="159" spans="16:71">
      <c r="P159" s="10"/>
      <c r="Q159" s="10"/>
      <c r="R159" s="10"/>
      <c r="S159" s="10"/>
      <c r="T159" s="10"/>
      <c r="U159" s="10"/>
      <c r="V159" s="10"/>
      <c r="W159" s="10"/>
      <c r="X159" s="10"/>
      <c r="Y159" s="10"/>
      <c r="Z159" s="10"/>
      <c r="AA159" s="10"/>
      <c r="AB159" s="10"/>
      <c r="AC159" s="10"/>
      <c r="AD159" s="10"/>
      <c r="AE159" s="10"/>
      <c r="AF159" s="10"/>
      <c r="AG159" s="10"/>
      <c r="AH159" s="10"/>
      <c r="AI159" s="10"/>
      <c r="AJ159" s="10"/>
      <c r="AK159" s="10"/>
      <c r="AL159" s="10"/>
      <c r="AM159" s="10"/>
      <c r="AN159" s="10"/>
      <c r="AO159" s="10"/>
      <c r="AP159" s="10"/>
      <c r="AQ159" s="10"/>
      <c r="AR159" s="10"/>
      <c r="AS159" s="10"/>
      <c r="AT159" s="10"/>
      <c r="AU159" s="10"/>
      <c r="AV159" s="10"/>
      <c r="AW159" s="10"/>
      <c r="AX159" s="10"/>
      <c r="AY159" s="10"/>
      <c r="AZ159" s="10"/>
      <c r="BA159" s="10"/>
      <c r="BB159" s="10"/>
      <c r="BC159" s="10"/>
      <c r="BD159" s="10"/>
      <c r="BE159" s="10"/>
      <c r="BF159" s="10"/>
      <c r="BG159" s="10"/>
      <c r="BH159" s="10"/>
      <c r="BI159" s="10"/>
      <c r="BJ159" s="10"/>
      <c r="BK159" s="10"/>
      <c r="BL159" s="10"/>
      <c r="BM159" s="10"/>
      <c r="BN159" s="10"/>
      <c r="BO159" s="10"/>
      <c r="BP159" s="10"/>
      <c r="BQ159" s="10"/>
      <c r="BR159" s="10"/>
      <c r="BS159" s="10"/>
    </row>
    <row r="160" spans="16:71">
      <c r="P160" s="10"/>
      <c r="Q160" s="10"/>
      <c r="R160" s="10"/>
      <c r="S160" s="10"/>
      <c r="T160" s="10"/>
      <c r="U160" s="10"/>
      <c r="V160" s="10"/>
      <c r="W160" s="10"/>
      <c r="X160" s="10"/>
      <c r="Y160" s="10"/>
      <c r="Z160" s="10"/>
      <c r="AA160" s="10"/>
      <c r="AB160" s="10"/>
      <c r="AC160" s="10"/>
      <c r="AD160" s="10"/>
      <c r="AE160" s="10"/>
      <c r="AF160" s="10"/>
      <c r="AG160" s="10"/>
      <c r="AH160" s="10"/>
      <c r="AI160" s="10"/>
      <c r="AJ160" s="10"/>
      <c r="AK160" s="10"/>
      <c r="AL160" s="10"/>
      <c r="AM160" s="10"/>
      <c r="AN160" s="10"/>
      <c r="AO160" s="10"/>
      <c r="AP160" s="10"/>
      <c r="AQ160" s="10"/>
      <c r="AR160" s="10"/>
      <c r="AS160" s="10"/>
      <c r="AT160" s="10"/>
      <c r="AU160" s="10"/>
      <c r="AV160" s="10"/>
      <c r="AW160" s="10"/>
      <c r="AX160" s="10"/>
      <c r="AY160" s="10"/>
      <c r="AZ160" s="10"/>
      <c r="BA160" s="10"/>
      <c r="BB160" s="10"/>
      <c r="BC160" s="10"/>
      <c r="BD160" s="10"/>
      <c r="BE160" s="10"/>
      <c r="BF160" s="10"/>
      <c r="BG160" s="10"/>
      <c r="BH160" s="10"/>
      <c r="BI160" s="10"/>
      <c r="BJ160" s="10"/>
      <c r="BK160" s="10"/>
      <c r="BL160" s="10"/>
      <c r="BM160" s="10"/>
      <c r="BN160" s="10"/>
      <c r="BO160" s="10"/>
      <c r="BP160" s="10"/>
      <c r="BQ160" s="10"/>
      <c r="BR160" s="10"/>
      <c r="BS160" s="10"/>
    </row>
    <row r="161" spans="16:71">
      <c r="P161" s="10"/>
      <c r="Q161" s="10"/>
      <c r="R161" s="10"/>
      <c r="S161" s="10"/>
      <c r="T161" s="10"/>
      <c r="U161" s="10"/>
      <c r="V161" s="10"/>
      <c r="W161" s="10"/>
      <c r="X161" s="10"/>
      <c r="Y161" s="10"/>
      <c r="Z161" s="10"/>
      <c r="AA161" s="10"/>
      <c r="AB161" s="10"/>
      <c r="AC161" s="10"/>
      <c r="AD161" s="10"/>
      <c r="AE161" s="10"/>
      <c r="AF161" s="10"/>
      <c r="AG161" s="10"/>
      <c r="AH161" s="10"/>
      <c r="AI161" s="10"/>
      <c r="AJ161" s="10"/>
      <c r="AK161" s="10"/>
      <c r="AL161" s="10"/>
      <c r="AM161" s="10"/>
      <c r="AN161" s="10"/>
      <c r="AO161" s="10"/>
      <c r="AP161" s="10"/>
      <c r="AQ161" s="10"/>
      <c r="AR161" s="10"/>
      <c r="AS161" s="10"/>
      <c r="AT161" s="10"/>
      <c r="AU161" s="10"/>
      <c r="AV161" s="10"/>
      <c r="AW161" s="10"/>
      <c r="AX161" s="10"/>
      <c r="AY161" s="10"/>
      <c r="AZ161" s="10"/>
      <c r="BA161" s="10"/>
      <c r="BB161" s="10"/>
      <c r="BC161" s="10"/>
      <c r="BD161" s="10"/>
      <c r="BE161" s="10"/>
      <c r="BF161" s="10"/>
      <c r="BG161" s="10"/>
      <c r="BH161" s="10"/>
      <c r="BI161" s="10"/>
      <c r="BJ161" s="10"/>
      <c r="BK161" s="10"/>
      <c r="BL161" s="10"/>
      <c r="BM161" s="10"/>
      <c r="BN161" s="10"/>
      <c r="BO161" s="10"/>
      <c r="BP161" s="10"/>
      <c r="BQ161" s="10"/>
      <c r="BR161" s="10"/>
      <c r="BS161" s="10"/>
    </row>
    <row r="162" spans="16:71">
      <c r="P162" s="10"/>
      <c r="Q162" s="10"/>
      <c r="R162" s="10"/>
      <c r="S162" s="10"/>
      <c r="T162" s="10"/>
      <c r="U162" s="10"/>
      <c r="V162" s="10"/>
      <c r="W162" s="10"/>
      <c r="X162" s="10"/>
      <c r="Y162" s="10"/>
      <c r="Z162" s="10"/>
      <c r="AA162" s="10"/>
      <c r="AB162" s="10"/>
      <c r="AC162" s="10"/>
      <c r="AD162" s="10"/>
      <c r="AE162" s="10"/>
      <c r="AF162" s="10"/>
      <c r="AG162" s="10"/>
      <c r="AH162" s="10"/>
      <c r="AI162" s="10"/>
      <c r="AJ162" s="10"/>
      <c r="AK162" s="10"/>
      <c r="AL162" s="10"/>
      <c r="AM162" s="10"/>
      <c r="AN162" s="10"/>
      <c r="AO162" s="10"/>
      <c r="AP162" s="10"/>
      <c r="AQ162" s="10"/>
      <c r="AR162" s="10"/>
      <c r="AS162" s="10"/>
      <c r="AT162" s="10"/>
      <c r="AU162" s="10"/>
      <c r="AV162" s="10"/>
      <c r="AW162" s="10"/>
      <c r="AX162" s="10"/>
      <c r="AY162" s="10"/>
      <c r="AZ162" s="10"/>
      <c r="BA162" s="10"/>
      <c r="BB162" s="10"/>
      <c r="BC162" s="10"/>
      <c r="BD162" s="10"/>
      <c r="BE162" s="10"/>
      <c r="BF162" s="10"/>
      <c r="BG162" s="10"/>
      <c r="BH162" s="10"/>
      <c r="BI162" s="10"/>
      <c r="BJ162" s="10"/>
      <c r="BK162" s="10"/>
      <c r="BL162" s="10"/>
      <c r="BM162" s="10"/>
      <c r="BN162" s="10"/>
      <c r="BO162" s="10"/>
      <c r="BP162" s="10"/>
      <c r="BQ162" s="10"/>
      <c r="BR162" s="10"/>
      <c r="BS162" s="10"/>
    </row>
    <row r="163" spans="16:71">
      <c r="P163" s="10"/>
      <c r="Q163" s="10"/>
      <c r="R163" s="10"/>
      <c r="S163" s="10"/>
      <c r="T163" s="10"/>
      <c r="U163" s="10"/>
      <c r="V163" s="10"/>
      <c r="W163" s="10"/>
      <c r="X163" s="10"/>
      <c r="Y163" s="10"/>
      <c r="Z163" s="10"/>
      <c r="AA163" s="10"/>
      <c r="AB163" s="10"/>
      <c r="AC163" s="10"/>
      <c r="AD163" s="10"/>
      <c r="AE163" s="10"/>
      <c r="AF163" s="10"/>
      <c r="AG163" s="10"/>
      <c r="AH163" s="10"/>
      <c r="AI163" s="10"/>
      <c r="AJ163" s="10"/>
      <c r="AK163" s="10"/>
      <c r="AL163" s="10"/>
      <c r="AM163" s="10"/>
      <c r="AN163" s="10"/>
      <c r="AO163" s="10"/>
      <c r="AP163" s="10"/>
      <c r="AQ163" s="10"/>
      <c r="AR163" s="10"/>
      <c r="AS163" s="10"/>
      <c r="AT163" s="10"/>
      <c r="AU163" s="10"/>
      <c r="AV163" s="10"/>
      <c r="AW163" s="10"/>
      <c r="AX163" s="10"/>
      <c r="AY163" s="10"/>
      <c r="AZ163" s="10"/>
      <c r="BA163" s="10"/>
      <c r="BB163" s="10"/>
      <c r="BC163" s="10"/>
      <c r="BD163" s="10"/>
      <c r="BE163" s="10"/>
      <c r="BF163" s="10"/>
      <c r="BG163" s="10"/>
      <c r="BH163" s="10"/>
      <c r="BI163" s="10"/>
      <c r="BJ163" s="10"/>
      <c r="BK163" s="10"/>
      <c r="BL163" s="10"/>
      <c r="BM163" s="10"/>
      <c r="BN163" s="10"/>
      <c r="BO163" s="10"/>
      <c r="BP163" s="10"/>
      <c r="BQ163" s="10"/>
      <c r="BR163" s="10"/>
      <c r="BS163" s="10"/>
    </row>
    <row r="164" spans="16:71">
      <c r="P164" s="10"/>
      <c r="Q164" s="10"/>
      <c r="R164" s="10"/>
      <c r="S164" s="10"/>
      <c r="T164" s="10"/>
      <c r="U164" s="10"/>
      <c r="V164" s="10"/>
      <c r="W164" s="10"/>
      <c r="X164" s="10"/>
      <c r="Y164" s="10"/>
      <c r="Z164" s="10"/>
      <c r="AA164" s="10"/>
      <c r="AB164" s="10"/>
      <c r="AC164" s="10"/>
      <c r="AD164" s="10"/>
      <c r="AE164" s="10"/>
      <c r="AF164" s="10"/>
      <c r="AG164" s="10"/>
      <c r="AH164" s="10"/>
      <c r="AI164" s="10"/>
      <c r="AJ164" s="10"/>
      <c r="AK164" s="10"/>
      <c r="AL164" s="10"/>
      <c r="AM164" s="10"/>
      <c r="AN164" s="10"/>
      <c r="AO164" s="10"/>
      <c r="AP164" s="10"/>
      <c r="AQ164" s="10"/>
      <c r="AR164" s="10"/>
      <c r="AS164" s="10"/>
      <c r="AT164" s="10"/>
      <c r="AU164" s="10"/>
      <c r="AV164" s="10"/>
      <c r="AW164" s="10"/>
      <c r="AX164" s="10"/>
      <c r="AY164" s="10"/>
      <c r="AZ164" s="10"/>
      <c r="BA164" s="10"/>
      <c r="BB164" s="10"/>
      <c r="BC164" s="10"/>
      <c r="BD164" s="10"/>
      <c r="BE164" s="10"/>
      <c r="BF164" s="10"/>
      <c r="BG164" s="10"/>
      <c r="BH164" s="10"/>
      <c r="BI164" s="10"/>
      <c r="BJ164" s="10"/>
      <c r="BK164" s="10"/>
      <c r="BL164" s="10"/>
      <c r="BM164" s="10"/>
      <c r="BN164" s="10"/>
      <c r="BO164" s="10"/>
      <c r="BP164" s="10"/>
      <c r="BQ164" s="10"/>
      <c r="BR164" s="10"/>
      <c r="BS164" s="10"/>
    </row>
    <row r="165" spans="16:71">
      <c r="P165" s="10"/>
      <c r="Q165" s="10"/>
      <c r="R165" s="10"/>
      <c r="S165" s="10"/>
      <c r="T165" s="10"/>
      <c r="U165" s="10"/>
      <c r="V165" s="10"/>
      <c r="W165" s="10"/>
      <c r="X165" s="10"/>
      <c r="Y165" s="10"/>
      <c r="Z165" s="10"/>
      <c r="AA165" s="10"/>
      <c r="AB165" s="10"/>
      <c r="AC165" s="10"/>
      <c r="AD165" s="10"/>
      <c r="AE165" s="10"/>
      <c r="AF165" s="10"/>
      <c r="AG165" s="10"/>
      <c r="AH165" s="10"/>
      <c r="AI165" s="10"/>
      <c r="AJ165" s="10"/>
      <c r="AK165" s="10"/>
      <c r="AL165" s="10"/>
      <c r="AM165" s="10"/>
      <c r="AN165" s="10"/>
      <c r="AO165" s="10"/>
      <c r="AP165" s="10"/>
      <c r="AQ165" s="10"/>
      <c r="AR165" s="10"/>
      <c r="AS165" s="10"/>
      <c r="AT165" s="10"/>
      <c r="AU165" s="10"/>
      <c r="AV165" s="10"/>
      <c r="AW165" s="10"/>
      <c r="AX165" s="10"/>
      <c r="AY165" s="10"/>
      <c r="AZ165" s="10"/>
      <c r="BA165" s="10"/>
      <c r="BB165" s="10"/>
      <c r="BC165" s="10"/>
      <c r="BD165" s="10"/>
      <c r="BE165" s="10"/>
      <c r="BF165" s="10"/>
      <c r="BG165" s="10"/>
      <c r="BH165" s="10"/>
      <c r="BI165" s="10"/>
      <c r="BJ165" s="10"/>
      <c r="BK165" s="10"/>
      <c r="BL165" s="10"/>
      <c r="BM165" s="10"/>
      <c r="BN165" s="10"/>
      <c r="BO165" s="10"/>
      <c r="BP165" s="10"/>
      <c r="BQ165" s="10"/>
      <c r="BR165" s="10"/>
      <c r="BS165" s="10"/>
    </row>
    <row r="166" spans="16:71">
      <c r="P166" s="10"/>
      <c r="Q166" s="10"/>
      <c r="R166" s="10"/>
      <c r="S166" s="10"/>
      <c r="T166" s="10"/>
      <c r="U166" s="10"/>
      <c r="V166" s="10"/>
      <c r="W166" s="10"/>
      <c r="X166" s="10"/>
      <c r="Y166" s="10"/>
      <c r="Z166" s="10"/>
      <c r="AA166" s="10"/>
      <c r="AB166" s="10"/>
      <c r="AC166" s="10"/>
      <c r="AD166" s="10"/>
      <c r="AE166" s="10"/>
      <c r="AF166" s="10"/>
      <c r="AG166" s="10"/>
      <c r="AH166" s="10"/>
      <c r="AI166" s="10"/>
      <c r="AJ166" s="10"/>
      <c r="AK166" s="10"/>
      <c r="AL166" s="10"/>
      <c r="AM166" s="10"/>
      <c r="AN166" s="10"/>
      <c r="AO166" s="10"/>
      <c r="AP166" s="10"/>
      <c r="AQ166" s="10"/>
      <c r="AR166" s="10"/>
      <c r="AS166" s="10"/>
      <c r="AT166" s="10"/>
      <c r="AU166" s="10"/>
      <c r="AV166" s="10"/>
      <c r="AW166" s="10"/>
      <c r="AX166" s="10"/>
      <c r="AY166" s="10"/>
      <c r="AZ166" s="10"/>
      <c r="BA166" s="10"/>
      <c r="BB166" s="10"/>
      <c r="BC166" s="10"/>
      <c r="BD166" s="10"/>
      <c r="BE166" s="10"/>
      <c r="BF166" s="10"/>
      <c r="BG166" s="10"/>
      <c r="BH166" s="10"/>
      <c r="BI166" s="10"/>
      <c r="BJ166" s="10"/>
      <c r="BK166" s="10"/>
      <c r="BL166" s="10"/>
      <c r="BM166" s="10"/>
      <c r="BN166" s="10"/>
      <c r="BO166" s="10"/>
      <c r="BP166" s="10"/>
      <c r="BQ166" s="10"/>
      <c r="BR166" s="10"/>
      <c r="BS166" s="10"/>
    </row>
    <row r="167" spans="16:71">
      <c r="P167" s="10"/>
      <c r="Q167" s="10"/>
      <c r="R167" s="10"/>
      <c r="S167" s="10"/>
      <c r="T167" s="10"/>
      <c r="U167" s="10"/>
      <c r="V167" s="10"/>
      <c r="W167" s="10"/>
      <c r="X167" s="10"/>
      <c r="Y167" s="10"/>
      <c r="Z167" s="10"/>
      <c r="AA167" s="10"/>
      <c r="AB167" s="10"/>
      <c r="AC167" s="10"/>
      <c r="AD167" s="10"/>
      <c r="AE167" s="10"/>
      <c r="AF167" s="10"/>
      <c r="AG167" s="10"/>
      <c r="AH167" s="10"/>
      <c r="AI167" s="10"/>
      <c r="AJ167" s="10"/>
      <c r="AK167" s="10"/>
      <c r="AL167" s="10"/>
      <c r="AM167" s="10"/>
      <c r="AN167" s="10"/>
      <c r="AO167" s="10"/>
      <c r="AP167" s="10"/>
      <c r="AQ167" s="10"/>
      <c r="AR167" s="10"/>
      <c r="AS167" s="10"/>
      <c r="AT167" s="10"/>
      <c r="AU167" s="10"/>
      <c r="AV167" s="10"/>
      <c r="AW167" s="10"/>
      <c r="AX167" s="10"/>
      <c r="AY167" s="10"/>
      <c r="AZ167" s="10"/>
      <c r="BA167" s="10"/>
      <c r="BB167" s="10"/>
      <c r="BC167" s="10"/>
      <c r="BD167" s="10"/>
      <c r="BE167" s="10"/>
      <c r="BF167" s="10"/>
      <c r="BG167" s="10"/>
      <c r="BH167" s="10"/>
      <c r="BI167" s="10"/>
      <c r="BJ167" s="10"/>
      <c r="BK167" s="10"/>
      <c r="BL167" s="10"/>
      <c r="BM167" s="10"/>
      <c r="BN167" s="10"/>
      <c r="BO167" s="10"/>
      <c r="BP167" s="10"/>
      <c r="BQ167" s="10"/>
      <c r="BR167" s="10"/>
      <c r="BS167" s="10"/>
    </row>
    <row r="168" spans="16:71">
      <c r="P168" s="10"/>
      <c r="Q168" s="10"/>
      <c r="R168" s="10"/>
      <c r="S168" s="10"/>
      <c r="T168" s="10"/>
      <c r="U168" s="10"/>
      <c r="V168" s="10"/>
      <c r="W168" s="10"/>
      <c r="X168" s="10"/>
      <c r="Y168" s="10"/>
      <c r="Z168" s="10"/>
      <c r="AA168" s="10"/>
      <c r="AB168" s="10"/>
      <c r="AC168" s="10"/>
      <c r="AD168" s="10"/>
      <c r="AE168" s="10"/>
      <c r="AF168" s="10"/>
      <c r="AG168" s="10"/>
      <c r="AH168" s="10"/>
      <c r="AI168" s="10"/>
      <c r="AJ168" s="10"/>
      <c r="AK168" s="10"/>
      <c r="AL168" s="10"/>
      <c r="AM168" s="10"/>
      <c r="AN168" s="10"/>
      <c r="AO168" s="10"/>
      <c r="AP168" s="10"/>
      <c r="AQ168" s="10"/>
      <c r="AR168" s="10"/>
      <c r="AS168" s="10"/>
      <c r="AT168" s="10"/>
      <c r="AU168" s="10"/>
      <c r="AV168" s="10"/>
      <c r="AW168" s="10"/>
      <c r="AX168" s="10"/>
      <c r="AY168" s="10"/>
      <c r="AZ168" s="10"/>
      <c r="BA168" s="10"/>
      <c r="BB168" s="10"/>
      <c r="BC168" s="10"/>
      <c r="BD168" s="10"/>
      <c r="BE168" s="10"/>
      <c r="BF168" s="10"/>
      <c r="BG168" s="10"/>
      <c r="BH168" s="10"/>
      <c r="BI168" s="10"/>
      <c r="BJ168" s="10"/>
      <c r="BK168" s="10"/>
      <c r="BL168" s="10"/>
      <c r="BM168" s="10"/>
      <c r="BN168" s="10"/>
      <c r="BO168" s="10"/>
      <c r="BP168" s="10"/>
      <c r="BQ168" s="10"/>
      <c r="BR168" s="10"/>
      <c r="BS168" s="10"/>
    </row>
    <row r="169" spans="16:71">
      <c r="P169" s="10"/>
      <c r="Q169" s="10"/>
      <c r="R169" s="10"/>
      <c r="S169" s="10"/>
      <c r="T169" s="10"/>
      <c r="U169" s="10"/>
      <c r="V169" s="10"/>
      <c r="W169" s="10"/>
      <c r="X169" s="10"/>
      <c r="Y169" s="10"/>
      <c r="Z169" s="10"/>
      <c r="AA169" s="10"/>
      <c r="AB169" s="10"/>
      <c r="AC169" s="10"/>
      <c r="AD169" s="10"/>
      <c r="AE169" s="10"/>
      <c r="AF169" s="10"/>
      <c r="AG169" s="10"/>
      <c r="AH169" s="10"/>
      <c r="AI169" s="10"/>
      <c r="AJ169" s="10"/>
      <c r="AK169" s="10"/>
      <c r="AL169" s="10"/>
      <c r="AM169" s="10"/>
      <c r="AN169" s="10"/>
      <c r="AO169" s="10"/>
      <c r="AP169" s="10"/>
      <c r="AQ169" s="10"/>
      <c r="AR169" s="10"/>
      <c r="AS169" s="10"/>
      <c r="AT169" s="10"/>
      <c r="AU169" s="10"/>
      <c r="AV169" s="10"/>
      <c r="AW169" s="10"/>
      <c r="AX169" s="10"/>
      <c r="AY169" s="10"/>
      <c r="AZ169" s="10"/>
      <c r="BA169" s="10"/>
      <c r="BB169" s="10"/>
      <c r="BC169" s="10"/>
      <c r="BD169" s="10"/>
      <c r="BE169" s="10"/>
      <c r="BF169" s="10"/>
      <c r="BG169" s="10"/>
      <c r="BH169" s="10"/>
      <c r="BI169" s="10"/>
      <c r="BJ169" s="10"/>
      <c r="BK169" s="10"/>
      <c r="BL169" s="10"/>
      <c r="BM169" s="10"/>
      <c r="BN169" s="10"/>
      <c r="BO169" s="10"/>
      <c r="BP169" s="10"/>
      <c r="BQ169" s="10"/>
      <c r="BR169" s="10"/>
      <c r="BS169" s="10"/>
    </row>
    <row r="170" spans="16:71">
      <c r="P170" s="10"/>
      <c r="Q170" s="10"/>
      <c r="R170" s="10"/>
      <c r="S170" s="10"/>
      <c r="T170" s="10"/>
      <c r="U170" s="10"/>
      <c r="V170" s="10"/>
      <c r="W170" s="10"/>
      <c r="X170" s="10"/>
      <c r="Y170" s="10"/>
      <c r="Z170" s="10"/>
      <c r="AA170" s="10"/>
      <c r="AB170" s="10"/>
      <c r="AC170" s="10"/>
      <c r="AD170" s="10"/>
      <c r="AE170" s="10"/>
      <c r="AF170" s="10"/>
      <c r="AG170" s="10"/>
      <c r="AH170" s="10"/>
      <c r="AI170" s="10"/>
      <c r="AJ170" s="10"/>
      <c r="AK170" s="10"/>
      <c r="AL170" s="10"/>
      <c r="AM170" s="10"/>
      <c r="AN170" s="10"/>
      <c r="AO170" s="10"/>
      <c r="AP170" s="10"/>
      <c r="AQ170" s="10"/>
      <c r="AR170" s="10"/>
      <c r="AS170" s="10"/>
      <c r="AT170" s="10"/>
      <c r="AU170" s="10"/>
      <c r="AV170" s="10"/>
      <c r="AW170" s="10"/>
      <c r="AX170" s="10"/>
      <c r="AY170" s="10"/>
      <c r="AZ170" s="10"/>
      <c r="BA170" s="10"/>
      <c r="BB170" s="10"/>
      <c r="BC170" s="10"/>
      <c r="BD170" s="10"/>
      <c r="BE170" s="10"/>
      <c r="BF170" s="10"/>
      <c r="BG170" s="10"/>
      <c r="BH170" s="10"/>
      <c r="BI170" s="10"/>
      <c r="BJ170" s="10"/>
      <c r="BK170" s="10"/>
      <c r="BL170" s="10"/>
      <c r="BM170" s="10"/>
      <c r="BN170" s="10"/>
      <c r="BO170" s="10"/>
      <c r="BP170" s="10"/>
      <c r="BQ170" s="10"/>
      <c r="BR170" s="10"/>
      <c r="BS170" s="10"/>
    </row>
    <row r="171" spans="16:71">
      <c r="P171" s="10"/>
      <c r="Q171" s="10"/>
      <c r="R171" s="10"/>
      <c r="S171" s="10"/>
      <c r="T171" s="10"/>
      <c r="U171" s="10"/>
      <c r="V171" s="10"/>
      <c r="W171" s="10"/>
      <c r="X171" s="10"/>
      <c r="Y171" s="10"/>
      <c r="Z171" s="10"/>
      <c r="AA171" s="10"/>
      <c r="AB171" s="10"/>
      <c r="AC171" s="10"/>
      <c r="AD171" s="10"/>
      <c r="AE171" s="10"/>
      <c r="AF171" s="10"/>
      <c r="AG171" s="10"/>
      <c r="AH171" s="10"/>
      <c r="AI171" s="10"/>
      <c r="AJ171" s="10"/>
      <c r="AK171" s="10"/>
      <c r="AL171" s="10"/>
      <c r="AM171" s="10"/>
      <c r="AN171" s="10"/>
      <c r="AO171" s="10"/>
      <c r="AP171" s="10"/>
      <c r="AQ171" s="10"/>
      <c r="AR171" s="10"/>
      <c r="AS171" s="10"/>
      <c r="AT171" s="10"/>
      <c r="AU171" s="10"/>
      <c r="AV171" s="10"/>
      <c r="AW171" s="10"/>
      <c r="AX171" s="10"/>
      <c r="AY171" s="10"/>
      <c r="AZ171" s="10"/>
      <c r="BA171" s="10"/>
      <c r="BB171" s="10"/>
      <c r="BC171" s="10"/>
      <c r="BD171" s="10"/>
      <c r="BE171" s="10"/>
      <c r="BF171" s="10"/>
      <c r="BG171" s="10"/>
      <c r="BH171" s="10"/>
      <c r="BI171" s="10"/>
      <c r="BJ171" s="10"/>
      <c r="BK171" s="10"/>
      <c r="BL171" s="10"/>
      <c r="BM171" s="10"/>
      <c r="BN171" s="10"/>
      <c r="BO171" s="10"/>
      <c r="BP171" s="10"/>
      <c r="BQ171" s="10"/>
      <c r="BR171" s="10"/>
      <c r="BS171" s="10"/>
    </row>
    <row r="172" spans="16:71">
      <c r="P172" s="10"/>
      <c r="Q172" s="10"/>
      <c r="R172" s="10"/>
      <c r="S172" s="10"/>
      <c r="T172" s="10"/>
      <c r="U172" s="10"/>
      <c r="V172" s="10"/>
      <c r="W172" s="10"/>
      <c r="X172" s="10"/>
      <c r="Y172" s="10"/>
      <c r="Z172" s="10"/>
      <c r="AA172" s="10"/>
      <c r="AB172" s="10"/>
      <c r="AC172" s="10"/>
      <c r="AD172" s="10"/>
      <c r="AE172" s="10"/>
      <c r="AF172" s="10"/>
      <c r="AG172" s="10"/>
      <c r="AH172" s="10"/>
      <c r="AI172" s="10"/>
      <c r="AJ172" s="10"/>
      <c r="AK172" s="10"/>
      <c r="AL172" s="10"/>
      <c r="AM172" s="10"/>
      <c r="AN172" s="10"/>
      <c r="AO172" s="10"/>
      <c r="AP172" s="10"/>
      <c r="AQ172" s="10"/>
      <c r="AR172" s="10"/>
      <c r="AS172" s="10"/>
      <c r="AT172" s="10"/>
      <c r="AU172" s="10"/>
      <c r="AV172" s="10"/>
      <c r="AW172" s="10"/>
      <c r="AX172" s="10"/>
      <c r="AY172" s="10"/>
      <c r="AZ172" s="10"/>
      <c r="BA172" s="10"/>
      <c r="BB172" s="10"/>
      <c r="BC172" s="10"/>
      <c r="BD172" s="10"/>
      <c r="BE172" s="10"/>
      <c r="BF172" s="10"/>
      <c r="BG172" s="10"/>
      <c r="BH172" s="10"/>
      <c r="BI172" s="10"/>
      <c r="BJ172" s="10"/>
      <c r="BK172" s="10"/>
      <c r="BL172" s="10"/>
      <c r="BM172" s="10"/>
      <c r="BN172" s="10"/>
      <c r="BO172" s="10"/>
      <c r="BP172" s="10"/>
      <c r="BQ172" s="10"/>
      <c r="BR172" s="10"/>
      <c r="BS172" s="10"/>
    </row>
    <row r="173" spans="16:71">
      <c r="P173" s="10"/>
      <c r="Q173" s="10"/>
      <c r="R173" s="10"/>
      <c r="S173" s="10"/>
      <c r="T173" s="10"/>
      <c r="U173" s="10"/>
      <c r="V173" s="10"/>
      <c r="W173" s="10"/>
      <c r="X173" s="10"/>
      <c r="Y173" s="10"/>
      <c r="Z173" s="10"/>
      <c r="AA173" s="10"/>
      <c r="AB173" s="10"/>
      <c r="AC173" s="10"/>
      <c r="AD173" s="10"/>
      <c r="AE173" s="10"/>
      <c r="AF173" s="10"/>
      <c r="AG173" s="10"/>
      <c r="AH173" s="10"/>
      <c r="AI173" s="10"/>
      <c r="AJ173" s="10"/>
      <c r="AK173" s="10"/>
      <c r="AL173" s="10"/>
      <c r="AM173" s="10"/>
      <c r="AN173" s="10"/>
      <c r="AO173" s="10"/>
      <c r="AP173" s="10"/>
      <c r="AQ173" s="10"/>
      <c r="AR173" s="10"/>
      <c r="AS173" s="10"/>
      <c r="AT173" s="10"/>
      <c r="AU173" s="10"/>
      <c r="AV173" s="10"/>
      <c r="AW173" s="10"/>
      <c r="AX173" s="10"/>
      <c r="AY173" s="10"/>
      <c r="AZ173" s="10"/>
      <c r="BA173" s="10"/>
      <c r="BB173" s="10"/>
      <c r="BC173" s="10"/>
      <c r="BD173" s="10"/>
      <c r="BE173" s="10"/>
      <c r="BF173" s="10"/>
      <c r="BG173" s="10"/>
      <c r="BH173" s="10"/>
      <c r="BI173" s="10"/>
      <c r="BJ173" s="10"/>
      <c r="BK173" s="10"/>
      <c r="BL173" s="10"/>
      <c r="BM173" s="10"/>
      <c r="BN173" s="10"/>
      <c r="BO173" s="10"/>
      <c r="BP173" s="10"/>
      <c r="BQ173" s="10"/>
      <c r="BR173" s="10"/>
      <c r="BS173" s="10"/>
    </row>
    <row r="174" spans="16:71">
      <c r="P174" s="10"/>
      <c r="Q174" s="10"/>
      <c r="R174" s="10"/>
      <c r="S174" s="10"/>
      <c r="T174" s="10"/>
      <c r="U174" s="10"/>
      <c r="V174" s="10"/>
      <c r="W174" s="10"/>
      <c r="X174" s="10"/>
      <c r="Y174" s="10"/>
      <c r="Z174" s="10"/>
      <c r="AA174" s="10"/>
      <c r="AB174" s="10"/>
      <c r="AC174" s="10"/>
      <c r="AD174" s="10"/>
      <c r="AE174" s="10"/>
      <c r="AF174" s="10"/>
      <c r="AG174" s="10"/>
      <c r="AH174" s="10"/>
      <c r="AI174" s="10"/>
      <c r="AJ174" s="10"/>
      <c r="AK174" s="10"/>
      <c r="AL174" s="10"/>
      <c r="AM174" s="10"/>
      <c r="AN174" s="10"/>
      <c r="AO174" s="10"/>
      <c r="AP174" s="10"/>
      <c r="AQ174" s="10"/>
      <c r="AR174" s="10"/>
      <c r="AS174" s="10"/>
      <c r="AT174" s="10"/>
      <c r="AU174" s="10"/>
      <c r="AV174" s="10"/>
      <c r="AW174" s="10"/>
      <c r="AX174" s="10"/>
      <c r="AY174" s="10"/>
      <c r="AZ174" s="10"/>
      <c r="BA174" s="10"/>
      <c r="BB174" s="10"/>
      <c r="BC174" s="10"/>
      <c r="BD174" s="10"/>
      <c r="BE174" s="10"/>
      <c r="BF174" s="10"/>
      <c r="BG174" s="10"/>
      <c r="BH174" s="10"/>
      <c r="BI174" s="10"/>
      <c r="BJ174" s="10"/>
      <c r="BK174" s="10"/>
      <c r="BL174" s="10"/>
      <c r="BM174" s="10"/>
      <c r="BN174" s="10"/>
      <c r="BO174" s="10"/>
      <c r="BP174" s="10"/>
      <c r="BQ174" s="10"/>
      <c r="BR174" s="10"/>
      <c r="BS174" s="10"/>
    </row>
    <row r="175" spans="16:71">
      <c r="P175" s="10"/>
      <c r="Q175" s="10"/>
      <c r="R175" s="10"/>
      <c r="S175" s="10"/>
      <c r="T175" s="10"/>
      <c r="U175" s="10"/>
      <c r="V175" s="10"/>
      <c r="W175" s="10"/>
      <c r="X175" s="10"/>
      <c r="Y175" s="10"/>
      <c r="Z175" s="10"/>
      <c r="AA175" s="10"/>
      <c r="AB175" s="10"/>
      <c r="AC175" s="10"/>
      <c r="AD175" s="10"/>
      <c r="AE175" s="10"/>
      <c r="AF175" s="10"/>
      <c r="AG175" s="10"/>
      <c r="AH175" s="10"/>
      <c r="AI175" s="10"/>
      <c r="AJ175" s="10"/>
      <c r="AK175" s="10"/>
      <c r="AL175" s="10"/>
      <c r="AM175" s="10"/>
      <c r="AN175" s="10"/>
      <c r="AO175" s="10"/>
      <c r="AP175" s="10"/>
      <c r="AQ175" s="10"/>
      <c r="AR175" s="10"/>
      <c r="AS175" s="10"/>
      <c r="AT175" s="10"/>
      <c r="AU175" s="10"/>
      <c r="AV175" s="10"/>
      <c r="AW175" s="10"/>
      <c r="AX175" s="10"/>
      <c r="AY175" s="10"/>
      <c r="AZ175" s="10"/>
      <c r="BA175" s="10"/>
      <c r="BB175" s="10"/>
      <c r="BC175" s="10"/>
      <c r="BD175" s="10"/>
      <c r="BE175" s="10"/>
      <c r="BF175" s="10"/>
      <c r="BG175" s="10"/>
      <c r="BH175" s="10"/>
      <c r="BI175" s="10"/>
      <c r="BJ175" s="10"/>
      <c r="BK175" s="10"/>
      <c r="BL175" s="10"/>
      <c r="BM175" s="10"/>
      <c r="BN175" s="10"/>
      <c r="BO175" s="10"/>
      <c r="BP175" s="10"/>
      <c r="BQ175" s="10"/>
      <c r="BR175" s="10"/>
      <c r="BS175" s="10"/>
    </row>
    <row r="176" spans="16:71">
      <c r="P176" s="10"/>
      <c r="Q176" s="10"/>
      <c r="R176" s="10"/>
      <c r="S176" s="10"/>
      <c r="T176" s="10"/>
      <c r="U176" s="10"/>
      <c r="V176" s="10"/>
      <c r="W176" s="10"/>
      <c r="X176" s="10"/>
      <c r="Y176" s="10"/>
      <c r="Z176" s="10"/>
      <c r="AA176" s="10"/>
      <c r="AB176" s="10"/>
      <c r="AC176" s="10"/>
      <c r="AD176" s="10"/>
      <c r="AE176" s="10"/>
      <c r="AF176" s="10"/>
      <c r="AG176" s="10"/>
      <c r="AH176" s="10"/>
      <c r="AI176" s="10"/>
      <c r="AJ176" s="10"/>
      <c r="AK176" s="10"/>
      <c r="AL176" s="10"/>
      <c r="AM176" s="10"/>
      <c r="AN176" s="10"/>
      <c r="AO176" s="10"/>
      <c r="AP176" s="10"/>
      <c r="AQ176" s="10"/>
      <c r="AR176" s="10"/>
      <c r="AS176" s="10"/>
      <c r="AT176" s="10"/>
      <c r="AU176" s="10"/>
      <c r="AV176" s="10"/>
      <c r="AW176" s="10"/>
      <c r="AX176" s="10"/>
      <c r="AY176" s="10"/>
      <c r="AZ176" s="10"/>
      <c r="BA176" s="10"/>
      <c r="BB176" s="10"/>
      <c r="BC176" s="10"/>
      <c r="BD176" s="10"/>
      <c r="BE176" s="10"/>
      <c r="BF176" s="10"/>
      <c r="BG176" s="10"/>
      <c r="BH176" s="10"/>
      <c r="BI176" s="10"/>
      <c r="BJ176" s="10"/>
      <c r="BK176" s="10"/>
      <c r="BL176" s="10"/>
      <c r="BM176" s="10"/>
      <c r="BN176" s="10"/>
      <c r="BO176" s="10"/>
      <c r="BP176" s="10"/>
      <c r="BQ176" s="10"/>
      <c r="BR176" s="10"/>
      <c r="BS176" s="10"/>
    </row>
    <row r="177" spans="16:71">
      <c r="P177" s="10"/>
      <c r="Q177" s="10"/>
      <c r="R177" s="10"/>
      <c r="S177" s="10"/>
      <c r="T177" s="10"/>
      <c r="U177" s="10"/>
      <c r="V177" s="10"/>
      <c r="W177" s="10"/>
      <c r="X177" s="10"/>
      <c r="Y177" s="10"/>
      <c r="Z177" s="10"/>
      <c r="AA177" s="10"/>
      <c r="AB177" s="10"/>
      <c r="AC177" s="10"/>
      <c r="AD177" s="10"/>
      <c r="AE177" s="10"/>
      <c r="AF177" s="10"/>
      <c r="AG177" s="10"/>
      <c r="AH177" s="10"/>
      <c r="AI177" s="10"/>
      <c r="AJ177" s="10"/>
      <c r="AK177" s="10"/>
      <c r="AL177" s="10"/>
      <c r="AM177" s="10"/>
      <c r="AN177" s="10"/>
      <c r="AO177" s="10"/>
      <c r="AP177" s="10"/>
      <c r="AQ177" s="10"/>
      <c r="AR177" s="10"/>
      <c r="AS177" s="10"/>
      <c r="AT177" s="10"/>
      <c r="AU177" s="10"/>
      <c r="AV177" s="10"/>
      <c r="AW177" s="10"/>
      <c r="AX177" s="10"/>
      <c r="AY177" s="10"/>
      <c r="AZ177" s="10"/>
      <c r="BA177" s="10"/>
      <c r="BB177" s="10"/>
      <c r="BC177" s="10"/>
      <c r="BD177" s="10"/>
      <c r="BE177" s="10"/>
      <c r="BF177" s="10"/>
      <c r="BG177" s="10"/>
      <c r="BH177" s="10"/>
      <c r="BI177" s="10"/>
      <c r="BJ177" s="10"/>
      <c r="BK177" s="10"/>
      <c r="BL177" s="10"/>
      <c r="BM177" s="10"/>
      <c r="BN177" s="10"/>
      <c r="BO177" s="10"/>
      <c r="BP177" s="10"/>
      <c r="BQ177" s="10"/>
      <c r="BR177" s="10"/>
      <c r="BS177" s="10"/>
    </row>
    <row r="178" spans="16:71">
      <c r="P178" s="10"/>
      <c r="Q178" s="10"/>
      <c r="R178" s="10"/>
      <c r="S178" s="10"/>
      <c r="T178" s="10"/>
      <c r="U178" s="10"/>
      <c r="V178" s="10"/>
      <c r="W178" s="10"/>
      <c r="X178" s="10"/>
      <c r="Y178" s="10"/>
      <c r="Z178" s="10"/>
      <c r="AA178" s="10"/>
      <c r="AB178" s="10"/>
      <c r="AC178" s="10"/>
      <c r="AD178" s="10"/>
      <c r="AE178" s="10"/>
      <c r="AF178" s="10"/>
      <c r="AG178" s="10"/>
      <c r="AH178" s="10"/>
      <c r="AI178" s="10"/>
      <c r="AJ178" s="10"/>
      <c r="AK178" s="10"/>
      <c r="AL178" s="10"/>
      <c r="AM178" s="10"/>
      <c r="AN178" s="10"/>
      <c r="AO178" s="10"/>
      <c r="AP178" s="10"/>
      <c r="AQ178" s="10"/>
      <c r="AR178" s="10"/>
      <c r="AS178" s="10"/>
      <c r="AT178" s="10"/>
      <c r="AU178" s="10"/>
      <c r="AV178" s="10"/>
      <c r="AW178" s="10"/>
      <c r="AX178" s="10"/>
      <c r="AY178" s="10"/>
      <c r="AZ178" s="10"/>
      <c r="BA178" s="10"/>
      <c r="BB178" s="10"/>
      <c r="BC178" s="10"/>
      <c r="BD178" s="10"/>
      <c r="BE178" s="10"/>
      <c r="BF178" s="10"/>
      <c r="BG178" s="10"/>
      <c r="BH178" s="10"/>
      <c r="BI178" s="10"/>
      <c r="BJ178" s="10"/>
      <c r="BK178" s="10"/>
      <c r="BL178" s="10"/>
      <c r="BM178" s="10"/>
      <c r="BN178" s="10"/>
      <c r="BO178" s="10"/>
      <c r="BP178" s="10"/>
      <c r="BQ178" s="10"/>
      <c r="BR178" s="10"/>
      <c r="BS178" s="10"/>
    </row>
  </sheetData>
  <conditionalFormatting sqref="P2:P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:H8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46EC20-7FC0-4FBC-BF64-8EC41BBB7D26}">
  <sheetPr codeName="Sheet9">
    <tabColor theme="4"/>
  </sheetPr>
  <dimension ref="A1:J2"/>
  <sheetViews>
    <sheetView workbookViewId="0">
      <selection activeCell="A8" sqref="A8"/>
    </sheetView>
  </sheetViews>
  <sheetFormatPr defaultRowHeight="14.5"/>
  <cols>
    <col min="1" max="1" width="15.36328125" bestFit="1" customWidth="1"/>
    <col min="2" max="2" width="8.453125" bestFit="1" customWidth="1"/>
    <col min="3" max="3" width="13.453125" bestFit="1" customWidth="1"/>
    <col min="4" max="4" width="11.54296875" bestFit="1" customWidth="1"/>
    <col min="5" max="5" width="21.81640625" bestFit="1" customWidth="1"/>
    <col min="6" max="6" width="25.453125" bestFit="1" customWidth="1"/>
    <col min="7" max="7" width="8.26953125" bestFit="1" customWidth="1"/>
    <col min="8" max="8" width="20.81640625" bestFit="1" customWidth="1"/>
    <col min="9" max="9" width="29.81640625" bestFit="1" customWidth="1"/>
    <col min="10" max="10" width="20.26953125" bestFit="1" customWidth="1"/>
  </cols>
  <sheetData>
    <row r="1" spans="1:10">
      <c r="A1"/>
      <c r="B1"/>
      <c r="C1"/>
      <c r="D1"/>
      <c r="E1"/>
      <c r="F1"/>
      <c r="G1"/>
      <c r="H1"/>
      <c r="I1"/>
      <c r="J1"/>
    </row>
    <row r="2" spans="1:10">
      <c r="A2" s="35"/>
      <c r="B2" s="35"/>
      <c r="C2" s="35"/>
      <c r="E2" s="35"/>
      <c r="F2" s="35"/>
      <c r="G2" s="35"/>
      <c r="H2" s="35"/>
      <c r="I2" s="35"/>
      <c r="J2" s="35"/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22A008-C7EF-4CB5-AA19-FB97EBE8524D}">
  <sheetPr codeName="Sheet11">
    <tabColor theme="4"/>
  </sheetPr>
  <dimension ref="A1:B5"/>
  <sheetViews>
    <sheetView workbookViewId="0">
      <selection activeCell="B3" sqref="B3:B5"/>
    </sheetView>
  </sheetViews>
  <sheetFormatPr defaultRowHeight="14.5"/>
  <sheetData>
    <row r="1" spans="1:2">
      <c r="A1" s="77">
        <v>1</v>
      </c>
      <c r="B1" s="77" t="s">
        <v>176</v>
      </c>
    </row>
    <row r="2" spans="1:2">
      <c r="A2" s="77">
        <v>2</v>
      </c>
      <c r="B2" s="77" t="s">
        <v>363</v>
      </c>
    </row>
    <row r="3" spans="1:2">
      <c r="A3">
        <v>3</v>
      </c>
      <c r="B3" t="s">
        <v>397</v>
      </c>
    </row>
    <row r="4" spans="1:2">
      <c r="A4">
        <v>4</v>
      </c>
      <c r="B4" t="s">
        <v>365</v>
      </c>
    </row>
    <row r="5" spans="1:2">
      <c r="A5">
        <v>5</v>
      </c>
      <c r="B5" t="s">
        <v>364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4018C5-7EBB-4F3E-A263-A964F7B4398F}">
  <sheetPr codeName="Sheet7"/>
  <dimension ref="A1:AB501"/>
  <sheetViews>
    <sheetView workbookViewId="0">
      <selection activeCell="F18" sqref="F18"/>
    </sheetView>
  </sheetViews>
  <sheetFormatPr defaultRowHeight="14.5"/>
  <cols>
    <col min="3" max="3" width="17.1796875" customWidth="1"/>
    <col min="4" max="4" width="12.54296875" customWidth="1"/>
    <col min="6" max="6" width="12.54296875" bestFit="1" customWidth="1"/>
    <col min="7" max="8" width="14.81640625" customWidth="1"/>
    <col min="9" max="9" width="20.26953125" customWidth="1"/>
    <col min="10" max="10" width="14.1796875" customWidth="1"/>
    <col min="11" max="11" width="16.26953125" customWidth="1"/>
  </cols>
  <sheetData>
    <row r="1" spans="1:28">
      <c r="A1" s="2" t="s">
        <v>20</v>
      </c>
      <c r="B1" s="2" t="s">
        <v>21</v>
      </c>
      <c r="C1" s="2" t="s">
        <v>22</v>
      </c>
      <c r="D1" s="2" t="s">
        <v>23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</row>
    <row r="2" spans="1:28">
      <c r="A2" s="2" t="s">
        <v>24</v>
      </c>
      <c r="B2" s="2">
        <v>24</v>
      </c>
      <c r="C2" s="2">
        <v>2</v>
      </c>
      <c r="D2" s="2">
        <f>B2*C2</f>
        <v>48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</row>
    <row r="3" spans="1:28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</row>
    <row r="4" spans="1:28">
      <c r="A4" s="1"/>
      <c r="B4" s="1"/>
      <c r="C4" s="1"/>
      <c r="D4" s="1"/>
      <c r="E4" s="1"/>
      <c r="F4" s="2" t="s">
        <v>28</v>
      </c>
      <c r="G4" s="2" t="s">
        <v>34</v>
      </c>
      <c r="H4" s="2" t="s">
        <v>2</v>
      </c>
      <c r="I4" s="2" t="s">
        <v>25</v>
      </c>
      <c r="J4" s="2" t="s">
        <v>27</v>
      </c>
      <c r="K4" s="2" t="s">
        <v>26</v>
      </c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</row>
    <row r="5" spans="1:28">
      <c r="A5" s="1"/>
      <c r="B5" s="1"/>
      <c r="C5" s="1"/>
      <c r="D5" s="1"/>
      <c r="E5" s="1"/>
      <c r="F5" s="2" t="s">
        <v>29</v>
      </c>
      <c r="G5" s="2" t="s">
        <v>31</v>
      </c>
      <c r="H5" s="2">
        <v>4</v>
      </c>
      <c r="I5" s="2">
        <v>8</v>
      </c>
      <c r="J5" s="2" t="s">
        <v>30</v>
      </c>
      <c r="K5" s="2">
        <v>8</v>
      </c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  <c r="AB5" s="1"/>
    </row>
    <row r="6" spans="1:28">
      <c r="A6" s="1"/>
      <c r="B6" s="1"/>
      <c r="C6" s="1"/>
      <c r="D6" s="1"/>
      <c r="E6" s="1"/>
      <c r="F6" s="2" t="s">
        <v>29</v>
      </c>
      <c r="G6" s="2" t="s">
        <v>18</v>
      </c>
      <c r="H6" s="2">
        <v>4</v>
      </c>
      <c r="I6" s="2">
        <v>8</v>
      </c>
      <c r="J6" s="2" t="s">
        <v>32</v>
      </c>
      <c r="K6" s="2">
        <v>8</v>
      </c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  <c r="AB6" s="1"/>
    </row>
    <row r="7" spans="1:28">
      <c r="A7" s="1"/>
      <c r="B7" s="1"/>
      <c r="C7" s="1"/>
      <c r="D7" s="1"/>
      <c r="E7" s="1"/>
      <c r="F7" s="2" t="s">
        <v>29</v>
      </c>
      <c r="G7" s="2" t="s">
        <v>17</v>
      </c>
      <c r="H7" s="2">
        <v>4</v>
      </c>
      <c r="I7" s="2">
        <v>8</v>
      </c>
      <c r="J7" s="2" t="s">
        <v>32</v>
      </c>
      <c r="K7" s="2">
        <v>8</v>
      </c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  <c r="AB7" s="1"/>
    </row>
    <row r="8" spans="1:28">
      <c r="A8" s="1"/>
      <c r="B8" s="1"/>
      <c r="C8" s="1"/>
      <c r="D8" s="1"/>
      <c r="E8" s="1"/>
      <c r="F8" s="2" t="s">
        <v>29</v>
      </c>
      <c r="G8" s="2" t="s">
        <v>33</v>
      </c>
      <c r="H8" s="2">
        <v>1</v>
      </c>
      <c r="I8" s="2">
        <v>4</v>
      </c>
      <c r="J8" s="2" t="s">
        <v>30</v>
      </c>
      <c r="K8" s="2">
        <v>4</v>
      </c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  <c r="AB8" s="1"/>
    </row>
    <row r="9" spans="1:28">
      <c r="A9" s="1"/>
      <c r="B9" s="1"/>
      <c r="C9" s="1"/>
      <c r="D9" s="1"/>
      <c r="E9" s="1"/>
      <c r="F9" s="2" t="s">
        <v>35</v>
      </c>
      <c r="G9" s="2" t="s">
        <v>36</v>
      </c>
      <c r="H9" s="2">
        <v>11</v>
      </c>
      <c r="I9" s="2">
        <v>22</v>
      </c>
      <c r="J9" s="2" t="s">
        <v>32</v>
      </c>
      <c r="K9" s="2">
        <v>22</v>
      </c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  <c r="AB9" s="1"/>
    </row>
    <row r="10" spans="1:28">
      <c r="A10" s="1"/>
      <c r="B10" s="1"/>
      <c r="C10" s="1"/>
      <c r="D10" s="1"/>
      <c r="E10" s="1"/>
      <c r="F10" s="2" t="s">
        <v>35</v>
      </c>
      <c r="G10" s="2" t="s">
        <v>33</v>
      </c>
      <c r="H10" s="2">
        <v>1</v>
      </c>
      <c r="I10" s="2">
        <v>4</v>
      </c>
      <c r="J10" s="2" t="s">
        <v>30</v>
      </c>
      <c r="K10" s="2">
        <v>4</v>
      </c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  <c r="AB10" s="1"/>
    </row>
    <row r="11" spans="1:28">
      <c r="A11" s="1"/>
      <c r="B11" s="1"/>
      <c r="C11" s="1"/>
      <c r="D11" s="1"/>
      <c r="E11" s="1"/>
      <c r="F11" s="2" t="s">
        <v>35</v>
      </c>
      <c r="G11" s="2" t="s">
        <v>31</v>
      </c>
      <c r="H11" s="2">
        <v>4</v>
      </c>
      <c r="I11" s="2">
        <v>8</v>
      </c>
      <c r="J11" s="2" t="s">
        <v>32</v>
      </c>
      <c r="K11" s="2">
        <v>8</v>
      </c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</row>
    <row r="12" spans="1:28">
      <c r="A12" s="1"/>
      <c r="B12" s="1"/>
      <c r="C12" s="1"/>
      <c r="D12" s="1"/>
      <c r="E12" s="1"/>
      <c r="F12" s="2" t="s">
        <v>35</v>
      </c>
      <c r="G12" s="2" t="s">
        <v>37</v>
      </c>
      <c r="H12" s="2">
        <v>3</v>
      </c>
      <c r="I12" s="2">
        <v>6</v>
      </c>
      <c r="J12" s="2" t="s">
        <v>30</v>
      </c>
      <c r="K12" s="2">
        <v>6</v>
      </c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  <c r="AB12" s="1"/>
    </row>
    <row r="13" spans="1:28">
      <c r="A13" s="1"/>
      <c r="B13" s="1"/>
      <c r="C13" s="1"/>
      <c r="D13" s="1"/>
      <c r="E13" s="1"/>
      <c r="F13" s="2" t="s">
        <v>35</v>
      </c>
      <c r="G13" s="2" t="s">
        <v>38</v>
      </c>
      <c r="H13" s="2">
        <v>1</v>
      </c>
      <c r="I13" s="2">
        <v>2</v>
      </c>
      <c r="J13" s="2" t="s">
        <v>30</v>
      </c>
      <c r="K13" s="2">
        <v>2</v>
      </c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  <c r="AB13" s="1"/>
    </row>
    <row r="14" spans="1:28">
      <c r="A14" s="1"/>
      <c r="B14" s="1"/>
      <c r="C14" s="1"/>
      <c r="D14" s="1"/>
      <c r="E14" s="1"/>
      <c r="F14" s="2" t="s">
        <v>39</v>
      </c>
      <c r="G14" s="2"/>
      <c r="H14" s="2">
        <f>SUBTOTAL(109,H5:H13)</f>
        <v>33</v>
      </c>
      <c r="I14" s="2">
        <f>SUBTOTAL(109,I5:I13)</f>
        <v>70</v>
      </c>
      <c r="J14" s="2"/>
      <c r="K14" s="2">
        <f>SUBTOTAL(109,K5:K13)</f>
        <v>70</v>
      </c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  <c r="AB14" s="1"/>
    </row>
    <row r="15" spans="1:28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  <c r="AB15" s="1"/>
    </row>
    <row r="16" spans="1:28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  <c r="AB16" s="1"/>
    </row>
    <row r="17" spans="1:28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  <c r="AB17" s="1"/>
    </row>
    <row r="18" spans="1:28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  <c r="AB18" s="1"/>
    </row>
    <row r="19" spans="1:28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  <c r="AB19" s="1"/>
    </row>
    <row r="20" spans="1:28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  <c r="AB20" s="1"/>
    </row>
    <row r="21" spans="1:28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  <c r="AB21" s="1"/>
    </row>
    <row r="22" spans="1:28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  <c r="AB22" s="1"/>
    </row>
    <row r="23" spans="1:28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  <c r="AB23" s="1"/>
    </row>
    <row r="24" spans="1:28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</row>
    <row r="25" spans="1:28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</row>
    <row r="26" spans="1:28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  <c r="AB26" s="1"/>
    </row>
    <row r="27" spans="1:28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  <c r="AB27" s="1"/>
    </row>
    <row r="28" spans="1:28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  <c r="AB28" s="1"/>
    </row>
    <row r="29" spans="1:28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  <c r="AB29" s="1"/>
    </row>
    <row r="30" spans="1:28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  <c r="AB30" s="1"/>
    </row>
    <row r="31" spans="1:28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  <c r="AB31" s="1"/>
    </row>
    <row r="32" spans="1:28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  <c r="AB32" s="1"/>
    </row>
    <row r="33" spans="1:28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</row>
    <row r="34" spans="1:28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</row>
    <row r="35" spans="1:28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</row>
    <row r="36" spans="1:28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  <c r="AB36" s="1"/>
    </row>
    <row r="37" spans="1:28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  <c r="AB37" s="1"/>
    </row>
    <row r="38" spans="1:28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  <c r="AB38" s="1"/>
    </row>
    <row r="39" spans="1:28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  <c r="AB39" s="1"/>
    </row>
    <row r="40" spans="1:28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  <c r="AB40" s="1"/>
    </row>
    <row r="41" spans="1:28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  <c r="AB41" s="1"/>
    </row>
    <row r="42" spans="1:28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  <c r="AB42" s="1"/>
    </row>
    <row r="43" spans="1:28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1"/>
    </row>
    <row r="44" spans="1:28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1"/>
    </row>
    <row r="45" spans="1:28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1"/>
    </row>
    <row r="46" spans="1:28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1"/>
    </row>
    <row r="47" spans="1:28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1"/>
    </row>
    <row r="48" spans="1:28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</row>
    <row r="49" spans="1:28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</row>
    <row r="50" spans="1:28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</row>
    <row r="51" spans="1:28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</row>
    <row r="52" spans="1:28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</row>
    <row r="53" spans="1:28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</row>
    <row r="54" spans="1:28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</row>
    <row r="55" spans="1:28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</row>
    <row r="56" spans="1:28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</row>
    <row r="57" spans="1:28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</row>
    <row r="58" spans="1:28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</row>
    <row r="59" spans="1:28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</row>
    <row r="60" spans="1:28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</row>
    <row r="61" spans="1:28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</row>
    <row r="62" spans="1:28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</row>
    <row r="63" spans="1:28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</row>
    <row r="64" spans="1:28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</row>
    <row r="65" spans="1:28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</row>
    <row r="66" spans="1:28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</row>
    <row r="67" spans="1:28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</row>
    <row r="68" spans="1:28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</row>
    <row r="69" spans="1:28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</row>
    <row r="70" spans="1:28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</row>
    <row r="71" spans="1:28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</row>
    <row r="72" spans="1:28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</row>
    <row r="73" spans="1:28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</row>
    <row r="74" spans="1:28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</row>
    <row r="75" spans="1:28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</row>
    <row r="76" spans="1:28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</row>
    <row r="77" spans="1:28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</row>
    <row r="78" spans="1:28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</row>
    <row r="79" spans="1:28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</row>
    <row r="80" spans="1:28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</row>
    <row r="81" spans="1:28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</row>
    <row r="82" spans="1:28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</row>
    <row r="83" spans="1:28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</row>
    <row r="84" spans="1:28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</row>
    <row r="85" spans="1:28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</row>
    <row r="86" spans="1:28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</row>
    <row r="87" spans="1:28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</row>
    <row r="88" spans="1:28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</row>
    <row r="89" spans="1:28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</row>
    <row r="90" spans="1:28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</row>
    <row r="91" spans="1:28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</row>
    <row r="92" spans="1:28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</row>
    <row r="93" spans="1:28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</row>
    <row r="94" spans="1:28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</row>
    <row r="95" spans="1:28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</row>
    <row r="96" spans="1:28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</row>
    <row r="97" spans="1:28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</row>
    <row r="98" spans="1:28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</row>
    <row r="99" spans="1:28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</row>
    <row r="100" spans="1:28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</row>
    <row r="101" spans="1:28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</row>
    <row r="102" spans="1:28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</row>
    <row r="103" spans="1:28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</row>
    <row r="104" spans="1:28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</row>
    <row r="105" spans="1:28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</row>
    <row r="106" spans="1:28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</row>
    <row r="107" spans="1:28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</row>
    <row r="108" spans="1:28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</row>
    <row r="109" spans="1:28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</row>
    <row r="110" spans="1:28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</row>
    <row r="111" spans="1:28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</row>
    <row r="112" spans="1:28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</row>
    <row r="113" spans="1:28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</row>
    <row r="114" spans="1:28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</row>
    <row r="115" spans="1:28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</row>
    <row r="116" spans="1:28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</row>
    <row r="117" spans="1:28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</row>
    <row r="118" spans="1:28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</row>
    <row r="119" spans="1:28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</row>
    <row r="120" spans="1:28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</row>
    <row r="121" spans="1:28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</row>
    <row r="122" spans="1:28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</row>
    <row r="123" spans="1:28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</row>
    <row r="124" spans="1:28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</row>
    <row r="125" spans="1:28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</row>
    <row r="126" spans="1:28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</row>
    <row r="127" spans="1:28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</row>
    <row r="128" spans="1:28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</row>
    <row r="129" spans="1:28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</row>
    <row r="130" spans="1:28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</row>
    <row r="131" spans="1:28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</row>
    <row r="132" spans="1:28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</row>
    <row r="133" spans="1:28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</row>
    <row r="134" spans="1:28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</row>
    <row r="135" spans="1:28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</row>
    <row r="136" spans="1:28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</row>
    <row r="137" spans="1:28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</row>
    <row r="138" spans="1:28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</row>
    <row r="139" spans="1:28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</row>
    <row r="140" spans="1:28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</row>
    <row r="141" spans="1:28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</row>
    <row r="142" spans="1:28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</row>
    <row r="143" spans="1:28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</row>
    <row r="144" spans="1:28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</row>
    <row r="145" spans="1:28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</row>
    <row r="146" spans="1:28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</row>
    <row r="147" spans="1:28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</row>
    <row r="148" spans="1:28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</row>
    <row r="149" spans="1:28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</row>
    <row r="150" spans="1:28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</row>
    <row r="151" spans="1:28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</row>
    <row r="152" spans="1:28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</row>
    <row r="153" spans="1:28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</row>
    <row r="154" spans="1:28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</row>
    <row r="155" spans="1:28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</row>
    <row r="156" spans="1:28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</row>
    <row r="157" spans="1:28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</row>
    <row r="158" spans="1:28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</row>
    <row r="159" spans="1:28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</row>
    <row r="160" spans="1:28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</row>
    <row r="161" spans="1:28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</row>
    <row r="162" spans="1:28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</row>
    <row r="163" spans="1:28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</row>
    <row r="164" spans="1:28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</row>
    <row r="165" spans="1:28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</row>
    <row r="166" spans="1:28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</row>
    <row r="167" spans="1:28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</row>
    <row r="168" spans="1:28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</row>
    <row r="169" spans="1:28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</row>
    <row r="170" spans="1:28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</row>
    <row r="171" spans="1:28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</row>
    <row r="172" spans="1:28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</row>
    <row r="173" spans="1:28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</row>
    <row r="174" spans="1:28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</row>
    <row r="175" spans="1:28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</row>
    <row r="176" spans="1:28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</row>
    <row r="177" spans="1:28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</row>
    <row r="178" spans="1:28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</row>
    <row r="179" spans="1:28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</row>
    <row r="180" spans="1:28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</row>
    <row r="181" spans="1:28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</row>
    <row r="182" spans="1:28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</row>
    <row r="183" spans="1:28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</row>
    <row r="184" spans="1:28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</row>
    <row r="185" spans="1:28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</row>
    <row r="186" spans="1:28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</row>
    <row r="187" spans="1:28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</row>
    <row r="188" spans="1:28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</row>
    <row r="189" spans="1:28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</row>
    <row r="190" spans="1:28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</row>
    <row r="191" spans="1:28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</row>
    <row r="192" spans="1:28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</row>
    <row r="193" spans="1:28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</row>
    <row r="194" spans="1:28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</row>
    <row r="195" spans="1:28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</row>
    <row r="196" spans="1:28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</row>
    <row r="197" spans="1:28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</row>
    <row r="198" spans="1:28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</row>
    <row r="199" spans="1:28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</row>
    <row r="200" spans="1:28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</row>
    <row r="201" spans="1:28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</row>
    <row r="202" spans="1:28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</row>
    <row r="203" spans="1:28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</row>
    <row r="204" spans="1:28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</row>
    <row r="205" spans="1:28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</row>
    <row r="206" spans="1:28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</row>
    <row r="207" spans="1:28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8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  <row r="217" spans="1:28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</row>
    <row r="218" spans="1:28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</row>
    <row r="219" spans="1:28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</row>
    <row r="220" spans="1:28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</row>
    <row r="221" spans="1:28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</row>
    <row r="222" spans="1:28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</row>
    <row r="223" spans="1:28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</row>
    <row r="224" spans="1:28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</row>
    <row r="225" spans="1:28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</row>
    <row r="226" spans="1:28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</row>
    <row r="227" spans="1:28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</row>
    <row r="228" spans="1:28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</row>
    <row r="229" spans="1:28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</row>
    <row r="230" spans="1:28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</row>
    <row r="231" spans="1:28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</row>
    <row r="232" spans="1:28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</row>
    <row r="233" spans="1:28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</row>
    <row r="234" spans="1:28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</row>
    <row r="235" spans="1:28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</row>
    <row r="236" spans="1:28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</row>
    <row r="237" spans="1:28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</row>
    <row r="238" spans="1:28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</row>
    <row r="239" spans="1:28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</row>
    <row r="240" spans="1:28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</row>
    <row r="241" spans="1:28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</row>
    <row r="242" spans="1:28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</row>
    <row r="243" spans="1:28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</row>
    <row r="244" spans="1:28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</row>
    <row r="245" spans="1:28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</row>
    <row r="246" spans="1:28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</row>
    <row r="247" spans="1:28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</row>
    <row r="248" spans="1:28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</row>
    <row r="249" spans="1:28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</row>
    <row r="250" spans="1:28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</row>
    <row r="251" spans="1:28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</row>
    <row r="252" spans="1:28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</row>
    <row r="253" spans="1:28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</row>
    <row r="254" spans="1:28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</row>
    <row r="255" spans="1:28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</row>
    <row r="256" spans="1:28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</row>
    <row r="257" spans="1:28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</row>
    <row r="258" spans="1:28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</row>
    <row r="259" spans="1:28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</row>
    <row r="260" spans="1:28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</row>
    <row r="261" spans="1:28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</row>
    <row r="262" spans="1:28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</row>
    <row r="263" spans="1:28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</row>
    <row r="264" spans="1:28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</row>
    <row r="265" spans="1:28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</row>
    <row r="266" spans="1:28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</row>
    <row r="267" spans="1:28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</row>
    <row r="268" spans="1:28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</row>
    <row r="269" spans="1:28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</row>
    <row r="270" spans="1:28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</row>
    <row r="271" spans="1:28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</row>
    <row r="272" spans="1:28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</row>
    <row r="273" spans="1:28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</row>
    <row r="274" spans="1:28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</row>
    <row r="275" spans="1:28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</row>
    <row r="276" spans="1:28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</row>
    <row r="277" spans="1:28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</row>
    <row r="278" spans="1:28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</row>
    <row r="279" spans="1:28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</row>
    <row r="280" spans="1:28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</row>
    <row r="281" spans="1:28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</row>
    <row r="282" spans="1:28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</row>
    <row r="283" spans="1:28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</row>
    <row r="284" spans="1:28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</row>
    <row r="285" spans="1:28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</row>
    <row r="286" spans="1:28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</row>
    <row r="287" spans="1:28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</row>
    <row r="288" spans="1:28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</row>
    <row r="289" spans="1:28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</row>
    <row r="290" spans="1:28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</row>
    <row r="291" spans="1:28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</row>
    <row r="292" spans="1:28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</row>
    <row r="293" spans="1:28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</row>
    <row r="294" spans="1:28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</row>
    <row r="295" spans="1:28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</row>
    <row r="296" spans="1:28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</row>
    <row r="297" spans="1:28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</row>
    <row r="298" spans="1:28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</row>
    <row r="299" spans="1:28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</row>
    <row r="300" spans="1:28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</row>
    <row r="301" spans="1:28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</row>
    <row r="302" spans="1:28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</row>
    <row r="303" spans="1:28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</row>
    <row r="304" spans="1:28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</row>
    <row r="305" spans="1:28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</row>
    <row r="306" spans="1:28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</row>
    <row r="307" spans="1:28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</row>
    <row r="308" spans="1:28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</row>
    <row r="309" spans="1:28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</row>
    <row r="310" spans="1:28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</row>
    <row r="311" spans="1:28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</row>
    <row r="312" spans="1:28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</row>
    <row r="313" spans="1:28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</row>
    <row r="314" spans="1:28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</row>
    <row r="315" spans="1:28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</row>
    <row r="316" spans="1:28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</row>
    <row r="317" spans="1:28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</row>
    <row r="318" spans="1:28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</row>
    <row r="319" spans="1:28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</row>
    <row r="320" spans="1:28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</row>
    <row r="321" spans="1:28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</row>
    <row r="322" spans="1:28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</row>
    <row r="323" spans="1:28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</row>
    <row r="324" spans="1:28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</row>
    <row r="325" spans="1:28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</row>
    <row r="326" spans="1:28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</row>
    <row r="327" spans="1:28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</row>
    <row r="328" spans="1:28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</row>
    <row r="329" spans="1:28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</row>
    <row r="330" spans="1:28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</row>
    <row r="331" spans="1:28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</row>
    <row r="332" spans="1:28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</row>
    <row r="333" spans="1:28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</row>
    <row r="334" spans="1:28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</row>
    <row r="335" spans="1:28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</row>
    <row r="336" spans="1:28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</row>
    <row r="337" spans="1:28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</row>
    <row r="338" spans="1:28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</row>
    <row r="339" spans="1:28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</row>
    <row r="340" spans="1:28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</row>
    <row r="341" spans="1:28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</row>
    <row r="342" spans="1:28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</row>
    <row r="343" spans="1:28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</row>
    <row r="344" spans="1:28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</row>
    <row r="345" spans="1:28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</row>
    <row r="346" spans="1:28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</row>
    <row r="347" spans="1:28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</row>
    <row r="348" spans="1:28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</row>
    <row r="349" spans="1:28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</row>
    <row r="350" spans="1:28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</row>
    <row r="351" spans="1:28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</row>
    <row r="352" spans="1:28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</row>
    <row r="353" spans="1:28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</row>
    <row r="354" spans="1:28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</row>
    <row r="355" spans="1:28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</row>
    <row r="356" spans="1:28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</row>
    <row r="357" spans="1:28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</row>
    <row r="358" spans="1:28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</row>
    <row r="359" spans="1:28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</row>
    <row r="360" spans="1:28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</row>
    <row r="361" spans="1:28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</row>
    <row r="362" spans="1:28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</row>
    <row r="363" spans="1:28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</row>
    <row r="364" spans="1:28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</row>
    <row r="365" spans="1:28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</row>
    <row r="366" spans="1:28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</row>
    <row r="367" spans="1:28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</row>
    <row r="368" spans="1:28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</row>
    <row r="369" spans="1:28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</row>
    <row r="370" spans="1:28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</row>
    <row r="371" spans="1:28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</row>
    <row r="372" spans="1:28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</row>
    <row r="373" spans="1:28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</row>
    <row r="374" spans="1:28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</row>
    <row r="375" spans="1:28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</row>
    <row r="376" spans="1:28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</row>
    <row r="377" spans="1:28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</row>
    <row r="378" spans="1:28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</row>
    <row r="379" spans="1:28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</row>
    <row r="380" spans="1:28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</row>
    <row r="381" spans="1:28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</row>
    <row r="382" spans="1:28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</row>
    <row r="383" spans="1:28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</row>
    <row r="384" spans="1:28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</row>
    <row r="385" spans="1:28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</row>
    <row r="386" spans="1:28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</row>
    <row r="387" spans="1:28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</row>
    <row r="388" spans="1:28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</row>
    <row r="389" spans="1:28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</row>
    <row r="390" spans="1:28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</row>
    <row r="391" spans="1:28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</row>
    <row r="392" spans="1:28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</row>
    <row r="393" spans="1:28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</row>
    <row r="394" spans="1:28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</row>
    <row r="395" spans="1:28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</row>
    <row r="396" spans="1:28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</row>
    <row r="397" spans="1:28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</row>
    <row r="398" spans="1:28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</row>
    <row r="399" spans="1:28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</row>
    <row r="400" spans="1:28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</row>
    <row r="401" spans="1:28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</row>
    <row r="402" spans="1:28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</row>
    <row r="403" spans="1:28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</row>
    <row r="404" spans="1:28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</row>
    <row r="405" spans="1:28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</row>
    <row r="406" spans="1:28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</row>
    <row r="407" spans="1:28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</row>
    <row r="408" spans="1:28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</row>
    <row r="409" spans="1:28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</row>
    <row r="410" spans="1:28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</row>
    <row r="411" spans="1:28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</row>
    <row r="412" spans="1:28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</row>
    <row r="413" spans="1:28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</row>
    <row r="414" spans="1:28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</row>
    <row r="415" spans="1:28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</row>
    <row r="416" spans="1:28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</row>
    <row r="417" spans="1:28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</row>
    <row r="418" spans="1:28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</row>
    <row r="419" spans="1:28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</row>
    <row r="420" spans="1:28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</row>
    <row r="421" spans="1:28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</row>
    <row r="422" spans="1:28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</row>
    <row r="423" spans="1:28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</row>
    <row r="424" spans="1:28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</row>
    <row r="425" spans="1:28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</row>
    <row r="426" spans="1:28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</row>
    <row r="427" spans="1:28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</row>
    <row r="428" spans="1:28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</row>
    <row r="429" spans="1:28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</row>
    <row r="430" spans="1:28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</row>
    <row r="431" spans="1:28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</row>
    <row r="432" spans="1:28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</row>
    <row r="433" spans="1:28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</row>
    <row r="434" spans="1:28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</row>
    <row r="435" spans="1:28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</row>
    <row r="436" spans="1:28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</row>
    <row r="437" spans="1:28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</row>
    <row r="438" spans="1:28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</row>
    <row r="439" spans="1:28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</row>
    <row r="440" spans="1:28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</row>
    <row r="441" spans="1:28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</row>
    <row r="442" spans="1:28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</row>
    <row r="443" spans="1:28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</row>
    <row r="444" spans="1:28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</row>
    <row r="445" spans="1:28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</row>
    <row r="446" spans="1:28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</row>
    <row r="447" spans="1:28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</row>
    <row r="448" spans="1:28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</row>
    <row r="449" spans="1:28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</row>
    <row r="450" spans="1:28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</row>
    <row r="451" spans="1:28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</row>
    <row r="452" spans="1:28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</row>
    <row r="453" spans="1:28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</row>
    <row r="454" spans="1:28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</row>
    <row r="455" spans="1:28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</row>
    <row r="456" spans="1:28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</row>
    <row r="457" spans="1:28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</row>
    <row r="458" spans="1:28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</row>
    <row r="459" spans="1:28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</row>
    <row r="460" spans="1:28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</row>
    <row r="461" spans="1:28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</row>
    <row r="462" spans="1:28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</row>
    <row r="463" spans="1:28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</row>
    <row r="464" spans="1:28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</row>
    <row r="465" spans="1:28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</row>
    <row r="466" spans="1:28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</row>
    <row r="467" spans="1:28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</row>
    <row r="468" spans="1:28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</row>
    <row r="469" spans="1:28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</row>
    <row r="470" spans="1:28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</row>
    <row r="471" spans="1:28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</row>
    <row r="472" spans="1:28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</row>
    <row r="473" spans="1:28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</row>
    <row r="474" spans="1:28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</row>
    <row r="475" spans="1:28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</row>
    <row r="476" spans="1:28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</row>
    <row r="477" spans="1:28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</row>
    <row r="478" spans="1:28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</row>
    <row r="479" spans="1:28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</row>
    <row r="480" spans="1:28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</row>
    <row r="481" spans="1:28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</row>
    <row r="482" spans="1:28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</row>
    <row r="483" spans="1:28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</row>
    <row r="484" spans="1:28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</row>
    <row r="485" spans="1:28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</row>
    <row r="486" spans="1:28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</row>
    <row r="487" spans="1:28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</row>
    <row r="488" spans="1:28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</row>
    <row r="489" spans="1:28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</row>
    <row r="490" spans="1:28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</row>
    <row r="491" spans="1:28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</row>
    <row r="492" spans="1:28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</row>
    <row r="493" spans="1:28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</row>
    <row r="494" spans="1:28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</row>
    <row r="495" spans="1:28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</row>
    <row r="496" spans="1:28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</row>
    <row r="497" spans="1:28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</row>
    <row r="498" spans="1:28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</row>
    <row r="499" spans="1:28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</row>
    <row r="500" spans="1:28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</row>
    <row r="501" spans="1:28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</row>
  </sheetData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�� 
</file>

<file path=customXml/item4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04DC5A8D6EAD44FB2B47DDAA54A30E8" ma:contentTypeVersion="13" ma:contentTypeDescription="Create a new document." ma:contentTypeScope="" ma:versionID="ce6fc0144f1564d54efa188d9983ab69">
  <xsd:schema xmlns:xsd="http://www.w3.org/2001/XMLSchema" xmlns:xs="http://www.w3.org/2001/XMLSchema" xmlns:p="http://schemas.microsoft.com/office/2006/metadata/properties" xmlns:ns3="da00f8c5-acd3-4222-8882-2c3b2f8c8746" xmlns:ns4="dece6810-ca4c-4ce6-81bf-00dff6a71f64" targetNamespace="http://schemas.microsoft.com/office/2006/metadata/properties" ma:root="true" ma:fieldsID="5937730cf94ab12ed3b4ec04c69c1161" ns3:_="" ns4:_="">
    <xsd:import namespace="da00f8c5-acd3-4222-8882-2c3b2f8c8746"/>
    <xsd:import namespace="dece6810-ca4c-4ce6-81bf-00dff6a71f64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DateTaken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a00f8c5-acd3-4222-8882-2c3b2f8c874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3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dece6810-ca4c-4ce6-81bf-00dff6a71f64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6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D6ECF91-944C-4982-B0E6-4C8F9ABD669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4CBBFE2A-5EC3-41BE-B036-FC90821FFF83}">
  <ds:schemaRefs>
    <ds:schemaRef ds:uri="http://schemas.openxmlformats.org/package/2006/metadata/core-properties"/>
    <ds:schemaRef ds:uri="http://purl.org/dc/dcmitype/"/>
    <ds:schemaRef ds:uri="http://www.w3.org/XML/1998/namespace"/>
    <ds:schemaRef ds:uri="http://purl.org/dc/terms/"/>
    <ds:schemaRef ds:uri="http://schemas.microsoft.com/office/2006/documentManagement/types"/>
    <ds:schemaRef ds:uri="http://schemas.microsoft.com/office/infopath/2007/PartnerControls"/>
    <ds:schemaRef ds:uri="dece6810-ca4c-4ce6-81bf-00dff6a71f64"/>
    <ds:schemaRef ds:uri="da00f8c5-acd3-4222-8882-2c3b2f8c8746"/>
    <ds:schemaRef ds:uri="http://schemas.microsoft.com/office/2006/metadata/properties"/>
    <ds:schemaRef ds:uri="http://purl.org/dc/elements/1.1/"/>
  </ds:schemaRefs>
</ds:datastoreItem>
</file>

<file path=customXml/itemProps3.xml><?xml version="1.0" encoding="utf-8"?>
<ds:datastoreItem xmlns:ds="http://schemas.openxmlformats.org/officeDocument/2006/customXml" ds:itemID="{D762D2C4-55E9-4A47-B97D-E0CE108B85C0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7F5CFB-BC9E-48FD-98C7-FF407400A5B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da00f8c5-acd3-4222-8882-2c3b2f8c8746"/>
    <ds:schemaRef ds:uri="dece6810-ca4c-4ce6-81bf-00dff6a71f6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About</vt:lpstr>
      <vt:lpstr>VDI Profiles</vt:lpstr>
      <vt:lpstr>Processor Comparisons</vt:lpstr>
      <vt:lpstr>Server Options (Greenfield)</vt:lpstr>
      <vt:lpstr>Server Options (Preexisting)</vt:lpstr>
      <vt:lpstr>vGPU Options</vt:lpstr>
      <vt:lpstr>Processor Options</vt:lpstr>
      <vt:lpstr>Summary</vt:lpstr>
      <vt:lpstr>Memory Options</vt:lpstr>
      <vt:lpstr>Processor_DB_Intel</vt:lpstr>
      <vt:lpstr>Futures</vt:lpstr>
      <vt:lpstr>Port Counts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VDI Sizing Calculator - v0.6</dc:title>
  <dc:creator>Talbert Houle</dc:creator>
  <cp:lastModifiedBy>Talbert Houle</cp:lastModifiedBy>
  <dcterms:created xsi:type="dcterms:W3CDTF">2019-05-23T01:16:25Z</dcterms:created>
  <dcterms:modified xsi:type="dcterms:W3CDTF">2020-03-26T16:48:31Z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0x010100704DC5A8D6EAD44FB2B47DDAA54A30E8</vt:lpwstr>
  </property>
</Properties>
</file>