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esidio-my.sharepoint.com/personal/thoule_presidio_com/Documents/Tools/#National Practices/#11.End User Compute/"/>
    </mc:Choice>
  </mc:AlternateContent>
  <xr:revisionPtr revIDLastSave="0" documentId="8_{E49DE626-C03E-453B-A277-5C46E61A9ADC}" xr6:coauthVersionLast="44" xr6:coauthVersionMax="44" xr10:uidLastSave="{00000000-0000-0000-0000-000000000000}"/>
  <workbookProtection workbookAlgorithmName="SHA-512" workbookHashValue="SZ5W3WIjVlx0d5bRq8PRMkEIHcmNKu96V0F82iugcFDQYtVTkQlysGDRqFJA/HpYzW6ofqwRttzzGSBsA0IX5A==" workbookSaltValue="O58GgxbjRhPUj56rzs/k1g==" workbookSpinCount="100000" lockStructure="1"/>
  <bookViews>
    <workbookView xWindow="-2010" yWindow="-15870" windowWidth="25440" windowHeight="15390" xr2:uid="{4F67DC47-C1E4-4DEF-BDE2-8F62D04BD1F2}"/>
  </bookViews>
  <sheets>
    <sheet name="About" sheetId="14" r:id="rId1"/>
    <sheet name="VDI Profiles" sheetId="1" r:id="rId2"/>
    <sheet name="Processor Comparisons" sheetId="12" r:id="rId3"/>
    <sheet name="Server Options (Greenfield)" sheetId="8" r:id="rId4"/>
    <sheet name="Server Options (Preexisting)" sheetId="7" state="hidden" r:id="rId5"/>
    <sheet name="vGPU Options" sheetId="2" r:id="rId6"/>
    <sheet name="Processor Options" sheetId="4" state="hidden" r:id="rId7"/>
    <sheet name="Summary" sheetId="13" r:id="rId8"/>
    <sheet name="Memory Options" sheetId="5" r:id="rId9"/>
    <sheet name="Processor_DB_Intel" sheetId="11" r:id="rId10"/>
    <sheet name="Futures" sheetId="9" r:id="rId11"/>
    <sheet name="Port Counts" sheetId="3" state="hidden" r:id="rId12"/>
  </sheets>
  <functionGroups builtInGroupCount="19"/>
  <definedNames>
    <definedName name="ExternalData_1" localSheetId="9" hidden="1">Processor_DB_Intel!$A$1:$J$74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l DB_7fa1012a-2a1a-4fff-9ffb-9eac06897a44" name="Intel DB" connection="Query - Intel D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8" l="1"/>
  <c r="I6" i="8"/>
  <c r="I5" i="8"/>
  <c r="I4" i="8"/>
  <c r="I3" i="8"/>
  <c r="I2" i="8"/>
  <c r="O7" i="8"/>
  <c r="O6" i="8"/>
  <c r="O5" i="8"/>
  <c r="O4" i="8"/>
  <c r="O3" i="8"/>
  <c r="O2" i="8"/>
  <c r="M12" i="13" l="1"/>
  <c r="M11" i="13"/>
  <c r="M10" i="13"/>
  <c r="M9" i="13"/>
  <c r="M8" i="13"/>
  <c r="M7" i="13"/>
  <c r="M6" i="13"/>
  <c r="M5" i="13"/>
  <c r="M4" i="13"/>
  <c r="M3" i="13"/>
  <c r="Q7" i="8" l="1" a="1"/>
  <c r="Q7" i="8" s="1"/>
  <c r="Q6" i="8" a="1"/>
  <c r="Q6" i="8" s="1"/>
  <c r="Q5" i="8" a="1"/>
  <c r="Q5" i="8" s="1"/>
  <c r="Q4" i="8" a="1"/>
  <c r="Q4" i="8" s="1"/>
  <c r="Q2" i="8" a="1"/>
  <c r="Q2" i="8" s="1"/>
  <c r="Q3" i="8" a="1"/>
  <c r="Q3" i="8" s="1"/>
  <c r="D21" i="5"/>
  <c r="D20" i="5"/>
  <c r="M7" i="8"/>
  <c r="M6" i="8"/>
  <c r="M5" i="8"/>
  <c r="M4" i="8"/>
  <c r="M3" i="8"/>
  <c r="M2" i="8"/>
  <c r="J12" i="13" l="1"/>
  <c r="J11" i="13"/>
  <c r="J10" i="13"/>
  <c r="J9" i="13"/>
  <c r="J8" i="13"/>
  <c r="J7" i="13"/>
  <c r="J6" i="13"/>
  <c r="J5" i="13"/>
  <c r="J4" i="13"/>
  <c r="G12" i="13"/>
  <c r="G11" i="13"/>
  <c r="G10" i="13"/>
  <c r="G9" i="13"/>
  <c r="G8" i="13"/>
  <c r="G7" i="13"/>
  <c r="G6" i="13"/>
  <c r="G5" i="13"/>
  <c r="G4" i="13"/>
  <c r="D12" i="13"/>
  <c r="D11" i="13"/>
  <c r="D10" i="13"/>
  <c r="D9" i="13"/>
  <c r="D8" i="13"/>
  <c r="D7" i="13"/>
  <c r="D6" i="13"/>
  <c r="D5" i="13"/>
  <c r="D4" i="13"/>
  <c r="H13" i="1"/>
  <c r="H12" i="1"/>
  <c r="H11" i="1"/>
  <c r="H10" i="1"/>
  <c r="G13" i="1"/>
  <c r="G12" i="1"/>
  <c r="G11" i="1"/>
  <c r="G10" i="1"/>
  <c r="H9" i="1"/>
  <c r="H8" i="1"/>
  <c r="H7" i="1"/>
  <c r="H6" i="1"/>
  <c r="H5" i="1"/>
  <c r="G9" i="1"/>
  <c r="G8" i="1"/>
  <c r="G7" i="1"/>
  <c r="G6" i="1"/>
  <c r="G5" i="1"/>
  <c r="F39" i="13"/>
  <c r="F35" i="13"/>
  <c r="F31" i="13"/>
  <c r="E39" i="13"/>
  <c r="E35" i="13"/>
  <c r="E31" i="13"/>
  <c r="B22" i="13"/>
  <c r="B35" i="13" s="1"/>
  <c r="B26" i="13"/>
  <c r="B39" i="13" s="1"/>
  <c r="B18" i="13"/>
  <c r="B31" i="13" s="1"/>
  <c r="H4" i="1"/>
  <c r="J3" i="13"/>
  <c r="G3" i="13"/>
  <c r="D3" i="13"/>
  <c r="B6" i="13"/>
  <c r="B7" i="13"/>
  <c r="B8" i="13"/>
  <c r="B9" i="13"/>
  <c r="B10" i="13"/>
  <c r="B11" i="13"/>
  <c r="B12" i="13"/>
  <c r="B5" i="13"/>
  <c r="B4" i="13"/>
  <c r="B3" i="13"/>
  <c r="E40" i="13" l="1"/>
  <c r="E36" i="13"/>
  <c r="E32" i="13"/>
  <c r="D300" i="12"/>
  <c r="D299" i="12"/>
  <c r="D298" i="12"/>
  <c r="D297" i="12"/>
  <c r="D296" i="12"/>
  <c r="D295" i="12"/>
  <c r="D294" i="12"/>
  <c r="D293" i="12"/>
  <c r="D292" i="12"/>
  <c r="D291" i="12"/>
  <c r="D290" i="12"/>
  <c r="D289" i="12"/>
  <c r="D288" i="12"/>
  <c r="D287" i="12"/>
  <c r="D286" i="12"/>
  <c r="D285" i="12"/>
  <c r="D284" i="12"/>
  <c r="D283" i="12"/>
  <c r="D282" i="12"/>
  <c r="D281" i="12"/>
  <c r="D280" i="12"/>
  <c r="D279" i="12"/>
  <c r="D278" i="12"/>
  <c r="D277" i="12"/>
  <c r="D276" i="12"/>
  <c r="D275" i="12"/>
  <c r="D274" i="12"/>
  <c r="D273" i="12"/>
  <c r="D272" i="12"/>
  <c r="D271" i="12"/>
  <c r="D270" i="12"/>
  <c r="D269" i="12"/>
  <c r="D268" i="12"/>
  <c r="D267" i="12"/>
  <c r="D266" i="12"/>
  <c r="D265" i="12"/>
  <c r="D264" i="12"/>
  <c r="D263" i="12"/>
  <c r="D262" i="12"/>
  <c r="D261" i="12"/>
  <c r="D260" i="12"/>
  <c r="D259" i="12"/>
  <c r="D258" i="12"/>
  <c r="D257" i="12"/>
  <c r="D256" i="12"/>
  <c r="D255" i="12"/>
  <c r="D254" i="12"/>
  <c r="D253" i="12"/>
  <c r="D252" i="12"/>
  <c r="D251" i="12"/>
  <c r="D250" i="12"/>
  <c r="D249" i="12"/>
  <c r="D248" i="12"/>
  <c r="D247" i="12"/>
  <c r="D246" i="12"/>
  <c r="D245" i="12"/>
  <c r="D244" i="12"/>
  <c r="D243" i="12"/>
  <c r="D242" i="12"/>
  <c r="D241" i="12"/>
  <c r="D240" i="12"/>
  <c r="D239" i="12"/>
  <c r="D238" i="12"/>
  <c r="D237" i="12"/>
  <c r="D236" i="12"/>
  <c r="D235" i="12"/>
  <c r="D234" i="12"/>
  <c r="D233" i="12"/>
  <c r="D232" i="12"/>
  <c r="D231" i="12"/>
  <c r="D230" i="12"/>
  <c r="D229" i="12"/>
  <c r="D228" i="12"/>
  <c r="D227" i="12"/>
  <c r="D226" i="12"/>
  <c r="D225" i="12"/>
  <c r="D224" i="12"/>
  <c r="D223" i="12"/>
  <c r="D222" i="12"/>
  <c r="D221" i="12"/>
  <c r="D220" i="12"/>
  <c r="D219" i="12"/>
  <c r="D218" i="12"/>
  <c r="D217" i="12"/>
  <c r="D216" i="12"/>
  <c r="D215" i="12"/>
  <c r="D214" i="12"/>
  <c r="D213" i="12"/>
  <c r="D212" i="12"/>
  <c r="D211" i="12"/>
  <c r="D210" i="12"/>
  <c r="D209" i="12"/>
  <c r="D208" i="12"/>
  <c r="D207" i="12"/>
  <c r="D206" i="12"/>
  <c r="D205" i="12"/>
  <c r="D204" i="12"/>
  <c r="D203" i="12"/>
  <c r="D202" i="12"/>
  <c r="D201" i="12"/>
  <c r="D200" i="12"/>
  <c r="D199" i="12"/>
  <c r="D198" i="12"/>
  <c r="D197" i="12"/>
  <c r="D196" i="12"/>
  <c r="D195" i="12"/>
  <c r="D194" i="12"/>
  <c r="D193" i="12"/>
  <c r="D192" i="12"/>
  <c r="D191" i="12"/>
  <c r="D190" i="12"/>
  <c r="D189" i="12"/>
  <c r="D188" i="12"/>
  <c r="D187" i="12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5" i="12"/>
  <c r="D46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5" i="12"/>
  <c r="C46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O300" i="12"/>
  <c r="E300" i="12" s="1"/>
  <c r="O299" i="12"/>
  <c r="E299" i="12" s="1"/>
  <c r="O298" i="12"/>
  <c r="E298" i="12" s="1"/>
  <c r="O297" i="12"/>
  <c r="E297" i="12" s="1"/>
  <c r="O296" i="12"/>
  <c r="E296" i="12" s="1"/>
  <c r="O295" i="12"/>
  <c r="E295" i="12" s="1"/>
  <c r="O294" i="12"/>
  <c r="E294" i="12" s="1"/>
  <c r="O293" i="12"/>
  <c r="E293" i="12" s="1"/>
  <c r="O292" i="12"/>
  <c r="E292" i="12" s="1"/>
  <c r="O291" i="12"/>
  <c r="E291" i="12" s="1"/>
  <c r="O290" i="12"/>
  <c r="E290" i="12" s="1"/>
  <c r="O289" i="12"/>
  <c r="E289" i="12" s="1"/>
  <c r="O288" i="12"/>
  <c r="E288" i="12" s="1"/>
  <c r="O287" i="12"/>
  <c r="E287" i="12" s="1"/>
  <c r="O286" i="12"/>
  <c r="E286" i="12" s="1"/>
  <c r="O285" i="12"/>
  <c r="E285" i="12" s="1"/>
  <c r="O284" i="12"/>
  <c r="E284" i="12" s="1"/>
  <c r="O283" i="12"/>
  <c r="E283" i="12" s="1"/>
  <c r="O282" i="12"/>
  <c r="E282" i="12" s="1"/>
  <c r="O281" i="12"/>
  <c r="E281" i="12" s="1"/>
  <c r="O280" i="12"/>
  <c r="E280" i="12" s="1"/>
  <c r="O279" i="12"/>
  <c r="E279" i="12" s="1"/>
  <c r="O278" i="12"/>
  <c r="E278" i="12" s="1"/>
  <c r="O277" i="12"/>
  <c r="E277" i="12" s="1"/>
  <c r="O276" i="12"/>
  <c r="E276" i="12" s="1"/>
  <c r="O275" i="12"/>
  <c r="E275" i="12" s="1"/>
  <c r="O274" i="12"/>
  <c r="E274" i="12" s="1"/>
  <c r="O273" i="12"/>
  <c r="E273" i="12" s="1"/>
  <c r="O272" i="12"/>
  <c r="E272" i="12" s="1"/>
  <c r="O271" i="12"/>
  <c r="E271" i="12" s="1"/>
  <c r="F271" i="12" s="1"/>
  <c r="O270" i="12"/>
  <c r="E270" i="12" s="1"/>
  <c r="O269" i="12"/>
  <c r="E269" i="12" s="1"/>
  <c r="O268" i="12"/>
  <c r="E268" i="12" s="1"/>
  <c r="O267" i="12"/>
  <c r="E267" i="12" s="1"/>
  <c r="O266" i="12"/>
  <c r="E266" i="12" s="1"/>
  <c r="O265" i="12"/>
  <c r="E265" i="12" s="1"/>
  <c r="O264" i="12"/>
  <c r="E264" i="12" s="1"/>
  <c r="O263" i="12"/>
  <c r="E263" i="12" s="1"/>
  <c r="O262" i="12"/>
  <c r="E262" i="12" s="1"/>
  <c r="O261" i="12"/>
  <c r="E261" i="12" s="1"/>
  <c r="O260" i="12"/>
  <c r="E260" i="12" s="1"/>
  <c r="O259" i="12"/>
  <c r="E259" i="12" s="1"/>
  <c r="O258" i="12"/>
  <c r="E258" i="12" s="1"/>
  <c r="O257" i="12"/>
  <c r="E257" i="12" s="1"/>
  <c r="O256" i="12"/>
  <c r="E256" i="12" s="1"/>
  <c r="O255" i="12"/>
  <c r="E255" i="12" s="1"/>
  <c r="O254" i="12"/>
  <c r="E254" i="12" s="1"/>
  <c r="O253" i="12"/>
  <c r="E253" i="12" s="1"/>
  <c r="O252" i="12"/>
  <c r="E252" i="12" s="1"/>
  <c r="O251" i="12"/>
  <c r="E251" i="12" s="1"/>
  <c r="O250" i="12"/>
  <c r="E250" i="12" s="1"/>
  <c r="O249" i="12"/>
  <c r="E249" i="12" s="1"/>
  <c r="O248" i="12"/>
  <c r="E248" i="12" s="1"/>
  <c r="O247" i="12"/>
  <c r="E247" i="12" s="1"/>
  <c r="O246" i="12"/>
  <c r="E246" i="12" s="1"/>
  <c r="O245" i="12"/>
  <c r="E245" i="12" s="1"/>
  <c r="O244" i="12"/>
  <c r="E244" i="12" s="1"/>
  <c r="O243" i="12"/>
  <c r="E243" i="12" s="1"/>
  <c r="O242" i="12"/>
  <c r="E242" i="12" s="1"/>
  <c r="O241" i="12"/>
  <c r="E241" i="12" s="1"/>
  <c r="O240" i="12"/>
  <c r="E240" i="12" s="1"/>
  <c r="O239" i="12"/>
  <c r="E239" i="12" s="1"/>
  <c r="F239" i="12" s="1"/>
  <c r="O238" i="12"/>
  <c r="E238" i="12" s="1"/>
  <c r="O237" i="12"/>
  <c r="E237" i="12" s="1"/>
  <c r="O236" i="12"/>
  <c r="E236" i="12" s="1"/>
  <c r="O235" i="12"/>
  <c r="E235" i="12" s="1"/>
  <c r="O234" i="12"/>
  <c r="E234" i="12" s="1"/>
  <c r="O233" i="12"/>
  <c r="E233" i="12" s="1"/>
  <c r="O232" i="12"/>
  <c r="E232" i="12" s="1"/>
  <c r="O231" i="12"/>
  <c r="E231" i="12" s="1"/>
  <c r="O230" i="12"/>
  <c r="E230" i="12" s="1"/>
  <c r="O229" i="12"/>
  <c r="E229" i="12" s="1"/>
  <c r="O228" i="12"/>
  <c r="E228" i="12" s="1"/>
  <c r="O227" i="12"/>
  <c r="E227" i="12" s="1"/>
  <c r="O226" i="12"/>
  <c r="E226" i="12" s="1"/>
  <c r="O225" i="12"/>
  <c r="E225" i="12" s="1"/>
  <c r="O224" i="12"/>
  <c r="E224" i="12" s="1"/>
  <c r="O223" i="12"/>
  <c r="E223" i="12" s="1"/>
  <c r="O222" i="12"/>
  <c r="E222" i="12" s="1"/>
  <c r="O221" i="12"/>
  <c r="E221" i="12" s="1"/>
  <c r="O220" i="12"/>
  <c r="E220" i="12" s="1"/>
  <c r="O219" i="12"/>
  <c r="E219" i="12" s="1"/>
  <c r="O218" i="12"/>
  <c r="E218" i="12" s="1"/>
  <c r="O217" i="12"/>
  <c r="E217" i="12" s="1"/>
  <c r="O216" i="12"/>
  <c r="E216" i="12" s="1"/>
  <c r="O215" i="12"/>
  <c r="E215" i="12" s="1"/>
  <c r="O214" i="12"/>
  <c r="E214" i="12" s="1"/>
  <c r="O213" i="12"/>
  <c r="E213" i="12" s="1"/>
  <c r="O212" i="12"/>
  <c r="E212" i="12" s="1"/>
  <c r="O211" i="12"/>
  <c r="E211" i="12" s="1"/>
  <c r="O210" i="12"/>
  <c r="E210" i="12" s="1"/>
  <c r="O209" i="12"/>
  <c r="E209" i="12" s="1"/>
  <c r="O208" i="12"/>
  <c r="E208" i="12" s="1"/>
  <c r="O207" i="12"/>
  <c r="E207" i="12" s="1"/>
  <c r="F207" i="12" s="1"/>
  <c r="O206" i="12"/>
  <c r="E206" i="12" s="1"/>
  <c r="O205" i="12"/>
  <c r="E205" i="12" s="1"/>
  <c r="O204" i="12"/>
  <c r="E204" i="12" s="1"/>
  <c r="O203" i="12"/>
  <c r="E203" i="12" s="1"/>
  <c r="O202" i="12"/>
  <c r="E202" i="12" s="1"/>
  <c r="O201" i="12"/>
  <c r="E201" i="12" s="1"/>
  <c r="O200" i="12"/>
  <c r="E200" i="12" s="1"/>
  <c r="O199" i="12"/>
  <c r="E199" i="12" s="1"/>
  <c r="O198" i="12"/>
  <c r="E198" i="12" s="1"/>
  <c r="O197" i="12"/>
  <c r="E197" i="12" s="1"/>
  <c r="O196" i="12"/>
  <c r="E196" i="12" s="1"/>
  <c r="O195" i="12"/>
  <c r="E195" i="12" s="1"/>
  <c r="O194" i="12"/>
  <c r="E194" i="12" s="1"/>
  <c r="O193" i="12"/>
  <c r="E193" i="12" s="1"/>
  <c r="O192" i="12"/>
  <c r="E192" i="12" s="1"/>
  <c r="O191" i="12"/>
  <c r="E191" i="12" s="1"/>
  <c r="O190" i="12"/>
  <c r="E190" i="12" s="1"/>
  <c r="O189" i="12"/>
  <c r="E189" i="12" s="1"/>
  <c r="O188" i="12"/>
  <c r="E188" i="12" s="1"/>
  <c r="O187" i="12"/>
  <c r="E187" i="12" s="1"/>
  <c r="O186" i="12"/>
  <c r="E186" i="12" s="1"/>
  <c r="O185" i="12"/>
  <c r="E185" i="12" s="1"/>
  <c r="O184" i="12"/>
  <c r="E184" i="12" s="1"/>
  <c r="O183" i="12"/>
  <c r="E183" i="12" s="1"/>
  <c r="O182" i="12"/>
  <c r="E182" i="12" s="1"/>
  <c r="O181" i="12"/>
  <c r="E181" i="12" s="1"/>
  <c r="O180" i="12"/>
  <c r="E180" i="12" s="1"/>
  <c r="O179" i="12"/>
  <c r="E179" i="12" s="1"/>
  <c r="O178" i="12"/>
  <c r="E178" i="12" s="1"/>
  <c r="O177" i="12"/>
  <c r="E177" i="12" s="1"/>
  <c r="O176" i="12"/>
  <c r="E176" i="12" s="1"/>
  <c r="O175" i="12"/>
  <c r="E175" i="12" s="1"/>
  <c r="F175" i="12" s="1"/>
  <c r="O174" i="12"/>
  <c r="E174" i="12" s="1"/>
  <c r="O173" i="12"/>
  <c r="E173" i="12" s="1"/>
  <c r="O172" i="12"/>
  <c r="E172" i="12" s="1"/>
  <c r="O171" i="12"/>
  <c r="E171" i="12" s="1"/>
  <c r="O170" i="12"/>
  <c r="E170" i="12" s="1"/>
  <c r="O169" i="12"/>
  <c r="E169" i="12" s="1"/>
  <c r="O168" i="12"/>
  <c r="E168" i="12" s="1"/>
  <c r="O167" i="12"/>
  <c r="E167" i="12" s="1"/>
  <c r="O166" i="12"/>
  <c r="E166" i="12" s="1"/>
  <c r="O165" i="12"/>
  <c r="E165" i="12" s="1"/>
  <c r="O164" i="12"/>
  <c r="E164" i="12" s="1"/>
  <c r="O163" i="12"/>
  <c r="E163" i="12" s="1"/>
  <c r="O162" i="12"/>
  <c r="E162" i="12" s="1"/>
  <c r="O161" i="12"/>
  <c r="E161" i="12" s="1"/>
  <c r="O160" i="12"/>
  <c r="E160" i="12" s="1"/>
  <c r="O159" i="12"/>
  <c r="E159" i="12" s="1"/>
  <c r="O158" i="12"/>
  <c r="E158" i="12" s="1"/>
  <c r="O157" i="12"/>
  <c r="E157" i="12" s="1"/>
  <c r="O156" i="12"/>
  <c r="E156" i="12" s="1"/>
  <c r="O155" i="12"/>
  <c r="E155" i="12" s="1"/>
  <c r="O154" i="12"/>
  <c r="E154" i="12" s="1"/>
  <c r="O153" i="12"/>
  <c r="E153" i="12" s="1"/>
  <c r="O152" i="12"/>
  <c r="E152" i="12" s="1"/>
  <c r="O151" i="12"/>
  <c r="E151" i="12" s="1"/>
  <c r="O150" i="12"/>
  <c r="E150" i="12" s="1"/>
  <c r="O149" i="12"/>
  <c r="E149" i="12" s="1"/>
  <c r="O148" i="12"/>
  <c r="E148" i="12" s="1"/>
  <c r="O147" i="12"/>
  <c r="E147" i="12" s="1"/>
  <c r="O146" i="12"/>
  <c r="E146" i="12" s="1"/>
  <c r="O145" i="12"/>
  <c r="E145" i="12" s="1"/>
  <c r="O144" i="12"/>
  <c r="E144" i="12" s="1"/>
  <c r="O143" i="12"/>
  <c r="E143" i="12" s="1"/>
  <c r="O142" i="12"/>
  <c r="E142" i="12" s="1"/>
  <c r="O141" i="12"/>
  <c r="E141" i="12" s="1"/>
  <c r="O140" i="12"/>
  <c r="E140" i="12" s="1"/>
  <c r="O139" i="12"/>
  <c r="E139" i="12" s="1"/>
  <c r="O138" i="12"/>
  <c r="E138" i="12" s="1"/>
  <c r="O137" i="12"/>
  <c r="E137" i="12" s="1"/>
  <c r="O136" i="12"/>
  <c r="E136" i="12" s="1"/>
  <c r="O135" i="12"/>
  <c r="E135" i="12" s="1"/>
  <c r="O134" i="12"/>
  <c r="E134" i="12" s="1"/>
  <c r="O133" i="12"/>
  <c r="E133" i="12" s="1"/>
  <c r="O132" i="12"/>
  <c r="E132" i="12" s="1"/>
  <c r="O131" i="12"/>
  <c r="E131" i="12" s="1"/>
  <c r="O130" i="12"/>
  <c r="E130" i="12" s="1"/>
  <c r="O129" i="12"/>
  <c r="E129" i="12" s="1"/>
  <c r="O128" i="12"/>
  <c r="E128" i="12" s="1"/>
  <c r="O127" i="12"/>
  <c r="E127" i="12" s="1"/>
  <c r="O126" i="12"/>
  <c r="E126" i="12" s="1"/>
  <c r="O125" i="12"/>
  <c r="E125" i="12" s="1"/>
  <c r="O124" i="12"/>
  <c r="E124" i="12" s="1"/>
  <c r="O123" i="12"/>
  <c r="E123" i="12" s="1"/>
  <c r="O122" i="12"/>
  <c r="E122" i="12" s="1"/>
  <c r="O121" i="12"/>
  <c r="E121" i="12" s="1"/>
  <c r="O120" i="12"/>
  <c r="E120" i="12" s="1"/>
  <c r="O119" i="12"/>
  <c r="E119" i="12" s="1"/>
  <c r="O118" i="12"/>
  <c r="E118" i="12" s="1"/>
  <c r="O117" i="12"/>
  <c r="E117" i="12" s="1"/>
  <c r="O116" i="12"/>
  <c r="E116" i="12" s="1"/>
  <c r="O115" i="12"/>
  <c r="E115" i="12" s="1"/>
  <c r="O114" i="12"/>
  <c r="E114" i="12" s="1"/>
  <c r="O113" i="12"/>
  <c r="E113" i="12" s="1"/>
  <c r="O112" i="12"/>
  <c r="E112" i="12" s="1"/>
  <c r="O111" i="12"/>
  <c r="E111" i="12" s="1"/>
  <c r="O110" i="12"/>
  <c r="E110" i="12" s="1"/>
  <c r="O109" i="12"/>
  <c r="E109" i="12" s="1"/>
  <c r="O108" i="12"/>
  <c r="E108" i="12" s="1"/>
  <c r="O107" i="12"/>
  <c r="E107" i="12" s="1"/>
  <c r="O106" i="12"/>
  <c r="E106" i="12" s="1"/>
  <c r="O105" i="12"/>
  <c r="E105" i="12" s="1"/>
  <c r="O104" i="12"/>
  <c r="E104" i="12" s="1"/>
  <c r="O103" i="12"/>
  <c r="E103" i="12" s="1"/>
  <c r="O102" i="12"/>
  <c r="E102" i="12" s="1"/>
  <c r="O101" i="12"/>
  <c r="E101" i="12" s="1"/>
  <c r="O100" i="12"/>
  <c r="E100" i="12" s="1"/>
  <c r="O99" i="12"/>
  <c r="E99" i="12" s="1"/>
  <c r="O98" i="12"/>
  <c r="E98" i="12" s="1"/>
  <c r="O97" i="12"/>
  <c r="E97" i="12" s="1"/>
  <c r="O96" i="12"/>
  <c r="E96" i="12" s="1"/>
  <c r="O95" i="12"/>
  <c r="E95" i="12" s="1"/>
  <c r="O94" i="12"/>
  <c r="E94" i="12" s="1"/>
  <c r="O93" i="12"/>
  <c r="E93" i="12" s="1"/>
  <c r="O92" i="12"/>
  <c r="E92" i="12" s="1"/>
  <c r="O91" i="12"/>
  <c r="E91" i="12" s="1"/>
  <c r="O90" i="12"/>
  <c r="E90" i="12" s="1"/>
  <c r="O89" i="12"/>
  <c r="E89" i="12" s="1"/>
  <c r="O88" i="12"/>
  <c r="E88" i="12" s="1"/>
  <c r="O87" i="12"/>
  <c r="E87" i="12" s="1"/>
  <c r="O86" i="12"/>
  <c r="E86" i="12" s="1"/>
  <c r="O85" i="12"/>
  <c r="E85" i="12" s="1"/>
  <c r="O84" i="12"/>
  <c r="E84" i="12" s="1"/>
  <c r="O83" i="12"/>
  <c r="E83" i="12" s="1"/>
  <c r="O82" i="12"/>
  <c r="E82" i="12" s="1"/>
  <c r="O81" i="12"/>
  <c r="E81" i="12" s="1"/>
  <c r="O80" i="12"/>
  <c r="E80" i="12" s="1"/>
  <c r="O79" i="12"/>
  <c r="E79" i="12" s="1"/>
  <c r="O78" i="12"/>
  <c r="E78" i="12" s="1"/>
  <c r="O77" i="12"/>
  <c r="E77" i="12" s="1"/>
  <c r="O76" i="12"/>
  <c r="E76" i="12" s="1"/>
  <c r="O75" i="12"/>
  <c r="E75" i="12" s="1"/>
  <c r="O74" i="12"/>
  <c r="E74" i="12" s="1"/>
  <c r="O73" i="12"/>
  <c r="E73" i="12" s="1"/>
  <c r="O72" i="12"/>
  <c r="E72" i="12" s="1"/>
  <c r="O71" i="12"/>
  <c r="E71" i="12" s="1"/>
  <c r="O70" i="12"/>
  <c r="E70" i="12" s="1"/>
  <c r="O69" i="12"/>
  <c r="E69" i="12" s="1"/>
  <c r="O68" i="12"/>
  <c r="E68" i="12" s="1"/>
  <c r="O67" i="12"/>
  <c r="E67" i="12" s="1"/>
  <c r="O66" i="12"/>
  <c r="E66" i="12" s="1"/>
  <c r="O65" i="12"/>
  <c r="E65" i="12" s="1"/>
  <c r="O64" i="12"/>
  <c r="E64" i="12" s="1"/>
  <c r="O63" i="12"/>
  <c r="E63" i="12" s="1"/>
  <c r="O62" i="12"/>
  <c r="E62" i="12" s="1"/>
  <c r="O61" i="12"/>
  <c r="E61" i="12" s="1"/>
  <c r="O60" i="12"/>
  <c r="E60" i="12" s="1"/>
  <c r="O59" i="12"/>
  <c r="E59" i="12" s="1"/>
  <c r="O58" i="12"/>
  <c r="E58" i="12" s="1"/>
  <c r="O57" i="12"/>
  <c r="E57" i="12" s="1"/>
  <c r="O56" i="12"/>
  <c r="E56" i="12" s="1"/>
  <c r="O55" i="12"/>
  <c r="E55" i="12" s="1"/>
  <c r="O54" i="12"/>
  <c r="E54" i="12" s="1"/>
  <c r="O53" i="12"/>
  <c r="E53" i="12" s="1"/>
  <c r="O52" i="12"/>
  <c r="E52" i="12" s="1"/>
  <c r="O51" i="12"/>
  <c r="E51" i="12" s="1"/>
  <c r="O50" i="12"/>
  <c r="E50" i="12" s="1"/>
  <c r="O49" i="12"/>
  <c r="E49" i="12" s="1"/>
  <c r="O48" i="12"/>
  <c r="E48" i="12" s="1"/>
  <c r="O47" i="12"/>
  <c r="E47" i="12" s="1"/>
  <c r="O45" i="12"/>
  <c r="E45" i="12" s="1"/>
  <c r="O46" i="12"/>
  <c r="E46" i="12" s="1"/>
  <c r="O44" i="12"/>
  <c r="E44" i="12" s="1"/>
  <c r="O43" i="12"/>
  <c r="E43" i="12" s="1"/>
  <c r="O42" i="12"/>
  <c r="E42" i="12" s="1"/>
  <c r="O41" i="12"/>
  <c r="E41" i="12" s="1"/>
  <c r="O40" i="12"/>
  <c r="E40" i="12" s="1"/>
  <c r="O39" i="12"/>
  <c r="E39" i="12" s="1"/>
  <c r="O38" i="12"/>
  <c r="E38" i="12" s="1"/>
  <c r="O37" i="12"/>
  <c r="E37" i="12" s="1"/>
  <c r="O36" i="12"/>
  <c r="E36" i="12" s="1"/>
  <c r="O35" i="12"/>
  <c r="E35" i="12" s="1"/>
  <c r="O34" i="12"/>
  <c r="E34" i="12" s="1"/>
  <c r="O33" i="12"/>
  <c r="E33" i="12" s="1"/>
  <c r="O32" i="12"/>
  <c r="E32" i="12" s="1"/>
  <c r="O31" i="12"/>
  <c r="E31" i="12" s="1"/>
  <c r="O30" i="12"/>
  <c r="E30" i="12" s="1"/>
  <c r="O29" i="12"/>
  <c r="E29" i="12" s="1"/>
  <c r="O28" i="12"/>
  <c r="E28" i="12" s="1"/>
  <c r="O27" i="12"/>
  <c r="E27" i="12" s="1"/>
  <c r="O26" i="12"/>
  <c r="E26" i="12" s="1"/>
  <c r="O25" i="12"/>
  <c r="E25" i="12" s="1"/>
  <c r="O24" i="12"/>
  <c r="E24" i="12" s="1"/>
  <c r="O23" i="12"/>
  <c r="E23" i="12" s="1"/>
  <c r="O22" i="12"/>
  <c r="E22" i="12" s="1"/>
  <c r="O21" i="12"/>
  <c r="E21" i="12" s="1"/>
  <c r="O20" i="12"/>
  <c r="E20" i="12" s="1"/>
  <c r="O19" i="12"/>
  <c r="E19" i="12" s="1"/>
  <c r="O18" i="12"/>
  <c r="E18" i="12" s="1"/>
  <c r="O17" i="12"/>
  <c r="E17" i="12" s="1"/>
  <c r="O16" i="12"/>
  <c r="E16" i="12" s="1"/>
  <c r="O15" i="12"/>
  <c r="E15" i="12" s="1"/>
  <c r="O14" i="12"/>
  <c r="E14" i="12" s="1"/>
  <c r="O13" i="12"/>
  <c r="E13" i="12" s="1"/>
  <c r="O12" i="12"/>
  <c r="E12" i="12" s="1"/>
  <c r="O11" i="12"/>
  <c r="E11" i="12" s="1"/>
  <c r="O10" i="12"/>
  <c r="E10" i="12" s="1"/>
  <c r="O9" i="12"/>
  <c r="E9" i="12" s="1"/>
  <c r="O8" i="12"/>
  <c r="E8" i="12" s="1"/>
  <c r="O7" i="12"/>
  <c r="E7" i="12" s="1"/>
  <c r="O6" i="12"/>
  <c r="E6" i="12" s="1"/>
  <c r="O5" i="12"/>
  <c r="E5" i="12" s="1"/>
  <c r="G17" i="12" l="1"/>
  <c r="H17" i="12" s="1"/>
  <c r="G57" i="12"/>
  <c r="H57" i="12" s="1"/>
  <c r="G89" i="12"/>
  <c r="H89" i="12" s="1"/>
  <c r="G113" i="12"/>
  <c r="H113" i="12" s="1"/>
  <c r="G137" i="12"/>
  <c r="H137" i="12" s="1"/>
  <c r="G161" i="12"/>
  <c r="H161" i="12" s="1"/>
  <c r="G193" i="12"/>
  <c r="H193" i="12" s="1"/>
  <c r="G225" i="12"/>
  <c r="H225" i="12" s="1"/>
  <c r="G265" i="12"/>
  <c r="H265" i="12" s="1"/>
  <c r="G289" i="12"/>
  <c r="H289" i="12" s="1"/>
  <c r="G26" i="12"/>
  <c r="H26" i="12" s="1"/>
  <c r="G13" i="12"/>
  <c r="H13" i="12" s="1"/>
  <c r="G29" i="12"/>
  <c r="H29" i="12" s="1"/>
  <c r="G53" i="12"/>
  <c r="H53" i="12" s="1"/>
  <c r="G77" i="12"/>
  <c r="H77" i="12" s="1"/>
  <c r="G109" i="12"/>
  <c r="H109" i="12" s="1"/>
  <c r="G125" i="12"/>
  <c r="H125" i="12" s="1"/>
  <c r="G149" i="12"/>
  <c r="H149" i="12" s="1"/>
  <c r="G173" i="12"/>
  <c r="H173" i="12" s="1"/>
  <c r="G189" i="12"/>
  <c r="H189" i="12" s="1"/>
  <c r="G205" i="12"/>
  <c r="H205" i="12" s="1"/>
  <c r="G229" i="12"/>
  <c r="H229" i="12" s="1"/>
  <c r="G253" i="12"/>
  <c r="H253" i="12" s="1"/>
  <c r="G269" i="12"/>
  <c r="H269" i="12" s="1"/>
  <c r="G293" i="12"/>
  <c r="H293" i="12" s="1"/>
  <c r="G8" i="12"/>
  <c r="H8" i="12" s="1"/>
  <c r="G16" i="12"/>
  <c r="H16" i="12" s="1"/>
  <c r="G24" i="12"/>
  <c r="H24" i="12" s="1"/>
  <c r="G32" i="12"/>
  <c r="H32" i="12" s="1"/>
  <c r="G40" i="12"/>
  <c r="H40" i="12" s="1"/>
  <c r="G48" i="12"/>
  <c r="H48" i="12" s="1"/>
  <c r="G56" i="12"/>
  <c r="H56" i="12" s="1"/>
  <c r="G64" i="12"/>
  <c r="H64" i="12" s="1"/>
  <c r="G72" i="12"/>
  <c r="H72" i="12" s="1"/>
  <c r="G80" i="12"/>
  <c r="H80" i="12" s="1"/>
  <c r="G88" i="12"/>
  <c r="H88" i="12" s="1"/>
  <c r="G96" i="12"/>
  <c r="H96" i="12" s="1"/>
  <c r="G104" i="12"/>
  <c r="H104" i="12" s="1"/>
  <c r="G112" i="12"/>
  <c r="H112" i="12" s="1"/>
  <c r="G120" i="12"/>
  <c r="H120" i="12" s="1"/>
  <c r="G128" i="12"/>
  <c r="H128" i="12" s="1"/>
  <c r="H136" i="12"/>
  <c r="G136" i="12"/>
  <c r="G144" i="12"/>
  <c r="H144" i="12" s="1"/>
  <c r="G152" i="12"/>
  <c r="H152" i="12" s="1"/>
  <c r="G160" i="12"/>
  <c r="H160" i="12" s="1"/>
  <c r="G168" i="12"/>
  <c r="H168" i="12" s="1"/>
  <c r="G176" i="12"/>
  <c r="H176" i="12" s="1"/>
  <c r="G184" i="12"/>
  <c r="H184" i="12" s="1"/>
  <c r="G192" i="12"/>
  <c r="H192" i="12" s="1"/>
  <c r="H200" i="12"/>
  <c r="G200" i="12"/>
  <c r="G208" i="12"/>
  <c r="H208" i="12" s="1"/>
  <c r="G216" i="12"/>
  <c r="H216" i="12" s="1"/>
  <c r="G224" i="12"/>
  <c r="H224" i="12" s="1"/>
  <c r="G232" i="12"/>
  <c r="H232" i="12" s="1"/>
  <c r="G240" i="12"/>
  <c r="H240" i="12" s="1"/>
  <c r="G248" i="12"/>
  <c r="H248" i="12" s="1"/>
  <c r="G256" i="12"/>
  <c r="H256" i="12" s="1"/>
  <c r="G264" i="12"/>
  <c r="H264" i="12" s="1"/>
  <c r="G272" i="12"/>
  <c r="H272" i="12" s="1"/>
  <c r="G280" i="12"/>
  <c r="H280" i="12" s="1"/>
  <c r="G288" i="12"/>
  <c r="H288" i="12" s="1"/>
  <c r="G296" i="12"/>
  <c r="H296" i="12" s="1"/>
  <c r="G34" i="12"/>
  <c r="H34" i="12" s="1"/>
  <c r="G58" i="12"/>
  <c r="H58" i="12" s="1"/>
  <c r="G74" i="12"/>
  <c r="H74" i="12" s="1"/>
  <c r="G90" i="12"/>
  <c r="H90" i="12" s="1"/>
  <c r="G106" i="12"/>
  <c r="H106" i="12" s="1"/>
  <c r="G130" i="12"/>
  <c r="H130" i="12" s="1"/>
  <c r="G138" i="12"/>
  <c r="H138" i="12" s="1"/>
  <c r="G162" i="12"/>
  <c r="H162" i="12" s="1"/>
  <c r="G178" i="12"/>
  <c r="H178" i="12" s="1"/>
  <c r="G194" i="12"/>
  <c r="H194" i="12" s="1"/>
  <c r="G210" i="12"/>
  <c r="H210" i="12" s="1"/>
  <c r="G250" i="12"/>
  <c r="H250" i="12" s="1"/>
  <c r="G274" i="12"/>
  <c r="H274" i="12" s="1"/>
  <c r="G11" i="12"/>
  <c r="H11" i="12" s="1"/>
  <c r="G19" i="12"/>
  <c r="H19" i="12" s="1"/>
  <c r="G27" i="12"/>
  <c r="H27" i="12" s="1"/>
  <c r="G35" i="12"/>
  <c r="H35" i="12" s="1"/>
  <c r="G43" i="12"/>
  <c r="H43" i="12" s="1"/>
  <c r="G51" i="12"/>
  <c r="H51" i="12" s="1"/>
  <c r="G59" i="12"/>
  <c r="H59" i="12" s="1"/>
  <c r="G67" i="12"/>
  <c r="H67" i="12" s="1"/>
  <c r="G75" i="12"/>
  <c r="H75" i="12" s="1"/>
  <c r="G83" i="12"/>
  <c r="H83" i="12" s="1"/>
  <c r="G91" i="12"/>
  <c r="H91" i="12" s="1"/>
  <c r="G99" i="12"/>
  <c r="H99" i="12" s="1"/>
  <c r="G107" i="12"/>
  <c r="H107" i="12" s="1"/>
  <c r="G115" i="12"/>
  <c r="H115" i="12" s="1"/>
  <c r="H123" i="12"/>
  <c r="G123" i="12"/>
  <c r="G131" i="12"/>
  <c r="H131" i="12" s="1"/>
  <c r="G139" i="12"/>
  <c r="H139" i="12" s="1"/>
  <c r="G147" i="12"/>
  <c r="H147" i="12" s="1"/>
  <c r="G155" i="12"/>
  <c r="H155" i="12" s="1"/>
  <c r="G163" i="12"/>
  <c r="H163" i="12" s="1"/>
  <c r="G171" i="12"/>
  <c r="H171" i="12" s="1"/>
  <c r="G179" i="12"/>
  <c r="H179" i="12" s="1"/>
  <c r="G187" i="12"/>
  <c r="H187" i="12" s="1"/>
  <c r="G195" i="12"/>
  <c r="H195" i="12" s="1"/>
  <c r="G203" i="12"/>
  <c r="H203" i="12" s="1"/>
  <c r="G211" i="12"/>
  <c r="H211" i="12" s="1"/>
  <c r="H219" i="12"/>
  <c r="G219" i="12"/>
  <c r="G227" i="12"/>
  <c r="H227" i="12" s="1"/>
  <c r="G235" i="12"/>
  <c r="H235" i="12" s="1"/>
  <c r="G243" i="12"/>
  <c r="H243" i="12" s="1"/>
  <c r="G251" i="12"/>
  <c r="H251" i="12" s="1"/>
  <c r="G259" i="12"/>
  <c r="H259" i="12" s="1"/>
  <c r="G267" i="12"/>
  <c r="H267" i="12" s="1"/>
  <c r="G275" i="12"/>
  <c r="H275" i="12" s="1"/>
  <c r="G283" i="12"/>
  <c r="H283" i="12" s="1"/>
  <c r="G291" i="12"/>
  <c r="H291" i="12" s="1"/>
  <c r="G299" i="12"/>
  <c r="H299" i="12" s="1"/>
  <c r="G41" i="12"/>
  <c r="H41" i="12" s="1"/>
  <c r="G65" i="12"/>
  <c r="H65" i="12" s="1"/>
  <c r="G97" i="12"/>
  <c r="H97" i="12" s="1"/>
  <c r="G129" i="12"/>
  <c r="H129" i="12" s="1"/>
  <c r="G169" i="12"/>
  <c r="H169" i="12" s="1"/>
  <c r="G209" i="12"/>
  <c r="H209" i="12" s="1"/>
  <c r="G241" i="12"/>
  <c r="H241" i="12" s="1"/>
  <c r="G297" i="12"/>
  <c r="H297" i="12" s="1"/>
  <c r="G42" i="12"/>
  <c r="H42" i="12" s="1"/>
  <c r="G50" i="12"/>
  <c r="H50" i="12" s="1"/>
  <c r="G66" i="12"/>
  <c r="H66" i="12" s="1"/>
  <c r="G82" i="12"/>
  <c r="H82" i="12" s="1"/>
  <c r="G98" i="12"/>
  <c r="H98" i="12" s="1"/>
  <c r="G114" i="12"/>
  <c r="H114" i="12" s="1"/>
  <c r="G122" i="12"/>
  <c r="H122" i="12" s="1"/>
  <c r="G146" i="12"/>
  <c r="H146" i="12" s="1"/>
  <c r="G154" i="12"/>
  <c r="H154" i="12" s="1"/>
  <c r="G170" i="12"/>
  <c r="H170" i="12" s="1"/>
  <c r="G186" i="12"/>
  <c r="H186" i="12" s="1"/>
  <c r="G202" i="12"/>
  <c r="H202" i="12" s="1"/>
  <c r="G218" i="12"/>
  <c r="H218" i="12" s="1"/>
  <c r="G226" i="12"/>
  <c r="H226" i="12" s="1"/>
  <c r="G234" i="12"/>
  <c r="H234" i="12" s="1"/>
  <c r="G242" i="12"/>
  <c r="H242" i="12" s="1"/>
  <c r="G258" i="12"/>
  <c r="H258" i="12" s="1"/>
  <c r="H266" i="12"/>
  <c r="G266" i="12"/>
  <c r="G282" i="12"/>
  <c r="H282" i="12" s="1"/>
  <c r="G290" i="12"/>
  <c r="H290" i="12" s="1"/>
  <c r="G298" i="12"/>
  <c r="H298" i="12" s="1"/>
  <c r="G12" i="12"/>
  <c r="H12" i="12" s="1"/>
  <c r="G20" i="12"/>
  <c r="H20" i="12" s="1"/>
  <c r="G28" i="12"/>
  <c r="H28" i="12" s="1"/>
  <c r="G36" i="12"/>
  <c r="H36" i="12" s="1"/>
  <c r="G44" i="12"/>
  <c r="H44" i="12" s="1"/>
  <c r="G52" i="12"/>
  <c r="H52" i="12" s="1"/>
  <c r="G60" i="12"/>
  <c r="H60" i="12" s="1"/>
  <c r="G68" i="12"/>
  <c r="H68" i="12" s="1"/>
  <c r="G76" i="12"/>
  <c r="H76" i="12" s="1"/>
  <c r="G84" i="12"/>
  <c r="H84" i="12" s="1"/>
  <c r="G92" i="12"/>
  <c r="H92" i="12" s="1"/>
  <c r="G100" i="12"/>
  <c r="H100" i="12" s="1"/>
  <c r="G108" i="12"/>
  <c r="H108" i="12" s="1"/>
  <c r="G116" i="12"/>
  <c r="H116" i="12" s="1"/>
  <c r="G124" i="12"/>
  <c r="H124" i="12" s="1"/>
  <c r="G132" i="12"/>
  <c r="H132" i="12" s="1"/>
  <c r="G140" i="12"/>
  <c r="H140" i="12" s="1"/>
  <c r="G148" i="12"/>
  <c r="H148" i="12" s="1"/>
  <c r="H156" i="12"/>
  <c r="G156" i="12"/>
  <c r="G164" i="12"/>
  <c r="H164" i="12" s="1"/>
  <c r="G172" i="12"/>
  <c r="H172" i="12" s="1"/>
  <c r="G180" i="12"/>
  <c r="H180" i="12" s="1"/>
  <c r="G188" i="12"/>
  <c r="H188" i="12" s="1"/>
  <c r="G196" i="12"/>
  <c r="H196" i="12" s="1"/>
  <c r="H204" i="12"/>
  <c r="G204" i="12"/>
  <c r="G212" i="12"/>
  <c r="H212" i="12" s="1"/>
  <c r="G220" i="12"/>
  <c r="H220" i="12" s="1"/>
  <c r="G228" i="12"/>
  <c r="H228" i="12" s="1"/>
  <c r="G236" i="12"/>
  <c r="H236" i="12" s="1"/>
  <c r="G244" i="12"/>
  <c r="H244" i="12" s="1"/>
  <c r="G252" i="12"/>
  <c r="H252" i="12" s="1"/>
  <c r="G260" i="12"/>
  <c r="H260" i="12" s="1"/>
  <c r="H268" i="12"/>
  <c r="G268" i="12"/>
  <c r="G276" i="12"/>
  <c r="H276" i="12" s="1"/>
  <c r="G284" i="12"/>
  <c r="H284" i="12" s="1"/>
  <c r="G292" i="12"/>
  <c r="H292" i="12" s="1"/>
  <c r="H300" i="12"/>
  <c r="G300" i="12"/>
  <c r="G9" i="12"/>
  <c r="H9" i="12" s="1"/>
  <c r="G33" i="12"/>
  <c r="H33" i="12" s="1"/>
  <c r="G73" i="12"/>
  <c r="H73" i="12" s="1"/>
  <c r="G121" i="12"/>
  <c r="H121" i="12" s="1"/>
  <c r="G153" i="12"/>
  <c r="H153" i="12" s="1"/>
  <c r="G185" i="12"/>
  <c r="H185" i="12" s="1"/>
  <c r="G217" i="12"/>
  <c r="H217" i="12" s="1"/>
  <c r="G249" i="12"/>
  <c r="H249" i="12" s="1"/>
  <c r="G257" i="12"/>
  <c r="H257" i="12" s="1"/>
  <c r="G281" i="12"/>
  <c r="H281" i="12" s="1"/>
  <c r="G10" i="12"/>
  <c r="H10" i="12" s="1"/>
  <c r="G21" i="12"/>
  <c r="H21" i="12" s="1"/>
  <c r="G46" i="12"/>
  <c r="H46" i="12" s="1"/>
  <c r="G69" i="12"/>
  <c r="H69" i="12" s="1"/>
  <c r="G93" i="12"/>
  <c r="H93" i="12" s="1"/>
  <c r="G133" i="12"/>
  <c r="H133" i="12" s="1"/>
  <c r="G157" i="12"/>
  <c r="H157" i="12" s="1"/>
  <c r="G197" i="12"/>
  <c r="H197" i="12" s="1"/>
  <c r="G221" i="12"/>
  <c r="H221" i="12" s="1"/>
  <c r="G245" i="12"/>
  <c r="H245" i="12" s="1"/>
  <c r="G285" i="12"/>
  <c r="H285" i="12" s="1"/>
  <c r="G6" i="12"/>
  <c r="H6" i="12" s="1"/>
  <c r="G14" i="12"/>
  <c r="H14" i="12" s="1"/>
  <c r="G22" i="12"/>
  <c r="H22" i="12" s="1"/>
  <c r="G30" i="12"/>
  <c r="H30" i="12" s="1"/>
  <c r="G38" i="12"/>
  <c r="H38" i="12" s="1"/>
  <c r="G45" i="12"/>
  <c r="H45" i="12" s="1"/>
  <c r="G54" i="12"/>
  <c r="H54" i="12" s="1"/>
  <c r="G62" i="12"/>
  <c r="H62" i="12" s="1"/>
  <c r="G70" i="12"/>
  <c r="H70" i="12" s="1"/>
  <c r="G78" i="12"/>
  <c r="H78" i="12" s="1"/>
  <c r="G86" i="12"/>
  <c r="H86" i="12" s="1"/>
  <c r="G94" i="12"/>
  <c r="H94" i="12" s="1"/>
  <c r="G102" i="12"/>
  <c r="H102" i="12" s="1"/>
  <c r="G110" i="12"/>
  <c r="H110" i="12" s="1"/>
  <c r="G118" i="12"/>
  <c r="H118" i="12" s="1"/>
  <c r="G126" i="12"/>
  <c r="H126" i="12" s="1"/>
  <c r="G134" i="12"/>
  <c r="H134" i="12" s="1"/>
  <c r="G142" i="12"/>
  <c r="H142" i="12" s="1"/>
  <c r="G150" i="12"/>
  <c r="H150" i="12" s="1"/>
  <c r="G158" i="12"/>
  <c r="H158" i="12" s="1"/>
  <c r="G166" i="12"/>
  <c r="H166" i="12" s="1"/>
  <c r="G174" i="12"/>
  <c r="H174" i="12" s="1"/>
  <c r="G182" i="12"/>
  <c r="H182" i="12" s="1"/>
  <c r="G190" i="12"/>
  <c r="H190" i="12" s="1"/>
  <c r="G198" i="12"/>
  <c r="H198" i="12" s="1"/>
  <c r="G206" i="12"/>
  <c r="H206" i="12" s="1"/>
  <c r="G214" i="12"/>
  <c r="H214" i="12" s="1"/>
  <c r="G222" i="12"/>
  <c r="H222" i="12" s="1"/>
  <c r="G230" i="12"/>
  <c r="H230" i="12" s="1"/>
  <c r="G238" i="12"/>
  <c r="H238" i="12" s="1"/>
  <c r="G246" i="12"/>
  <c r="H246" i="12" s="1"/>
  <c r="G254" i="12"/>
  <c r="H254" i="12" s="1"/>
  <c r="G262" i="12"/>
  <c r="H262" i="12" s="1"/>
  <c r="G270" i="12"/>
  <c r="H270" i="12" s="1"/>
  <c r="G278" i="12"/>
  <c r="H278" i="12" s="1"/>
  <c r="G286" i="12"/>
  <c r="H286" i="12" s="1"/>
  <c r="G294" i="12"/>
  <c r="H294" i="12" s="1"/>
  <c r="G25" i="12"/>
  <c r="H25" i="12" s="1"/>
  <c r="G49" i="12"/>
  <c r="H49" i="12" s="1"/>
  <c r="G81" i="12"/>
  <c r="H81" i="12" s="1"/>
  <c r="G105" i="12"/>
  <c r="H105" i="12" s="1"/>
  <c r="G145" i="12"/>
  <c r="H145" i="12" s="1"/>
  <c r="H177" i="12"/>
  <c r="G177" i="12"/>
  <c r="G201" i="12"/>
  <c r="H201" i="12" s="1"/>
  <c r="G233" i="12"/>
  <c r="H233" i="12" s="1"/>
  <c r="G273" i="12"/>
  <c r="H273" i="12" s="1"/>
  <c r="G18" i="12"/>
  <c r="H18" i="12" s="1"/>
  <c r="G5" i="12"/>
  <c r="H5" i="12" s="1"/>
  <c r="G37" i="12"/>
  <c r="H37" i="12" s="1"/>
  <c r="G61" i="12"/>
  <c r="H61" i="12" s="1"/>
  <c r="G85" i="12"/>
  <c r="H85" i="12" s="1"/>
  <c r="G101" i="12"/>
  <c r="H101" i="12" s="1"/>
  <c r="G117" i="12"/>
  <c r="H117" i="12" s="1"/>
  <c r="G141" i="12"/>
  <c r="H141" i="12" s="1"/>
  <c r="H165" i="12"/>
  <c r="G165" i="12"/>
  <c r="G181" i="12"/>
  <c r="H181" i="12" s="1"/>
  <c r="G213" i="12"/>
  <c r="H213" i="12" s="1"/>
  <c r="G237" i="12"/>
  <c r="H237" i="12" s="1"/>
  <c r="G261" i="12"/>
  <c r="H261" i="12" s="1"/>
  <c r="G277" i="12"/>
  <c r="H277" i="12" s="1"/>
  <c r="G7" i="12"/>
  <c r="H7" i="12" s="1"/>
  <c r="G15" i="12"/>
  <c r="H15" i="12" s="1"/>
  <c r="G23" i="12"/>
  <c r="H23" i="12" s="1"/>
  <c r="G31" i="12"/>
  <c r="H31" i="12" s="1"/>
  <c r="G39" i="12"/>
  <c r="H39" i="12" s="1"/>
  <c r="G47" i="12"/>
  <c r="H47" i="12" s="1"/>
  <c r="G55" i="12"/>
  <c r="H55" i="12" s="1"/>
  <c r="G63" i="12"/>
  <c r="H63" i="12" s="1"/>
  <c r="G71" i="12"/>
  <c r="H71" i="12" s="1"/>
  <c r="G79" i="12"/>
  <c r="H79" i="12" s="1"/>
  <c r="G87" i="12"/>
  <c r="H87" i="12" s="1"/>
  <c r="G95" i="12"/>
  <c r="H95" i="12" s="1"/>
  <c r="G103" i="12"/>
  <c r="H103" i="12" s="1"/>
  <c r="G111" i="12"/>
  <c r="H111" i="12" s="1"/>
  <c r="G119" i="12"/>
  <c r="H119" i="12" s="1"/>
  <c r="G127" i="12"/>
  <c r="H127" i="12" s="1"/>
  <c r="G135" i="12"/>
  <c r="H135" i="12" s="1"/>
  <c r="G143" i="12"/>
  <c r="H143" i="12" s="1"/>
  <c r="G151" i="12"/>
  <c r="H151" i="12" s="1"/>
  <c r="G159" i="12"/>
  <c r="H159" i="12" s="1"/>
  <c r="G167" i="12"/>
  <c r="H167" i="12" s="1"/>
  <c r="G175" i="12"/>
  <c r="H175" i="12" s="1"/>
  <c r="G183" i="12"/>
  <c r="H183" i="12" s="1"/>
  <c r="G191" i="12"/>
  <c r="H191" i="12" s="1"/>
  <c r="G199" i="12"/>
  <c r="H199" i="12" s="1"/>
  <c r="G207" i="12"/>
  <c r="H207" i="12" s="1"/>
  <c r="G215" i="12"/>
  <c r="H215" i="12" s="1"/>
  <c r="G223" i="12"/>
  <c r="H223" i="12" s="1"/>
  <c r="G231" i="12"/>
  <c r="H231" i="12" s="1"/>
  <c r="G239" i="12"/>
  <c r="H239" i="12" s="1"/>
  <c r="G247" i="12"/>
  <c r="H247" i="12" s="1"/>
  <c r="G255" i="12"/>
  <c r="H255" i="12" s="1"/>
  <c r="G263" i="12"/>
  <c r="H263" i="12" s="1"/>
  <c r="G271" i="12"/>
  <c r="H271" i="12" s="1"/>
  <c r="G279" i="12"/>
  <c r="H279" i="12" s="1"/>
  <c r="G287" i="12"/>
  <c r="H287" i="12" s="1"/>
  <c r="G295" i="12"/>
  <c r="H295" i="12" s="1"/>
  <c r="F164" i="12"/>
  <c r="F172" i="12"/>
  <c r="F180" i="12"/>
  <c r="F188" i="12"/>
  <c r="F196" i="12"/>
  <c r="F204" i="12"/>
  <c r="F212" i="12"/>
  <c r="F220" i="12"/>
  <c r="F228" i="12"/>
  <c r="F236" i="12"/>
  <c r="F244" i="12"/>
  <c r="F252" i="12"/>
  <c r="F260" i="12"/>
  <c r="F268" i="12"/>
  <c r="F276" i="12"/>
  <c r="F284" i="12"/>
  <c r="F292" i="12"/>
  <c r="F300" i="12"/>
  <c r="F259" i="12"/>
  <c r="F267" i="12"/>
  <c r="F275" i="12"/>
  <c r="F283" i="12"/>
  <c r="F291" i="12"/>
  <c r="F299" i="12"/>
  <c r="F170" i="12"/>
  <c r="F194" i="12"/>
  <c r="F210" i="12"/>
  <c r="F218" i="12"/>
  <c r="F242" i="12"/>
  <c r="F250" i="12"/>
  <c r="F258" i="12"/>
  <c r="F266" i="12"/>
  <c r="F274" i="12"/>
  <c r="F282" i="12"/>
  <c r="F290" i="12"/>
  <c r="F298" i="12"/>
  <c r="F99" i="12"/>
  <c r="F115" i="12"/>
  <c r="F131" i="12"/>
  <c r="F147" i="12"/>
  <c r="F163" i="12"/>
  <c r="F179" i="12"/>
  <c r="F195" i="12"/>
  <c r="F211" i="12"/>
  <c r="F227" i="12"/>
  <c r="F251" i="12"/>
  <c r="F91" i="12"/>
  <c r="F107" i="12"/>
  <c r="F123" i="12"/>
  <c r="F139" i="12"/>
  <c r="F155" i="12"/>
  <c r="F171" i="12"/>
  <c r="F187" i="12"/>
  <c r="F203" i="12"/>
  <c r="F219" i="12"/>
  <c r="F235" i="12"/>
  <c r="F243" i="12"/>
  <c r="F89" i="12"/>
  <c r="F97" i="12"/>
  <c r="F105" i="12"/>
  <c r="F113" i="12"/>
  <c r="F121" i="12"/>
  <c r="F129" i="12"/>
  <c r="F137" i="12"/>
  <c r="F145" i="12"/>
  <c r="F153" i="12"/>
  <c r="F161" i="12"/>
  <c r="F241" i="12"/>
  <c r="F273" i="12"/>
  <c r="F297" i="12"/>
  <c r="F232" i="12"/>
  <c r="F189" i="12"/>
  <c r="F253" i="12"/>
  <c r="F285" i="12"/>
  <c r="F165" i="12"/>
  <c r="F173" i="12"/>
  <c r="F181" i="12"/>
  <c r="F197" i="12"/>
  <c r="F205" i="12"/>
  <c r="F213" i="12"/>
  <c r="F221" i="12"/>
  <c r="F229" i="12"/>
  <c r="F237" i="12"/>
  <c r="F245" i="12"/>
  <c r="F261" i="12"/>
  <c r="F269" i="12"/>
  <c r="F277" i="12"/>
  <c r="F293" i="12"/>
  <c r="F166" i="12"/>
  <c r="F174" i="12"/>
  <c r="F182" i="12"/>
  <c r="F190" i="12"/>
  <c r="F198" i="12"/>
  <c r="F206" i="12"/>
  <c r="F214" i="12"/>
  <c r="F222" i="12"/>
  <c r="F230" i="12"/>
  <c r="F238" i="12"/>
  <c r="F246" i="12"/>
  <c r="F254" i="12"/>
  <c r="F262" i="12"/>
  <c r="F270" i="12"/>
  <c r="F278" i="12"/>
  <c r="F286" i="12"/>
  <c r="F294" i="12"/>
  <c r="F167" i="12"/>
  <c r="F183" i="12"/>
  <c r="F191" i="12"/>
  <c r="F199" i="12"/>
  <c r="F215" i="12"/>
  <c r="F223" i="12"/>
  <c r="F231" i="12"/>
  <c r="F247" i="12"/>
  <c r="F255" i="12"/>
  <c r="F263" i="12"/>
  <c r="F279" i="12"/>
  <c r="F287" i="12"/>
  <c r="F295" i="12"/>
  <c r="F168" i="12"/>
  <c r="F176" i="12"/>
  <c r="F184" i="12"/>
  <c r="F192" i="12"/>
  <c r="F200" i="12"/>
  <c r="F208" i="12"/>
  <c r="F216" i="12"/>
  <c r="F224" i="12"/>
  <c r="F240" i="12"/>
  <c r="F248" i="12"/>
  <c r="F256" i="12"/>
  <c r="F264" i="12"/>
  <c r="F272" i="12"/>
  <c r="F280" i="12"/>
  <c r="F288" i="12"/>
  <c r="F296" i="12"/>
  <c r="F169" i="12"/>
  <c r="F177" i="12"/>
  <c r="F185" i="12"/>
  <c r="F193" i="12"/>
  <c r="F201" i="12"/>
  <c r="F209" i="12"/>
  <c r="F217" i="12"/>
  <c r="F225" i="12"/>
  <c r="F233" i="12"/>
  <c r="F249" i="12"/>
  <c r="F257" i="12"/>
  <c r="F265" i="12"/>
  <c r="F281" i="12"/>
  <c r="F289" i="12"/>
  <c r="F162" i="12"/>
  <c r="F178" i="12"/>
  <c r="F186" i="12"/>
  <c r="F202" i="12"/>
  <c r="F226" i="12"/>
  <c r="F234" i="12"/>
  <c r="F88" i="12"/>
  <c r="F96" i="12"/>
  <c r="F104" i="12"/>
  <c r="F112" i="12"/>
  <c r="F120" i="12"/>
  <c r="F128" i="12"/>
  <c r="F136" i="12"/>
  <c r="F144" i="12"/>
  <c r="F152" i="12"/>
  <c r="F160" i="12"/>
  <c r="F90" i="12"/>
  <c r="F98" i="12"/>
  <c r="F106" i="12"/>
  <c r="F114" i="12"/>
  <c r="F122" i="12"/>
  <c r="F130" i="12"/>
  <c r="F138" i="12"/>
  <c r="F146" i="12"/>
  <c r="F154" i="12"/>
  <c r="F101" i="12"/>
  <c r="F141" i="12"/>
  <c r="F93" i="12"/>
  <c r="F133" i="12"/>
  <c r="F149" i="12"/>
  <c r="F85" i="12"/>
  <c r="F109" i="12"/>
  <c r="F117" i="12"/>
  <c r="F125" i="12"/>
  <c r="F157" i="12"/>
  <c r="F94" i="12"/>
  <c r="F110" i="12"/>
  <c r="F126" i="12"/>
  <c r="F150" i="12"/>
  <c r="F86" i="12"/>
  <c r="F102" i="12"/>
  <c r="F118" i="12"/>
  <c r="F134" i="12"/>
  <c r="F142" i="12"/>
  <c r="F158" i="12"/>
  <c r="F87" i="12"/>
  <c r="F95" i="12"/>
  <c r="F103" i="12"/>
  <c r="F111" i="12"/>
  <c r="F119" i="12"/>
  <c r="F127" i="12"/>
  <c r="F135" i="12"/>
  <c r="F143" i="12"/>
  <c r="F151" i="12"/>
  <c r="F159" i="12"/>
  <c r="F92" i="12"/>
  <c r="F124" i="12"/>
  <c r="F100" i="12"/>
  <c r="F116" i="12"/>
  <c r="F108" i="12"/>
  <c r="F84" i="12"/>
  <c r="F132" i="12"/>
  <c r="F140" i="12"/>
  <c r="F148" i="12"/>
  <c r="F156" i="12"/>
  <c r="E14" i="1"/>
  <c r="M13" i="13" s="1"/>
  <c r="D14" i="1"/>
  <c r="C14" i="1"/>
  <c r="B14" i="1"/>
  <c r="A14" i="1"/>
  <c r="B13" i="13" s="1"/>
  <c r="F5" i="1" l="1"/>
  <c r="F6" i="1"/>
  <c r="F7" i="1"/>
  <c r="F8" i="1"/>
  <c r="F9" i="1"/>
  <c r="F10" i="1"/>
  <c r="F11" i="1"/>
  <c r="F12" i="1"/>
  <c r="F13" i="1"/>
  <c r="A13" i="2" l="1"/>
  <c r="B13" i="2" s="1"/>
  <c r="G13" i="2" s="1"/>
  <c r="A12" i="2"/>
  <c r="B12" i="2" s="1"/>
  <c r="G12" i="2" s="1"/>
  <c r="A11" i="2"/>
  <c r="B11" i="2" s="1"/>
  <c r="G11" i="2" s="1"/>
  <c r="C7" i="8"/>
  <c r="E18" i="13" s="1"/>
  <c r="C6" i="8"/>
  <c r="C5" i="8"/>
  <c r="E22" i="13" s="1"/>
  <c r="C4" i="8"/>
  <c r="C3" i="8"/>
  <c r="E26" i="13" s="1"/>
  <c r="C2" i="8"/>
  <c r="E11" i="2" l="1"/>
  <c r="I31" i="13" s="1"/>
  <c r="E12" i="2"/>
  <c r="I35" i="13" s="1"/>
  <c r="E13" i="2"/>
  <c r="I39" i="13" s="1"/>
  <c r="L300" i="12"/>
  <c r="M300" i="12" s="1"/>
  <c r="L299" i="12"/>
  <c r="M299" i="12" s="1"/>
  <c r="L298" i="12"/>
  <c r="M298" i="12" s="1"/>
  <c r="L297" i="12"/>
  <c r="M297" i="12" s="1"/>
  <c r="L296" i="12"/>
  <c r="M296" i="12" s="1"/>
  <c r="L295" i="12"/>
  <c r="M295" i="12" s="1"/>
  <c r="L294" i="12"/>
  <c r="M294" i="12" s="1"/>
  <c r="L293" i="12"/>
  <c r="M293" i="12" s="1"/>
  <c r="L292" i="12"/>
  <c r="M292" i="12" s="1"/>
  <c r="L291" i="12"/>
  <c r="M291" i="12" s="1"/>
  <c r="L290" i="12"/>
  <c r="M290" i="12" s="1"/>
  <c r="L289" i="12"/>
  <c r="M289" i="12" s="1"/>
  <c r="L288" i="12"/>
  <c r="M288" i="12" s="1"/>
  <c r="L287" i="12"/>
  <c r="M287" i="12" s="1"/>
  <c r="L286" i="12"/>
  <c r="M286" i="12" s="1"/>
  <c r="L285" i="12"/>
  <c r="M285" i="12" s="1"/>
  <c r="L284" i="12"/>
  <c r="M284" i="12" s="1"/>
  <c r="L283" i="12"/>
  <c r="M283" i="12" s="1"/>
  <c r="L282" i="12"/>
  <c r="M282" i="12" s="1"/>
  <c r="L281" i="12"/>
  <c r="M281" i="12" s="1"/>
  <c r="L280" i="12"/>
  <c r="M280" i="12" s="1"/>
  <c r="L279" i="12"/>
  <c r="M279" i="12" s="1"/>
  <c r="L278" i="12"/>
  <c r="M278" i="12" s="1"/>
  <c r="L277" i="12"/>
  <c r="M277" i="12" s="1"/>
  <c r="L276" i="12"/>
  <c r="M276" i="12" s="1"/>
  <c r="L275" i="12"/>
  <c r="M275" i="12" s="1"/>
  <c r="L274" i="12"/>
  <c r="M274" i="12" s="1"/>
  <c r="L273" i="12"/>
  <c r="M273" i="12" s="1"/>
  <c r="L272" i="12"/>
  <c r="M272" i="12" s="1"/>
  <c r="L271" i="12"/>
  <c r="M271" i="12" s="1"/>
  <c r="L270" i="12"/>
  <c r="M270" i="12" s="1"/>
  <c r="L269" i="12"/>
  <c r="M269" i="12" s="1"/>
  <c r="L268" i="12"/>
  <c r="M268" i="12" s="1"/>
  <c r="L267" i="12"/>
  <c r="M267" i="12" s="1"/>
  <c r="L266" i="12"/>
  <c r="M266" i="12" s="1"/>
  <c r="L265" i="12"/>
  <c r="M265" i="12" s="1"/>
  <c r="L264" i="12"/>
  <c r="M264" i="12" s="1"/>
  <c r="L263" i="12"/>
  <c r="M263" i="12" s="1"/>
  <c r="L262" i="12"/>
  <c r="M262" i="12" s="1"/>
  <c r="L261" i="12"/>
  <c r="M261" i="12" s="1"/>
  <c r="L260" i="12"/>
  <c r="M260" i="12" s="1"/>
  <c r="L259" i="12"/>
  <c r="M259" i="12" s="1"/>
  <c r="L258" i="12"/>
  <c r="M258" i="12" s="1"/>
  <c r="L257" i="12"/>
  <c r="M257" i="12" s="1"/>
  <c r="L256" i="12"/>
  <c r="M256" i="12" s="1"/>
  <c r="L255" i="12"/>
  <c r="M255" i="12" s="1"/>
  <c r="L254" i="12"/>
  <c r="M254" i="12" s="1"/>
  <c r="L253" i="12"/>
  <c r="M253" i="12" s="1"/>
  <c r="L252" i="12"/>
  <c r="M252" i="12" s="1"/>
  <c r="L251" i="12"/>
  <c r="M251" i="12" s="1"/>
  <c r="L250" i="12"/>
  <c r="M250" i="12" s="1"/>
  <c r="L249" i="12"/>
  <c r="M249" i="12" s="1"/>
  <c r="L248" i="12"/>
  <c r="M248" i="12" s="1"/>
  <c r="L247" i="12"/>
  <c r="M247" i="12" s="1"/>
  <c r="L246" i="12"/>
  <c r="M246" i="12" s="1"/>
  <c r="L245" i="12"/>
  <c r="M245" i="12" s="1"/>
  <c r="L244" i="12"/>
  <c r="M244" i="12" s="1"/>
  <c r="L243" i="12"/>
  <c r="M243" i="12" s="1"/>
  <c r="L242" i="12"/>
  <c r="M242" i="12" s="1"/>
  <c r="L241" i="12"/>
  <c r="M241" i="12" s="1"/>
  <c r="L240" i="12"/>
  <c r="M240" i="12" s="1"/>
  <c r="L239" i="12"/>
  <c r="M239" i="12" s="1"/>
  <c r="L238" i="12"/>
  <c r="M238" i="12" s="1"/>
  <c r="L237" i="12"/>
  <c r="M237" i="12" s="1"/>
  <c r="L236" i="12"/>
  <c r="M236" i="12" s="1"/>
  <c r="L235" i="12"/>
  <c r="M235" i="12" s="1"/>
  <c r="L234" i="12"/>
  <c r="M234" i="12" s="1"/>
  <c r="L233" i="12"/>
  <c r="M233" i="12" s="1"/>
  <c r="L232" i="12"/>
  <c r="M232" i="12" s="1"/>
  <c r="L231" i="12"/>
  <c r="M231" i="12" s="1"/>
  <c r="L230" i="12"/>
  <c r="M230" i="12" s="1"/>
  <c r="L229" i="12"/>
  <c r="M229" i="12" s="1"/>
  <c r="L228" i="12"/>
  <c r="M228" i="12" s="1"/>
  <c r="L227" i="12"/>
  <c r="M227" i="12" s="1"/>
  <c r="L226" i="12"/>
  <c r="M226" i="12" s="1"/>
  <c r="L225" i="12"/>
  <c r="M225" i="12" s="1"/>
  <c r="L224" i="12"/>
  <c r="M224" i="12" s="1"/>
  <c r="L223" i="12"/>
  <c r="M223" i="12" s="1"/>
  <c r="L222" i="12"/>
  <c r="M222" i="12" s="1"/>
  <c r="L221" i="12"/>
  <c r="M221" i="12" s="1"/>
  <c r="L220" i="12"/>
  <c r="M220" i="12" s="1"/>
  <c r="L219" i="12"/>
  <c r="M219" i="12" s="1"/>
  <c r="L218" i="12"/>
  <c r="M218" i="12" s="1"/>
  <c r="L217" i="12"/>
  <c r="M217" i="12" s="1"/>
  <c r="L216" i="12"/>
  <c r="M216" i="12" s="1"/>
  <c r="L215" i="12"/>
  <c r="M215" i="12" s="1"/>
  <c r="L214" i="12"/>
  <c r="M214" i="12" s="1"/>
  <c r="L213" i="12"/>
  <c r="M213" i="12" s="1"/>
  <c r="L212" i="12"/>
  <c r="M212" i="12" s="1"/>
  <c r="L211" i="12"/>
  <c r="M211" i="12" s="1"/>
  <c r="L210" i="12"/>
  <c r="M210" i="12" s="1"/>
  <c r="L209" i="12"/>
  <c r="M209" i="12" s="1"/>
  <c r="L208" i="12"/>
  <c r="M208" i="12" s="1"/>
  <c r="L207" i="12"/>
  <c r="M207" i="12" s="1"/>
  <c r="L206" i="12"/>
  <c r="M206" i="12" s="1"/>
  <c r="L205" i="12"/>
  <c r="M205" i="12" s="1"/>
  <c r="L204" i="12"/>
  <c r="M204" i="12" s="1"/>
  <c r="L203" i="12"/>
  <c r="M203" i="12" s="1"/>
  <c r="L202" i="12"/>
  <c r="M202" i="12" s="1"/>
  <c r="L201" i="12"/>
  <c r="M201" i="12" s="1"/>
  <c r="L200" i="12"/>
  <c r="M200" i="12" s="1"/>
  <c r="L199" i="12"/>
  <c r="M199" i="12" s="1"/>
  <c r="L198" i="12"/>
  <c r="M198" i="12" s="1"/>
  <c r="L197" i="12"/>
  <c r="M197" i="12" s="1"/>
  <c r="L196" i="12"/>
  <c r="M196" i="12" s="1"/>
  <c r="L195" i="12"/>
  <c r="M195" i="12" s="1"/>
  <c r="L194" i="12"/>
  <c r="M194" i="12" s="1"/>
  <c r="L193" i="12"/>
  <c r="M193" i="12" s="1"/>
  <c r="L192" i="12"/>
  <c r="M192" i="12" s="1"/>
  <c r="L191" i="12"/>
  <c r="M191" i="12" s="1"/>
  <c r="L190" i="12"/>
  <c r="M190" i="12" s="1"/>
  <c r="L189" i="12"/>
  <c r="M189" i="12" s="1"/>
  <c r="L188" i="12"/>
  <c r="M188" i="12" s="1"/>
  <c r="L187" i="12"/>
  <c r="M187" i="12" s="1"/>
  <c r="L186" i="12"/>
  <c r="M186" i="12" s="1"/>
  <c r="L185" i="12"/>
  <c r="M185" i="12" s="1"/>
  <c r="L184" i="12"/>
  <c r="M184" i="12" s="1"/>
  <c r="L183" i="12"/>
  <c r="M183" i="12" s="1"/>
  <c r="L182" i="12"/>
  <c r="M182" i="12" s="1"/>
  <c r="L181" i="12"/>
  <c r="M181" i="12" s="1"/>
  <c r="L180" i="12"/>
  <c r="M180" i="12" s="1"/>
  <c r="L179" i="12"/>
  <c r="M179" i="12" s="1"/>
  <c r="L178" i="12"/>
  <c r="M178" i="12" s="1"/>
  <c r="L177" i="12"/>
  <c r="M177" i="12" s="1"/>
  <c r="L176" i="12"/>
  <c r="M176" i="12" s="1"/>
  <c r="L175" i="12"/>
  <c r="M175" i="12" s="1"/>
  <c r="L174" i="12"/>
  <c r="M174" i="12" s="1"/>
  <c r="L173" i="12"/>
  <c r="M173" i="12" s="1"/>
  <c r="L172" i="12"/>
  <c r="L171" i="12"/>
  <c r="M171" i="12" s="1"/>
  <c r="L170" i="12"/>
  <c r="M170" i="12" s="1"/>
  <c r="L169" i="12"/>
  <c r="M169" i="12" s="1"/>
  <c r="L168" i="12"/>
  <c r="M168" i="12" s="1"/>
  <c r="L167" i="12"/>
  <c r="M167" i="12" s="1"/>
  <c r="L166" i="12"/>
  <c r="M166" i="12" s="1"/>
  <c r="L165" i="12"/>
  <c r="M165" i="12" s="1"/>
  <c r="L164" i="12"/>
  <c r="M164" i="12" s="1"/>
  <c r="L163" i="12"/>
  <c r="M163" i="12" s="1"/>
  <c r="L162" i="12"/>
  <c r="M162" i="12" s="1"/>
  <c r="L161" i="12"/>
  <c r="M161" i="12" s="1"/>
  <c r="L160" i="12"/>
  <c r="M160" i="12" s="1"/>
  <c r="L159" i="12"/>
  <c r="M159" i="12" s="1"/>
  <c r="L158" i="12"/>
  <c r="M158" i="12" s="1"/>
  <c r="L157" i="12"/>
  <c r="M157" i="12" s="1"/>
  <c r="L156" i="12"/>
  <c r="M156" i="12" s="1"/>
  <c r="L155" i="12"/>
  <c r="M155" i="12" s="1"/>
  <c r="L154" i="12"/>
  <c r="M154" i="12" s="1"/>
  <c r="L153" i="12"/>
  <c r="M153" i="12" s="1"/>
  <c r="L152" i="12"/>
  <c r="M152" i="12" s="1"/>
  <c r="L151" i="12"/>
  <c r="M151" i="12" s="1"/>
  <c r="L150" i="12"/>
  <c r="M150" i="12" s="1"/>
  <c r="L149" i="12"/>
  <c r="M149" i="12" s="1"/>
  <c r="L148" i="12"/>
  <c r="M148" i="12" s="1"/>
  <c r="L147" i="12"/>
  <c r="M147" i="12" s="1"/>
  <c r="L146" i="12"/>
  <c r="M146" i="12" s="1"/>
  <c r="L145" i="12"/>
  <c r="M145" i="12" s="1"/>
  <c r="L144" i="12"/>
  <c r="M144" i="12" s="1"/>
  <c r="L143" i="12"/>
  <c r="M143" i="12" s="1"/>
  <c r="L142" i="12"/>
  <c r="M142" i="12" s="1"/>
  <c r="L141" i="12"/>
  <c r="M141" i="12" s="1"/>
  <c r="L140" i="12"/>
  <c r="M140" i="12" s="1"/>
  <c r="L139" i="12"/>
  <c r="M139" i="12" s="1"/>
  <c r="L138" i="12"/>
  <c r="M138" i="12" s="1"/>
  <c r="L137" i="12"/>
  <c r="M137" i="12" s="1"/>
  <c r="L136" i="12"/>
  <c r="M136" i="12" s="1"/>
  <c r="L135" i="12"/>
  <c r="M135" i="12" s="1"/>
  <c r="L134" i="12"/>
  <c r="M134" i="12" s="1"/>
  <c r="L133" i="12"/>
  <c r="M133" i="12" s="1"/>
  <c r="L132" i="12"/>
  <c r="M132" i="12" s="1"/>
  <c r="L131" i="12"/>
  <c r="M131" i="12" s="1"/>
  <c r="L130" i="12"/>
  <c r="M130" i="12" s="1"/>
  <c r="L129" i="12"/>
  <c r="M129" i="12" s="1"/>
  <c r="L128" i="12"/>
  <c r="M128" i="12" s="1"/>
  <c r="L127" i="12"/>
  <c r="M127" i="12" s="1"/>
  <c r="L126" i="12"/>
  <c r="M126" i="12" s="1"/>
  <c r="L125" i="12"/>
  <c r="M125" i="12" s="1"/>
  <c r="L124" i="12"/>
  <c r="M124" i="12" s="1"/>
  <c r="L123" i="12"/>
  <c r="M123" i="12" s="1"/>
  <c r="L122" i="12"/>
  <c r="M122" i="12" s="1"/>
  <c r="L121" i="12"/>
  <c r="M121" i="12" s="1"/>
  <c r="L120" i="12"/>
  <c r="M120" i="12" s="1"/>
  <c r="L119" i="12"/>
  <c r="M119" i="12" s="1"/>
  <c r="L118" i="12"/>
  <c r="M118" i="12" s="1"/>
  <c r="L117" i="12"/>
  <c r="M117" i="12" s="1"/>
  <c r="L116" i="12"/>
  <c r="M116" i="12" s="1"/>
  <c r="L115" i="12"/>
  <c r="M115" i="12" s="1"/>
  <c r="L114" i="12"/>
  <c r="M114" i="12" s="1"/>
  <c r="L113" i="12"/>
  <c r="M113" i="12" s="1"/>
  <c r="L112" i="12"/>
  <c r="M112" i="12" s="1"/>
  <c r="L111" i="12"/>
  <c r="M111" i="12" s="1"/>
  <c r="L110" i="12"/>
  <c r="M110" i="12" s="1"/>
  <c r="L109" i="12"/>
  <c r="M109" i="12" s="1"/>
  <c r="L108" i="12"/>
  <c r="M108" i="12" s="1"/>
  <c r="L107" i="12"/>
  <c r="M107" i="12" s="1"/>
  <c r="L106" i="12"/>
  <c r="M106" i="12" s="1"/>
  <c r="L105" i="12"/>
  <c r="M105" i="12" s="1"/>
  <c r="L104" i="12"/>
  <c r="M104" i="12" s="1"/>
  <c r="L103" i="12"/>
  <c r="M103" i="12" s="1"/>
  <c r="L102" i="12"/>
  <c r="M102" i="12" s="1"/>
  <c r="L101" i="12"/>
  <c r="M101" i="12" s="1"/>
  <c r="L100" i="12"/>
  <c r="M100" i="12" s="1"/>
  <c r="L99" i="12"/>
  <c r="M99" i="12" s="1"/>
  <c r="L98" i="12"/>
  <c r="M98" i="12" s="1"/>
  <c r="L97" i="12"/>
  <c r="M97" i="12" s="1"/>
  <c r="L96" i="12"/>
  <c r="M96" i="12" s="1"/>
  <c r="L95" i="12"/>
  <c r="M95" i="12" s="1"/>
  <c r="L94" i="12"/>
  <c r="M94" i="12" s="1"/>
  <c r="L93" i="12"/>
  <c r="M93" i="12" s="1"/>
  <c r="L92" i="12"/>
  <c r="M92" i="12" s="1"/>
  <c r="L91" i="12"/>
  <c r="M91" i="12" s="1"/>
  <c r="L90" i="12"/>
  <c r="M90" i="12" s="1"/>
  <c r="L89" i="12"/>
  <c r="M89" i="12" s="1"/>
  <c r="L88" i="12"/>
  <c r="M88" i="12" s="1"/>
  <c r="L87" i="12"/>
  <c r="M87" i="12" s="1"/>
  <c r="L86" i="12"/>
  <c r="M86" i="12" s="1"/>
  <c r="L85" i="12"/>
  <c r="M85" i="12" s="1"/>
  <c r="L84" i="12"/>
  <c r="M84" i="12" s="1"/>
  <c r="L83" i="12"/>
  <c r="M83" i="12" s="1"/>
  <c r="L82" i="12"/>
  <c r="M82" i="12" s="1"/>
  <c r="L81" i="12"/>
  <c r="M81" i="12" s="1"/>
  <c r="L80" i="12"/>
  <c r="M80" i="12" s="1"/>
  <c r="L79" i="12"/>
  <c r="M79" i="12" s="1"/>
  <c r="L78" i="12"/>
  <c r="M78" i="12" s="1"/>
  <c r="L77" i="12"/>
  <c r="M77" i="12" s="1"/>
  <c r="L76" i="12"/>
  <c r="M76" i="12" s="1"/>
  <c r="L75" i="12"/>
  <c r="M75" i="12" s="1"/>
  <c r="L74" i="12"/>
  <c r="M74" i="12" s="1"/>
  <c r="L73" i="12"/>
  <c r="M73" i="12" s="1"/>
  <c r="L72" i="12"/>
  <c r="M72" i="12" s="1"/>
  <c r="L71" i="12"/>
  <c r="M71" i="12" s="1"/>
  <c r="L70" i="12"/>
  <c r="M70" i="12" s="1"/>
  <c r="L69" i="12"/>
  <c r="M69" i="12" s="1"/>
  <c r="L68" i="12"/>
  <c r="M68" i="12" s="1"/>
  <c r="L67" i="12"/>
  <c r="M67" i="12" s="1"/>
  <c r="L66" i="12"/>
  <c r="M66" i="12" s="1"/>
  <c r="L65" i="12"/>
  <c r="M65" i="12" s="1"/>
  <c r="L64" i="12"/>
  <c r="M64" i="12" s="1"/>
  <c r="L63" i="12"/>
  <c r="M63" i="12" s="1"/>
  <c r="L62" i="12"/>
  <c r="M62" i="12" s="1"/>
  <c r="L61" i="12"/>
  <c r="M61" i="12" s="1"/>
  <c r="L60" i="12"/>
  <c r="M60" i="12" s="1"/>
  <c r="L59" i="12"/>
  <c r="M59" i="12" s="1"/>
  <c r="L58" i="12"/>
  <c r="M58" i="12" s="1"/>
  <c r="L57" i="12"/>
  <c r="M57" i="12" s="1"/>
  <c r="L56" i="12"/>
  <c r="M56" i="12" s="1"/>
  <c r="L55" i="12"/>
  <c r="M55" i="12" s="1"/>
  <c r="L54" i="12"/>
  <c r="M54" i="12" s="1"/>
  <c r="L53" i="12"/>
  <c r="M53" i="12" s="1"/>
  <c r="L52" i="12"/>
  <c r="M52" i="12" s="1"/>
  <c r="L51" i="12"/>
  <c r="M51" i="12" s="1"/>
  <c r="L50" i="12"/>
  <c r="M50" i="12" s="1"/>
  <c r="L49" i="12"/>
  <c r="M49" i="12" s="1"/>
  <c r="L48" i="12"/>
  <c r="M48" i="12" s="1"/>
  <c r="L47" i="12"/>
  <c r="M47" i="12" s="1"/>
  <c r="L45" i="12"/>
  <c r="M45" i="12" s="1"/>
  <c r="L46" i="12"/>
  <c r="M46" i="12" s="1"/>
  <c r="L44" i="12"/>
  <c r="M44" i="12" s="1"/>
  <c r="L43" i="12"/>
  <c r="M43" i="12" s="1"/>
  <c r="L42" i="12"/>
  <c r="M42" i="12" s="1"/>
  <c r="L41" i="12"/>
  <c r="M41" i="12" s="1"/>
  <c r="L40" i="12"/>
  <c r="M40" i="12" s="1"/>
  <c r="L39" i="12"/>
  <c r="M39" i="12" s="1"/>
  <c r="L38" i="12"/>
  <c r="M38" i="12" s="1"/>
  <c r="L37" i="12"/>
  <c r="M37" i="12" s="1"/>
  <c r="L36" i="12"/>
  <c r="M36" i="12" s="1"/>
  <c r="L35" i="12"/>
  <c r="M35" i="12" s="1"/>
  <c r="L34" i="12"/>
  <c r="M34" i="12" s="1"/>
  <c r="L33" i="12"/>
  <c r="M33" i="12" s="1"/>
  <c r="L32" i="12"/>
  <c r="M32" i="12" s="1"/>
  <c r="L31" i="12"/>
  <c r="M31" i="12" s="1"/>
  <c r="L30" i="12"/>
  <c r="M30" i="12" s="1"/>
  <c r="L29" i="12"/>
  <c r="M29" i="12" s="1"/>
  <c r="L28" i="12"/>
  <c r="M28" i="12" s="1"/>
  <c r="L27" i="12"/>
  <c r="M27" i="12" s="1"/>
  <c r="L26" i="12"/>
  <c r="M26" i="12" s="1"/>
  <c r="L25" i="12"/>
  <c r="M25" i="12" s="1"/>
  <c r="L24" i="12"/>
  <c r="M24" i="12" s="1"/>
  <c r="L23" i="12"/>
  <c r="M23" i="12" s="1"/>
  <c r="L22" i="12"/>
  <c r="M22" i="12" s="1"/>
  <c r="L21" i="12"/>
  <c r="M21" i="12" s="1"/>
  <c r="L20" i="12"/>
  <c r="M20" i="12" s="1"/>
  <c r="L19" i="12"/>
  <c r="M19" i="12" s="1"/>
  <c r="L18" i="12"/>
  <c r="M18" i="12" s="1"/>
  <c r="L17" i="12"/>
  <c r="M17" i="12" s="1"/>
  <c r="L16" i="12"/>
  <c r="M16" i="12" s="1"/>
  <c r="L15" i="12"/>
  <c r="M15" i="12" s="1"/>
  <c r="L14" i="12"/>
  <c r="M14" i="12" s="1"/>
  <c r="L13" i="12"/>
  <c r="M13" i="12" s="1"/>
  <c r="L12" i="12"/>
  <c r="M12" i="12" s="1"/>
  <c r="L11" i="12"/>
  <c r="M11" i="12" s="1"/>
  <c r="L10" i="12"/>
  <c r="M10" i="12" s="1"/>
  <c r="L9" i="12"/>
  <c r="M9" i="12" s="1"/>
  <c r="L8" i="12"/>
  <c r="M8" i="12" s="1"/>
  <c r="L7" i="12"/>
  <c r="M7" i="12" s="1"/>
  <c r="L6" i="12"/>
  <c r="M6" i="12" s="1"/>
  <c r="M172" i="12"/>
  <c r="L5" i="12"/>
  <c r="M5" i="12" s="1"/>
  <c r="B300" i="12" l="1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5" i="12"/>
  <c r="B46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8" i="12"/>
  <c r="B9" i="12"/>
  <c r="B7" i="12"/>
  <c r="B6" i="12"/>
  <c r="B5" i="12"/>
  <c r="I86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5" i="12"/>
  <c r="F46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28" i="4"/>
  <c r="G7" i="8" l="1"/>
  <c r="L18" i="13" s="1"/>
  <c r="G3" i="8"/>
  <c r="L26" i="13" s="1"/>
  <c r="G2" i="8"/>
  <c r="G6" i="8"/>
  <c r="E3" i="8"/>
  <c r="I26" i="13" s="1"/>
  <c r="E5" i="8"/>
  <c r="I22" i="13" s="1"/>
  <c r="G4" i="8"/>
  <c r="E4" i="8"/>
  <c r="G5" i="8"/>
  <c r="L22" i="13" s="1"/>
  <c r="E2" i="8"/>
  <c r="E7" i="8"/>
  <c r="I18" i="13" s="1"/>
  <c r="E6" i="8"/>
  <c r="I7" i="12"/>
  <c r="I63" i="12"/>
  <c r="I111" i="12"/>
  <c r="I167" i="12"/>
  <c r="I199" i="12"/>
  <c r="I255" i="12"/>
  <c r="I295" i="12"/>
  <c r="I11" i="12"/>
  <c r="I27" i="12"/>
  <c r="I67" i="12"/>
  <c r="I99" i="12"/>
  <c r="I123" i="12"/>
  <c r="I155" i="12"/>
  <c r="I28" i="12"/>
  <c r="I52" i="12"/>
  <c r="I6" i="12"/>
  <c r="I14" i="12"/>
  <c r="I22" i="12"/>
  <c r="I30" i="12"/>
  <c r="I38" i="12"/>
  <c r="I45" i="12"/>
  <c r="I54" i="12"/>
  <c r="I62" i="12"/>
  <c r="I70" i="12"/>
  <c r="I78" i="12"/>
  <c r="I94" i="12"/>
  <c r="I102" i="12"/>
  <c r="I110" i="12"/>
  <c r="I118" i="12"/>
  <c r="I126" i="12"/>
  <c r="I134" i="12"/>
  <c r="I142" i="12"/>
  <c r="I150" i="12"/>
  <c r="I158" i="12"/>
  <c r="I166" i="12"/>
  <c r="I174" i="12"/>
  <c r="I182" i="12"/>
  <c r="I190" i="12"/>
  <c r="I198" i="12"/>
  <c r="I206" i="12"/>
  <c r="I214" i="12"/>
  <c r="I222" i="12"/>
  <c r="I230" i="12"/>
  <c r="I238" i="12"/>
  <c r="I246" i="12"/>
  <c r="I254" i="12"/>
  <c r="I262" i="12"/>
  <c r="I270" i="12"/>
  <c r="I278" i="12"/>
  <c r="I286" i="12"/>
  <c r="I294" i="12"/>
  <c r="I15" i="12"/>
  <c r="I79" i="12"/>
  <c r="I135" i="12"/>
  <c r="I183" i="12"/>
  <c r="I247" i="12"/>
  <c r="I279" i="12"/>
  <c r="I8" i="12"/>
  <c r="I16" i="12"/>
  <c r="I24" i="12"/>
  <c r="I32" i="12"/>
  <c r="I40" i="12"/>
  <c r="I48" i="12"/>
  <c r="I56" i="12"/>
  <c r="I64" i="12"/>
  <c r="I72" i="12"/>
  <c r="I80" i="12"/>
  <c r="I88" i="12"/>
  <c r="I96" i="12"/>
  <c r="I104" i="12"/>
  <c r="I112" i="12"/>
  <c r="I120" i="12"/>
  <c r="I128" i="12"/>
  <c r="I136" i="12"/>
  <c r="I144" i="12"/>
  <c r="I152" i="12"/>
  <c r="I160" i="12"/>
  <c r="I168" i="12"/>
  <c r="I176" i="12"/>
  <c r="I184" i="12"/>
  <c r="I192" i="12"/>
  <c r="I200" i="12"/>
  <c r="I208" i="12"/>
  <c r="I216" i="12"/>
  <c r="I224" i="12"/>
  <c r="I232" i="12"/>
  <c r="I240" i="12"/>
  <c r="I248" i="12"/>
  <c r="I256" i="12"/>
  <c r="I264" i="12"/>
  <c r="I272" i="12"/>
  <c r="I280" i="12"/>
  <c r="I288" i="12"/>
  <c r="I296" i="12"/>
  <c r="I39" i="12"/>
  <c r="I95" i="12"/>
  <c r="I151" i="12"/>
  <c r="I207" i="12"/>
  <c r="I9" i="12"/>
  <c r="I25" i="12"/>
  <c r="I41" i="12"/>
  <c r="I57" i="12"/>
  <c r="I73" i="12"/>
  <c r="I81" i="12"/>
  <c r="I89" i="12"/>
  <c r="I97" i="12"/>
  <c r="I105" i="12"/>
  <c r="I113" i="12"/>
  <c r="I121" i="12"/>
  <c r="I129" i="12"/>
  <c r="I137" i="12"/>
  <c r="I145" i="12"/>
  <c r="I153" i="12"/>
  <c r="I161" i="12"/>
  <c r="I169" i="12"/>
  <c r="I177" i="12"/>
  <c r="I185" i="12"/>
  <c r="I193" i="12"/>
  <c r="I201" i="12"/>
  <c r="I209" i="12"/>
  <c r="I217" i="12"/>
  <c r="I225" i="12"/>
  <c r="I233" i="12"/>
  <c r="I241" i="12"/>
  <c r="I249" i="12"/>
  <c r="I257" i="12"/>
  <c r="I265" i="12"/>
  <c r="I273" i="12"/>
  <c r="I281" i="12"/>
  <c r="I289" i="12"/>
  <c r="I297" i="12"/>
  <c r="I47" i="12"/>
  <c r="I87" i="12"/>
  <c r="I143" i="12"/>
  <c r="I191" i="12"/>
  <c r="I231" i="12"/>
  <c r="I271" i="12"/>
  <c r="I17" i="12"/>
  <c r="I33" i="12"/>
  <c r="I49" i="12"/>
  <c r="I65" i="12"/>
  <c r="I10" i="12"/>
  <c r="I18" i="12"/>
  <c r="I26" i="12"/>
  <c r="I34" i="12"/>
  <c r="I42" i="12"/>
  <c r="I50" i="12"/>
  <c r="I58" i="12"/>
  <c r="I66" i="12"/>
  <c r="I74" i="12"/>
  <c r="I82" i="12"/>
  <c r="I90" i="12"/>
  <c r="I98" i="12"/>
  <c r="I106" i="12"/>
  <c r="I114" i="12"/>
  <c r="I122" i="12"/>
  <c r="I130" i="12"/>
  <c r="I138" i="12"/>
  <c r="I146" i="12"/>
  <c r="I154" i="12"/>
  <c r="I162" i="12"/>
  <c r="I170" i="12"/>
  <c r="I178" i="12"/>
  <c r="I186" i="12"/>
  <c r="I194" i="12"/>
  <c r="I202" i="12"/>
  <c r="I210" i="12"/>
  <c r="I218" i="12"/>
  <c r="I226" i="12"/>
  <c r="I234" i="12"/>
  <c r="I242" i="12"/>
  <c r="I250" i="12"/>
  <c r="I258" i="12"/>
  <c r="I266" i="12"/>
  <c r="I274" i="12"/>
  <c r="I282" i="12"/>
  <c r="I290" i="12"/>
  <c r="I298" i="12"/>
  <c r="I55" i="12"/>
  <c r="I119" i="12"/>
  <c r="I215" i="12"/>
  <c r="I287" i="12"/>
  <c r="I43" i="12"/>
  <c r="I75" i="12"/>
  <c r="I115" i="12"/>
  <c r="I147" i="12"/>
  <c r="I163" i="12"/>
  <c r="I171" i="12"/>
  <c r="I179" i="12"/>
  <c r="I187" i="12"/>
  <c r="I195" i="12"/>
  <c r="I203" i="12"/>
  <c r="I211" i="12"/>
  <c r="I219" i="12"/>
  <c r="I227" i="12"/>
  <c r="I235" i="12"/>
  <c r="I243" i="12"/>
  <c r="I251" i="12"/>
  <c r="I259" i="12"/>
  <c r="I267" i="12"/>
  <c r="I275" i="12"/>
  <c r="I283" i="12"/>
  <c r="I291" i="12"/>
  <c r="I299" i="12"/>
  <c r="I31" i="12"/>
  <c r="I103" i="12"/>
  <c r="I159" i="12"/>
  <c r="I223" i="12"/>
  <c r="I263" i="12"/>
  <c r="I35" i="12"/>
  <c r="I59" i="12"/>
  <c r="I91" i="12"/>
  <c r="I131" i="12"/>
  <c r="I20" i="12"/>
  <c r="I36" i="12"/>
  <c r="I68" i="12"/>
  <c r="I76" i="12"/>
  <c r="I84" i="12"/>
  <c r="I92" i="12"/>
  <c r="I100" i="12"/>
  <c r="I108" i="12"/>
  <c r="I116" i="12"/>
  <c r="I124" i="12"/>
  <c r="I132" i="12"/>
  <c r="I140" i="12"/>
  <c r="I148" i="12"/>
  <c r="I156" i="12"/>
  <c r="I164" i="12"/>
  <c r="I172" i="12"/>
  <c r="I180" i="12"/>
  <c r="I188" i="12"/>
  <c r="I196" i="12"/>
  <c r="I204" i="12"/>
  <c r="I212" i="12"/>
  <c r="I220" i="12"/>
  <c r="I228" i="12"/>
  <c r="I236" i="12"/>
  <c r="I244" i="12"/>
  <c r="I252" i="12"/>
  <c r="I260" i="12"/>
  <c r="I268" i="12"/>
  <c r="I276" i="12"/>
  <c r="I284" i="12"/>
  <c r="I292" i="12"/>
  <c r="I300" i="12"/>
  <c r="I23" i="12"/>
  <c r="I71" i="12"/>
  <c r="I127" i="12"/>
  <c r="I175" i="12"/>
  <c r="I239" i="12"/>
  <c r="I19" i="12"/>
  <c r="I51" i="12"/>
  <c r="I83" i="12"/>
  <c r="I107" i="12"/>
  <c r="I139" i="12"/>
  <c r="I12" i="12"/>
  <c r="I44" i="12"/>
  <c r="I60" i="12"/>
  <c r="I5" i="12"/>
  <c r="I13" i="12"/>
  <c r="I21" i="12"/>
  <c r="I29" i="12"/>
  <c r="I37" i="12"/>
  <c r="I46" i="12"/>
  <c r="I53" i="12"/>
  <c r="I61" i="12"/>
  <c r="I69" i="12"/>
  <c r="I77" i="12"/>
  <c r="I85" i="12"/>
  <c r="I93" i="12"/>
  <c r="I101" i="12"/>
  <c r="I109" i="12"/>
  <c r="I117" i="12"/>
  <c r="I125" i="12"/>
  <c r="I133" i="12"/>
  <c r="I141" i="12"/>
  <c r="I149" i="12"/>
  <c r="I157" i="12"/>
  <c r="I165" i="12"/>
  <c r="I173" i="12"/>
  <c r="I181" i="12"/>
  <c r="I189" i="12"/>
  <c r="I197" i="12"/>
  <c r="I205" i="12"/>
  <c r="I213" i="12"/>
  <c r="I221" i="12"/>
  <c r="I229" i="12"/>
  <c r="I237" i="12"/>
  <c r="I245" i="12"/>
  <c r="I253" i="12"/>
  <c r="I261" i="12"/>
  <c r="I269" i="12"/>
  <c r="I277" i="12"/>
  <c r="I285" i="12"/>
  <c r="I293" i="12"/>
  <c r="AA86" i="12" l="1"/>
  <c r="AA152" i="12" l="1"/>
  <c r="AA203" i="12"/>
  <c r="AA13" i="12"/>
  <c r="AA276" i="12"/>
  <c r="AA145" i="12"/>
  <c r="AA261" i="12"/>
  <c r="AA192" i="12"/>
  <c r="AA140" i="12"/>
  <c r="AA104" i="12"/>
  <c r="AA153" i="12"/>
  <c r="AA125" i="12"/>
  <c r="AA201" i="12"/>
  <c r="AA7" i="12"/>
  <c r="AA69" i="12"/>
  <c r="AA94" i="12"/>
  <c r="AA151" i="12"/>
  <c r="AA290" i="12"/>
  <c r="AA98" i="12"/>
  <c r="AA226" i="12"/>
  <c r="AA161" i="12"/>
  <c r="AA283" i="12"/>
  <c r="AA183" i="12"/>
  <c r="AA8" i="12"/>
  <c r="AA17" i="12"/>
  <c r="AA134" i="12"/>
  <c r="AA114" i="12"/>
  <c r="AA14" i="12"/>
  <c r="AA231" i="12"/>
  <c r="AA132" i="12"/>
  <c r="AA168" i="12"/>
  <c r="AA186" i="12"/>
  <c r="AA240" i="12"/>
  <c r="AA118" i="12"/>
  <c r="AA271" i="12"/>
  <c r="AA300" i="12"/>
  <c r="AA298" i="12"/>
  <c r="AA279" i="12"/>
  <c r="AA62" i="12"/>
  <c r="AA227" i="12"/>
  <c r="AA73" i="12"/>
  <c r="AA242" i="12"/>
  <c r="AA199" i="12"/>
  <c r="AA95" i="12"/>
  <c r="AA91" i="12"/>
  <c r="AA190" i="12"/>
  <c r="AA93" i="12"/>
  <c r="AA215" i="12"/>
  <c r="AA126" i="12"/>
  <c r="AA272" i="12"/>
  <c r="AA105" i="12"/>
  <c r="AA247" i="12"/>
  <c r="AA26" i="12"/>
  <c r="AA164" i="12"/>
  <c r="AA99" i="12"/>
  <c r="AA107" i="12"/>
  <c r="AA159" i="12"/>
  <c r="AA177" i="12"/>
  <c r="AA218" i="12"/>
  <c r="AA188" i="12"/>
  <c r="AA22" i="12"/>
  <c r="AA96" i="12"/>
  <c r="AA249" i="12"/>
  <c r="AA175" i="12"/>
  <c r="AA53" i="12"/>
  <c r="AA251" i="12"/>
  <c r="AA41" i="12"/>
  <c r="AA254" i="12"/>
  <c r="AA176" i="12"/>
  <c r="AA40" i="12"/>
  <c r="AA233" i="12"/>
  <c r="AA280" i="12"/>
  <c r="AA223" i="12"/>
  <c r="AA269" i="12"/>
  <c r="AA43" i="12"/>
  <c r="AA49" i="12"/>
  <c r="AA239" i="12"/>
  <c r="AA28" i="12"/>
  <c r="AA263" i="12"/>
  <c r="AA52" i="12"/>
  <c r="AA112" i="12"/>
  <c r="AA202" i="12"/>
  <c r="AA16" i="12"/>
  <c r="AA274" i="12"/>
  <c r="AA296" i="12"/>
  <c r="AA193" i="12"/>
  <c r="AA232" i="12"/>
  <c r="AA130" i="12"/>
  <c r="AA84" i="12"/>
  <c r="AA262" i="12"/>
  <c r="AA184" i="12"/>
  <c r="AA235" i="12"/>
  <c r="AA173" i="12"/>
  <c r="AA147" i="12"/>
  <c r="AA25" i="12"/>
  <c r="AA90" i="12"/>
  <c r="AA187" i="12"/>
  <c r="AA265" i="12"/>
  <c r="AA63" i="12"/>
  <c r="AA278" i="12"/>
  <c r="AA224" i="12"/>
  <c r="AA34" i="12"/>
  <c r="AA243" i="12"/>
  <c r="AA172" i="12"/>
  <c r="AA181" i="12"/>
  <c r="AA157" i="12"/>
  <c r="AA252" i="12"/>
  <c r="AA185" i="12"/>
  <c r="AA268" i="12"/>
  <c r="AA289" i="12"/>
  <c r="AA285" i="12"/>
  <c r="AA284" i="12"/>
  <c r="AA234" i="12"/>
  <c r="AA220" i="12"/>
  <c r="AA48" i="12"/>
  <c r="AA219" i="12"/>
  <c r="AA70" i="12"/>
  <c r="AA36" i="12"/>
  <c r="AA206" i="12"/>
  <c r="AA68" i="12"/>
  <c r="AA103" i="12"/>
  <c r="AA81" i="12"/>
  <c r="AA135" i="12"/>
  <c r="AA143" i="12"/>
  <c r="AA182" i="12"/>
  <c r="AA79" i="12"/>
  <c r="AA281" i="12"/>
  <c r="AA158" i="12"/>
  <c r="AA89" i="12"/>
  <c r="AA277" i="12"/>
  <c r="AA244" i="12"/>
  <c r="AA6" i="12"/>
  <c r="AA55" i="12"/>
  <c r="AA138" i="12"/>
  <c r="AA167" i="12"/>
  <c r="AA39" i="12"/>
  <c r="AA142" i="12"/>
  <c r="AA292" i="12"/>
  <c r="AA38" i="12"/>
  <c r="AA266" i="12"/>
  <c r="AA64" i="12"/>
  <c r="AA21" i="12"/>
  <c r="AA92" i="12"/>
  <c r="AA174" i="12"/>
  <c r="AA198" i="12"/>
  <c r="AA146" i="12"/>
  <c r="AA46" i="12"/>
  <c r="AA119" i="12"/>
  <c r="AA51" i="12"/>
  <c r="AA19" i="12"/>
  <c r="AA110" i="12"/>
  <c r="AA47" i="12"/>
  <c r="AA250" i="12"/>
  <c r="AA299" i="12"/>
  <c r="AA222" i="12"/>
  <c r="AA71" i="12"/>
  <c r="AA123" i="12"/>
  <c r="AA214" i="12"/>
  <c r="AA258" i="12"/>
  <c r="AA44" i="12"/>
  <c r="AA286" i="12"/>
  <c r="AA291" i="12"/>
  <c r="AA121" i="12"/>
  <c r="AA65" i="12"/>
  <c r="AA166" i="12"/>
  <c r="AA259" i="12"/>
  <c r="AA102" i="12"/>
  <c r="AA230" i="12"/>
  <c r="AA33" i="12"/>
  <c r="AA23" i="12"/>
  <c r="AA15" i="12"/>
  <c r="AA282" i="12"/>
  <c r="AA141" i="12"/>
  <c r="AA42" i="12"/>
  <c r="AA56" i="12"/>
  <c r="AA264" i="12"/>
  <c r="AA59" i="12"/>
  <c r="AA246" i="12"/>
  <c r="AA211" i="12"/>
  <c r="AA149" i="12"/>
  <c r="AA29" i="12"/>
  <c r="AA124" i="12"/>
  <c r="AA189" i="12"/>
  <c r="AA127" i="12"/>
  <c r="AA150" i="12"/>
  <c r="AA131" i="12"/>
  <c r="AA106" i="12"/>
  <c r="AA45" i="12"/>
  <c r="AA293" i="12"/>
  <c r="AA27" i="12"/>
  <c r="AA78" i="12"/>
  <c r="AA88" i="12"/>
  <c r="AA216" i="12"/>
  <c r="AA273" i="12"/>
  <c r="AA58" i="12"/>
  <c r="AA75" i="12"/>
  <c r="AA267" i="12"/>
  <c r="AA196" i="12"/>
  <c r="AA77" i="12"/>
  <c r="AA205" i="12"/>
  <c r="AA30" i="12"/>
  <c r="AA129" i="12"/>
  <c r="AA61" i="12"/>
  <c r="AA208" i="12"/>
  <c r="AA156" i="12"/>
  <c r="AA238" i="12"/>
  <c r="AA209" i="12"/>
  <c r="AA122" i="12"/>
  <c r="AA260" i="12"/>
  <c r="AA35" i="12"/>
  <c r="AA221" i="12"/>
  <c r="AA82" i="12"/>
  <c r="AA139" i="12"/>
  <c r="AA255" i="12"/>
  <c r="AA54" i="12"/>
  <c r="AA128" i="12"/>
  <c r="AA256" i="12"/>
  <c r="AA66" i="12"/>
  <c r="AA115" i="12"/>
  <c r="AA275" i="12"/>
  <c r="AA76" i="12"/>
  <c r="AA204" i="12"/>
  <c r="AA83" i="12"/>
  <c r="AA85" i="12"/>
  <c r="AA213" i="12"/>
  <c r="AA97" i="12"/>
  <c r="AA20" i="12"/>
  <c r="AA11" i="12"/>
  <c r="AA163" i="12"/>
  <c r="AA5" i="12"/>
  <c r="AA217" i="12"/>
  <c r="AA162" i="12"/>
  <c r="AA200" i="12"/>
  <c r="AA10" i="12"/>
  <c r="AA37" i="12"/>
  <c r="AA72" i="12"/>
  <c r="AA101" i="12"/>
  <c r="AA80" i="12"/>
  <c r="AA137" i="12"/>
  <c r="AA297" i="12"/>
  <c r="AA178" i="12"/>
  <c r="AA148" i="12"/>
  <c r="AA144" i="12"/>
  <c r="AA155" i="12"/>
  <c r="AA270" i="12"/>
  <c r="AA120" i="12"/>
  <c r="AA248" i="12"/>
  <c r="AA171" i="12"/>
  <c r="AA100" i="12"/>
  <c r="AA228" i="12"/>
  <c r="AA12" i="12"/>
  <c r="AA109" i="12"/>
  <c r="AA237" i="12"/>
  <c r="AA257" i="12"/>
  <c r="AA116" i="12"/>
  <c r="AA253" i="12"/>
  <c r="AA191" i="12"/>
  <c r="AA24" i="12"/>
  <c r="AA113" i="12"/>
  <c r="AA241" i="12"/>
  <c r="AA154" i="12"/>
  <c r="AA295" i="12"/>
  <c r="AA136" i="12"/>
  <c r="AA74" i="12"/>
  <c r="AA180" i="12"/>
  <c r="AA195" i="12"/>
  <c r="AA133" i="12"/>
  <c r="AA67" i="12"/>
  <c r="AA32" i="12"/>
  <c r="AA160" i="12"/>
  <c r="AA288" i="12"/>
  <c r="AA87" i="12"/>
  <c r="AA179" i="12"/>
  <c r="AA31" i="12"/>
  <c r="AA108" i="12"/>
  <c r="AA236" i="12"/>
  <c r="AA117" i="12"/>
  <c r="AA245" i="12"/>
  <c r="AA225" i="12"/>
  <c r="AA212" i="12"/>
  <c r="AA294" i="12"/>
  <c r="AA165" i="12"/>
  <c r="AA194" i="12"/>
  <c r="AA111" i="12"/>
  <c r="AA207" i="12"/>
  <c r="AA287" i="12"/>
  <c r="AA60" i="12"/>
  <c r="AA229" i="12"/>
  <c r="AA57" i="12"/>
  <c r="AA170" i="12"/>
  <c r="AA50" i="12"/>
  <c r="AA9" i="12"/>
  <c r="AA169" i="12"/>
  <c r="AA210" i="12"/>
  <c r="AA18" i="12"/>
  <c r="AA197" i="12"/>
  <c r="D7" i="8"/>
  <c r="P7" i="8" s="1"/>
  <c r="R7" i="8" s="1"/>
  <c r="D6" i="8"/>
  <c r="P6" i="8" s="1"/>
  <c r="R6" i="8" s="1"/>
  <c r="D5" i="8"/>
  <c r="P5" i="8" s="1"/>
  <c r="R5" i="8" s="1"/>
  <c r="D4" i="8"/>
  <c r="P4" i="8" s="1"/>
  <c r="R4" i="8" s="1"/>
  <c r="AC4" i="8" s="1"/>
  <c r="D3" i="8"/>
  <c r="P3" i="8" s="1"/>
  <c r="R3" i="8" s="1"/>
  <c r="AC3" i="8" s="1"/>
  <c r="D2" i="8"/>
  <c r="P2" i="8" s="1"/>
  <c r="R2" i="8" s="1"/>
  <c r="AC2" i="8" s="1"/>
  <c r="AD2" i="8" l="1"/>
  <c r="S6" i="8" s="1"/>
  <c r="F3" i="8"/>
  <c r="F2" i="8"/>
  <c r="H2" i="8" s="1"/>
  <c r="F5" i="8"/>
  <c r="F7" i="8"/>
  <c r="F4" i="8"/>
  <c r="H4" i="8" s="1"/>
  <c r="F6" i="8"/>
  <c r="O12" i="7"/>
  <c r="J12" i="7"/>
  <c r="K12" i="7" s="1"/>
  <c r="D12" i="7"/>
  <c r="D11" i="7"/>
  <c r="D10" i="7"/>
  <c r="N10" i="7" s="1"/>
  <c r="E12" i="7"/>
  <c r="E11" i="7"/>
  <c r="E10" i="7"/>
  <c r="E9" i="7"/>
  <c r="O11" i="7"/>
  <c r="J11" i="7"/>
  <c r="K11" i="7" s="1"/>
  <c r="O9" i="7"/>
  <c r="J9" i="7"/>
  <c r="K9" i="7" s="1"/>
  <c r="D9" i="7"/>
  <c r="N9" i="7" s="1"/>
  <c r="O8" i="7"/>
  <c r="J8" i="7"/>
  <c r="K8" i="7" s="1"/>
  <c r="D8" i="7"/>
  <c r="N8" i="7" s="1"/>
  <c r="D7" i="7"/>
  <c r="F7" i="7" s="1"/>
  <c r="O10" i="7"/>
  <c r="O7" i="7"/>
  <c r="J10" i="7"/>
  <c r="K10" i="7" s="1"/>
  <c r="J7" i="7"/>
  <c r="K7" i="7" s="1"/>
  <c r="L3" i="7"/>
  <c r="H5" i="8" l="1"/>
  <c r="L23" i="13" s="1"/>
  <c r="I23" i="13"/>
  <c r="H3" i="8"/>
  <c r="L27" i="13" s="1"/>
  <c r="I27" i="13"/>
  <c r="H7" i="8"/>
  <c r="L19" i="13" s="1"/>
  <c r="I19" i="13"/>
  <c r="S5" i="8"/>
  <c r="S3" i="8"/>
  <c r="S4" i="8"/>
  <c r="S2" i="8"/>
  <c r="S7" i="8"/>
  <c r="F12" i="7"/>
  <c r="H12" i="7" s="1"/>
  <c r="I12" i="7" s="1"/>
  <c r="F11" i="7"/>
  <c r="H11" i="7" s="1"/>
  <c r="I11" i="7" s="1"/>
  <c r="BA2" i="8"/>
  <c r="H6" i="8"/>
  <c r="N12" i="7"/>
  <c r="P12" i="7" s="1"/>
  <c r="N11" i="7"/>
  <c r="P11" i="7" s="1"/>
  <c r="P9" i="7"/>
  <c r="F10" i="7"/>
  <c r="N7" i="7"/>
  <c r="P7" i="7" s="1"/>
  <c r="F9" i="7"/>
  <c r="P10" i="7"/>
  <c r="P8" i="7"/>
  <c r="F8" i="7"/>
  <c r="H7" i="7"/>
  <c r="I7" i="7" s="1"/>
  <c r="Q7" i="7" l="1"/>
  <c r="Q8" i="7"/>
  <c r="Q9" i="7"/>
  <c r="Q10" i="7"/>
  <c r="Q12" i="7"/>
  <c r="Q11" i="7"/>
  <c r="H10" i="7"/>
  <c r="I10" i="7" s="1"/>
  <c r="H9" i="7"/>
  <c r="I9" i="7" s="1"/>
  <c r="H8" i="7"/>
  <c r="I8" i="7" s="1"/>
  <c r="H6" i="2" l="1"/>
  <c r="J6" i="2" s="1"/>
  <c r="H5" i="2"/>
  <c r="J5" i="2" s="1"/>
  <c r="H14" i="1" l="1"/>
  <c r="G4" i="1"/>
  <c r="G14" i="1" s="1"/>
  <c r="G13" i="13" s="1"/>
  <c r="F4" i="1"/>
  <c r="J13" i="13" l="1"/>
  <c r="I40" i="13" s="1"/>
  <c r="F11" i="2"/>
  <c r="F13" i="2"/>
  <c r="F12" i="2"/>
  <c r="F14" i="1"/>
  <c r="D13" i="13" s="1"/>
  <c r="N4" i="8"/>
  <c r="N2" i="8"/>
  <c r="N3" i="8"/>
  <c r="N6" i="8"/>
  <c r="N7" i="8"/>
  <c r="N5" i="8"/>
  <c r="O26" i="13"/>
  <c r="O22" i="13"/>
  <c r="L7" i="7"/>
  <c r="L12" i="7"/>
  <c r="L11" i="7"/>
  <c r="L9" i="7"/>
  <c r="L8" i="7"/>
  <c r="L10" i="7"/>
  <c r="I14" i="5"/>
  <c r="I13" i="5"/>
  <c r="G10" i="5"/>
  <c r="O10" i="5" s="1"/>
  <c r="E10" i="5"/>
  <c r="G9" i="5"/>
  <c r="O9" i="5" s="1"/>
  <c r="E9" i="5"/>
  <c r="G8" i="5"/>
  <c r="E8" i="5"/>
  <c r="G7" i="5"/>
  <c r="O7" i="5" s="1"/>
  <c r="E7" i="5"/>
  <c r="G6" i="5"/>
  <c r="O6" i="5" s="1"/>
  <c r="E6" i="5"/>
  <c r="G5" i="5"/>
  <c r="E5" i="5"/>
  <c r="M4" i="5"/>
  <c r="N4" i="5" s="1"/>
  <c r="G4" i="5"/>
  <c r="E4" i="5"/>
  <c r="M3" i="5"/>
  <c r="N3" i="5" s="1"/>
  <c r="G3" i="5"/>
  <c r="E3" i="5"/>
  <c r="M2" i="5"/>
  <c r="N2" i="5" s="1"/>
  <c r="G2" i="5"/>
  <c r="E2" i="5"/>
  <c r="G18" i="4"/>
  <c r="I18" i="4" s="1"/>
  <c r="G17" i="4"/>
  <c r="I17" i="4" s="1"/>
  <c r="F18" i="4"/>
  <c r="F17" i="4"/>
  <c r="G22" i="4"/>
  <c r="I22" i="4" s="1"/>
  <c r="G19" i="4"/>
  <c r="I19" i="4" s="1"/>
  <c r="F22" i="4"/>
  <c r="F19" i="4"/>
  <c r="G16" i="4"/>
  <c r="I16" i="4" s="1"/>
  <c r="F16" i="4"/>
  <c r="G8" i="4"/>
  <c r="I8" i="4" s="1"/>
  <c r="J8" i="4" s="1"/>
  <c r="G7" i="4"/>
  <c r="I7" i="4" s="1"/>
  <c r="G9" i="4"/>
  <c r="I9" i="4" s="1"/>
  <c r="G5" i="4"/>
  <c r="I5" i="4" s="1"/>
  <c r="G11" i="4"/>
  <c r="I11" i="4" s="1"/>
  <c r="G10" i="4"/>
  <c r="H10" i="4" s="1"/>
  <c r="G12" i="4"/>
  <c r="I12" i="4" s="1"/>
  <c r="G23" i="4"/>
  <c r="H23" i="4" s="1"/>
  <c r="G14" i="4"/>
  <c r="H14" i="4" s="1"/>
  <c r="G15" i="4"/>
  <c r="I15" i="4" s="1"/>
  <c r="F8" i="4"/>
  <c r="F7" i="4"/>
  <c r="F9" i="4"/>
  <c r="F5" i="4"/>
  <c r="F11" i="4"/>
  <c r="F10" i="4"/>
  <c r="F12" i="4"/>
  <c r="F23" i="4"/>
  <c r="F14" i="4"/>
  <c r="F15" i="4"/>
  <c r="G4" i="4"/>
  <c r="H4" i="4" s="1"/>
  <c r="F4" i="4"/>
  <c r="G2" i="4"/>
  <c r="I2" i="4" s="1"/>
  <c r="G3" i="4"/>
  <c r="I3" i="4" s="1"/>
  <c r="G27" i="4"/>
  <c r="H27" i="4" s="1"/>
  <c r="G26" i="4"/>
  <c r="H26" i="4" s="1"/>
  <c r="G25" i="4"/>
  <c r="I25" i="4" s="1"/>
  <c r="G24" i="4"/>
  <c r="I24" i="4" s="1"/>
  <c r="G21" i="4"/>
  <c r="H21" i="4" s="1"/>
  <c r="G20" i="4"/>
  <c r="H20" i="4" s="1"/>
  <c r="G13" i="4"/>
  <c r="H13" i="4" s="1"/>
  <c r="G6" i="4"/>
  <c r="H6" i="4" s="1"/>
  <c r="O18" i="13" l="1"/>
  <c r="I32" i="13"/>
  <c r="I36" i="13"/>
  <c r="J2" i="4"/>
  <c r="J25" i="4"/>
  <c r="I15" i="5"/>
  <c r="I17" i="5" s="1"/>
  <c r="J16" i="4"/>
  <c r="J12" i="4"/>
  <c r="J24" i="4"/>
  <c r="J18" i="4"/>
  <c r="J11" i="4"/>
  <c r="J5" i="4"/>
  <c r="J19" i="4"/>
  <c r="J22" i="4"/>
  <c r="J9" i="4"/>
  <c r="J15" i="4"/>
  <c r="J7" i="4"/>
  <c r="P6" i="5"/>
  <c r="H8" i="5"/>
  <c r="J3" i="4"/>
  <c r="J17" i="4"/>
  <c r="P7" i="5"/>
  <c r="O2" i="5"/>
  <c r="P2" i="5" s="1"/>
  <c r="H2" i="5"/>
  <c r="P9" i="5"/>
  <c r="O3" i="5"/>
  <c r="P3" i="5" s="1"/>
  <c r="H5" i="5"/>
  <c r="O5" i="5"/>
  <c r="P5" i="5" s="1"/>
  <c r="P10" i="5"/>
  <c r="O8" i="5"/>
  <c r="P8" i="5" s="1"/>
  <c r="O4" i="5"/>
  <c r="P4" i="5" s="1"/>
  <c r="H4" i="5"/>
  <c r="H10" i="5"/>
  <c r="H3" i="5"/>
  <c r="H7" i="5"/>
  <c r="H9" i="5"/>
  <c r="H6" i="5"/>
  <c r="H22" i="4"/>
  <c r="H16" i="4"/>
  <c r="H9" i="4"/>
  <c r="H24" i="4"/>
  <c r="H25" i="4"/>
  <c r="H18" i="4"/>
  <c r="H2" i="4"/>
  <c r="H17" i="4"/>
  <c r="H19" i="4"/>
  <c r="I21" i="4"/>
  <c r="J21" i="4" s="1"/>
  <c r="I26" i="4"/>
  <c r="J26" i="4" s="1"/>
  <c r="I10" i="4"/>
  <c r="J10" i="4" s="1"/>
  <c r="H3" i="4"/>
  <c r="I27" i="4"/>
  <c r="J27" i="4" s="1"/>
  <c r="I20" i="4"/>
  <c r="J20" i="4" s="1"/>
  <c r="I6" i="4"/>
  <c r="J6" i="4" s="1"/>
  <c r="I14" i="4"/>
  <c r="J14" i="4" s="1"/>
  <c r="I4" i="4"/>
  <c r="J4" i="4" s="1"/>
  <c r="I13" i="4"/>
  <c r="J13" i="4" s="1"/>
  <c r="H7" i="4"/>
  <c r="I23" i="4"/>
  <c r="J23" i="4" s="1"/>
  <c r="H11" i="4"/>
  <c r="H15" i="4"/>
  <c r="H12" i="4"/>
  <c r="H5" i="4"/>
  <c r="H8" i="4"/>
  <c r="F2" i="4"/>
  <c r="F3" i="4"/>
  <c r="F27" i="4"/>
  <c r="F26" i="4"/>
  <c r="F25" i="4"/>
  <c r="F24" i="4"/>
  <c r="F21" i="4"/>
  <c r="F20" i="4"/>
  <c r="F13" i="4"/>
  <c r="F6" i="4"/>
  <c r="K14" i="3" l="1"/>
  <c r="I14" i="3"/>
  <c r="H14" i="3"/>
  <c r="D2" i="3"/>
  <c r="H2" i="2" l="1"/>
  <c r="J2" i="2" s="1"/>
  <c r="H3" i="2"/>
  <c r="J3" i="2" s="1"/>
  <c r="H4" i="2"/>
  <c r="J4" i="2" s="1"/>
  <c r="AC3" i="12" l="1"/>
  <c r="J293" i="12" l="1"/>
  <c r="J285" i="12"/>
  <c r="J277" i="12"/>
  <c r="J269" i="12"/>
  <c r="J261" i="12"/>
  <c r="J253" i="12"/>
  <c r="J245" i="12"/>
  <c r="J237" i="12"/>
  <c r="J229" i="12"/>
  <c r="J221" i="12"/>
  <c r="J213" i="12"/>
  <c r="J205" i="12"/>
  <c r="J197" i="12"/>
  <c r="J189" i="12"/>
  <c r="J181" i="12"/>
  <c r="J173" i="12"/>
  <c r="J165" i="12"/>
  <c r="J157" i="12"/>
  <c r="J149" i="12"/>
  <c r="J141" i="12"/>
  <c r="J133" i="12"/>
  <c r="J125" i="12"/>
  <c r="J117" i="12"/>
  <c r="J109" i="12"/>
  <c r="J101" i="12"/>
  <c r="J93" i="12"/>
  <c r="J85" i="12"/>
  <c r="J77" i="12"/>
  <c r="J69" i="12"/>
  <c r="J61" i="12"/>
  <c r="J53" i="12"/>
  <c r="J46" i="12"/>
  <c r="J37" i="12"/>
  <c r="J29" i="12"/>
  <c r="J21" i="12"/>
  <c r="J13" i="12"/>
  <c r="J5" i="12"/>
  <c r="J107" i="12"/>
  <c r="J300" i="12"/>
  <c r="J292" i="12"/>
  <c r="J284" i="12"/>
  <c r="J276" i="12"/>
  <c r="J268" i="12"/>
  <c r="J260" i="12"/>
  <c r="J252" i="12"/>
  <c r="J244" i="12"/>
  <c r="J236" i="12"/>
  <c r="J228" i="12"/>
  <c r="J220" i="12"/>
  <c r="J212" i="12"/>
  <c r="J204" i="12"/>
  <c r="J196" i="12"/>
  <c r="J188" i="12"/>
  <c r="J180" i="12"/>
  <c r="J172" i="12"/>
  <c r="J164" i="12"/>
  <c r="J156" i="12"/>
  <c r="J148" i="12"/>
  <c r="J140" i="12"/>
  <c r="J132" i="12"/>
  <c r="J124" i="12"/>
  <c r="J116" i="12"/>
  <c r="J108" i="12"/>
  <c r="J100" i="12"/>
  <c r="J92" i="12"/>
  <c r="J76" i="12"/>
  <c r="J68" i="12"/>
  <c r="J60" i="12"/>
  <c r="J52" i="12"/>
  <c r="J44" i="12"/>
  <c r="J36" i="12"/>
  <c r="J28" i="12"/>
  <c r="J20" i="12"/>
  <c r="J12" i="12"/>
  <c r="J211" i="12"/>
  <c r="J91" i="12"/>
  <c r="J83" i="12"/>
  <c r="J59" i="12"/>
  <c r="J43" i="12"/>
  <c r="J35" i="12"/>
  <c r="J19" i="12"/>
  <c r="J11" i="12"/>
  <c r="J299" i="12"/>
  <c r="J291" i="12"/>
  <c r="J283" i="12"/>
  <c r="J275" i="12"/>
  <c r="J267" i="12"/>
  <c r="J259" i="12"/>
  <c r="J251" i="12"/>
  <c r="J243" i="12"/>
  <c r="J235" i="12"/>
  <c r="J227" i="12"/>
  <c r="J219" i="12"/>
  <c r="J203" i="12"/>
  <c r="J195" i="12"/>
  <c r="J187" i="12"/>
  <c r="J179" i="12"/>
  <c r="J171" i="12"/>
  <c r="J163" i="12"/>
  <c r="J155" i="12"/>
  <c r="J147" i="12"/>
  <c r="J139" i="12"/>
  <c r="J131" i="12"/>
  <c r="J123" i="12"/>
  <c r="J115" i="12"/>
  <c r="J99" i="12"/>
  <c r="J75" i="12"/>
  <c r="J51" i="12"/>
  <c r="J27" i="12"/>
  <c r="J298" i="12"/>
  <c r="J290" i="12"/>
  <c r="J282" i="12"/>
  <c r="J274" i="12"/>
  <c r="J266" i="12"/>
  <c r="J258" i="12"/>
  <c r="J250" i="12"/>
  <c r="J242" i="12"/>
  <c r="J234" i="12"/>
  <c r="J226" i="12"/>
  <c r="J218" i="12"/>
  <c r="J210" i="12"/>
  <c r="J202" i="12"/>
  <c r="J194" i="12"/>
  <c r="J186" i="12"/>
  <c r="J178" i="12"/>
  <c r="J170" i="12"/>
  <c r="J162" i="12"/>
  <c r="J154" i="12"/>
  <c r="J146" i="12"/>
  <c r="J138" i="12"/>
  <c r="J130" i="12"/>
  <c r="J122" i="12"/>
  <c r="J114" i="12"/>
  <c r="J106" i="12"/>
  <c r="J98" i="12"/>
  <c r="J90" i="12"/>
  <c r="J82" i="12"/>
  <c r="J74" i="12"/>
  <c r="J66" i="12"/>
  <c r="J58" i="12"/>
  <c r="J50" i="12"/>
  <c r="J42" i="12"/>
  <c r="J34" i="12"/>
  <c r="J26" i="12"/>
  <c r="J18" i="12"/>
  <c r="J10" i="12"/>
  <c r="J279" i="12"/>
  <c r="J263" i="12"/>
  <c r="J239" i="12"/>
  <c r="J215" i="12"/>
  <c r="J199" i="12"/>
  <c r="J175" i="12"/>
  <c r="J143" i="12"/>
  <c r="J127" i="12"/>
  <c r="J103" i="12"/>
  <c r="J87" i="12"/>
  <c r="J63" i="12"/>
  <c r="J47" i="12"/>
  <c r="J23" i="12"/>
  <c r="J297" i="12"/>
  <c r="J289" i="12"/>
  <c r="J281" i="12"/>
  <c r="J273" i="12"/>
  <c r="J265" i="12"/>
  <c r="J257" i="12"/>
  <c r="J249" i="12"/>
  <c r="J241" i="12"/>
  <c r="J233" i="12"/>
  <c r="J225" i="12"/>
  <c r="J217" i="12"/>
  <c r="J209" i="12"/>
  <c r="J201" i="12"/>
  <c r="J193" i="12"/>
  <c r="J185" i="12"/>
  <c r="J177" i="12"/>
  <c r="J169" i="12"/>
  <c r="J161" i="12"/>
  <c r="J153" i="12"/>
  <c r="J145" i="12"/>
  <c r="J137" i="12"/>
  <c r="J129" i="12"/>
  <c r="J121" i="12"/>
  <c r="J113" i="12"/>
  <c r="J105" i="12"/>
  <c r="J97" i="12"/>
  <c r="J89" i="12"/>
  <c r="J81" i="12"/>
  <c r="J73" i="12"/>
  <c r="J65" i="12"/>
  <c r="J57" i="12"/>
  <c r="J49" i="12"/>
  <c r="J41" i="12"/>
  <c r="J33" i="12"/>
  <c r="J25" i="12"/>
  <c r="J17" i="12"/>
  <c r="J9" i="12"/>
  <c r="J287" i="12"/>
  <c r="J271" i="12"/>
  <c r="J247" i="12"/>
  <c r="J231" i="12"/>
  <c r="J207" i="12"/>
  <c r="J191" i="12"/>
  <c r="J167" i="12"/>
  <c r="J151" i="12"/>
  <c r="J135" i="12"/>
  <c r="J111" i="12"/>
  <c r="J95" i="12"/>
  <c r="J71" i="12"/>
  <c r="J39" i="12"/>
  <c r="J15" i="12"/>
  <c r="J296" i="12"/>
  <c r="J288" i="12"/>
  <c r="J280" i="12"/>
  <c r="J272" i="12"/>
  <c r="J264" i="12"/>
  <c r="J256" i="12"/>
  <c r="J248" i="12"/>
  <c r="J240" i="12"/>
  <c r="J232" i="12"/>
  <c r="J224" i="12"/>
  <c r="J216" i="12"/>
  <c r="J208" i="12"/>
  <c r="J200" i="12"/>
  <c r="J192" i="12"/>
  <c r="J184" i="12"/>
  <c r="J176" i="12"/>
  <c r="J168" i="12"/>
  <c r="J160" i="12"/>
  <c r="J152" i="12"/>
  <c r="J144" i="12"/>
  <c r="J136" i="12"/>
  <c r="J128" i="12"/>
  <c r="J120" i="12"/>
  <c r="J112" i="12"/>
  <c r="J104" i="12"/>
  <c r="J96" i="12"/>
  <c r="J88" i="12"/>
  <c r="J80" i="12"/>
  <c r="J72" i="12"/>
  <c r="J64" i="12"/>
  <c r="J56" i="12"/>
  <c r="J48" i="12"/>
  <c r="J40" i="12"/>
  <c r="J32" i="12"/>
  <c r="J24" i="12"/>
  <c r="J16" i="12"/>
  <c r="J8" i="12"/>
  <c r="J295" i="12"/>
  <c r="J255" i="12"/>
  <c r="J223" i="12"/>
  <c r="J183" i="12"/>
  <c r="J159" i="12"/>
  <c r="J119" i="12"/>
  <c r="J79" i="12"/>
  <c r="J55" i="12"/>
  <c r="J31" i="12"/>
  <c r="J7" i="12"/>
  <c r="J294" i="12"/>
  <c r="J286" i="12"/>
  <c r="J278" i="12"/>
  <c r="J270" i="12"/>
  <c r="J262" i="12"/>
  <c r="J254" i="12"/>
  <c r="J246" i="12"/>
  <c r="J238" i="12"/>
  <c r="J230" i="12"/>
  <c r="J222" i="12"/>
  <c r="J214" i="12"/>
  <c r="J206" i="12"/>
  <c r="J198" i="12"/>
  <c r="J190" i="12"/>
  <c r="J182" i="12"/>
  <c r="J174" i="12"/>
  <c r="J166" i="12"/>
  <c r="J158" i="12"/>
  <c r="J150" i="12"/>
  <c r="J142" i="12"/>
  <c r="J134" i="12"/>
  <c r="J126" i="12"/>
  <c r="J118" i="12"/>
  <c r="J110" i="12"/>
  <c r="J102" i="12"/>
  <c r="J94" i="12"/>
  <c r="J86" i="12"/>
  <c r="J78" i="12"/>
  <c r="J70" i="12"/>
  <c r="J62" i="12"/>
  <c r="J54" i="12"/>
  <c r="J45" i="12"/>
  <c r="J38" i="12"/>
  <c r="J30" i="12"/>
  <c r="J22" i="12"/>
  <c r="J14" i="12"/>
  <c r="J6" i="12"/>
  <c r="J67" i="12"/>
  <c r="J84" i="12"/>
  <c r="I11" i="2"/>
  <c r="BA2" i="13" s="1"/>
  <c r="I13" i="2"/>
  <c r="BC2" i="13" s="1"/>
  <c r="I12" i="2"/>
  <c r="BB2" i="13" s="1"/>
  <c r="BD2" i="13" l="1"/>
  <c r="BB3" i="13" s="1"/>
  <c r="B23" i="13" s="1"/>
  <c r="C23" i="13" s="1"/>
  <c r="BC3" i="13" l="1"/>
  <c r="B27" i="13" s="1"/>
  <c r="C27" i="13" s="1"/>
  <c r="BA3" i="13"/>
  <c r="B19" i="13" s="1"/>
  <c r="C19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4786F3-A5E3-4146-8098-82D9A173920E}" keepAlive="1" name="ModelConnection_ExternalData_1" description="Data Model" type="5" refreshedVersion="6" minRefreshableVersion="5" saveData="1">
    <dbPr connection="Data Model Connection" command="Intel DB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5808EBB-8263-49CF-B056-43D6AAF5ADE3}" name="Query - Intel DB" description="Connection to the 'Intel DB' query in the workbook." type="100" refreshedVersion="6" minRefreshableVersion="5">
    <extLst>
      <ext xmlns:x15="http://schemas.microsoft.com/office/spreadsheetml/2010/11/main" uri="{DE250136-89BD-433C-8126-D09CA5730AF9}">
        <x15:connection id="5fcf8a6e-bdcc-4a94-bce8-cca858448f39"/>
      </ext>
    </extLst>
  </connection>
  <connection id="3" xr16:uid="{E2118DB5-54C5-4171-98EB-4DDA7BA96AB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<sst xmlns="http://schemas.openxmlformats.org/spreadsheetml/2006/main" count="1168" uniqueCount="484">
  <si>
    <t>Profile Group</t>
  </si>
  <si>
    <t>vCPU</t>
  </si>
  <si>
    <t>Quantity</t>
  </si>
  <si>
    <t>Total Cores</t>
  </si>
  <si>
    <t>Server Quantity</t>
  </si>
  <si>
    <t>Graphics Card Type</t>
  </si>
  <si>
    <t>P40</t>
  </si>
  <si>
    <t>M60</t>
  </si>
  <si>
    <t>M10</t>
  </si>
  <si>
    <t>T4</t>
  </si>
  <si>
    <t>Memory /Card (GB)</t>
  </si>
  <si>
    <t>CUDA Cores</t>
  </si>
  <si>
    <t>Power (W)</t>
  </si>
  <si>
    <t>Thermal</t>
  </si>
  <si>
    <t>passive</t>
  </si>
  <si>
    <t>active/passive</t>
  </si>
  <si>
    <t>Total Memory (GB)</t>
  </si>
  <si>
    <t>Dell R640</t>
  </si>
  <si>
    <t>Dell R740</t>
  </si>
  <si>
    <t>Memory (GB)</t>
  </si>
  <si>
    <t>Switch</t>
  </si>
  <si>
    <t>Ports</t>
  </si>
  <si>
    <t>Switch Quantity</t>
  </si>
  <si>
    <t>Total Ports</t>
  </si>
  <si>
    <t>S5224</t>
  </si>
  <si>
    <t>Fiber Ports Needed</t>
  </si>
  <si>
    <t>Cable Quantity</t>
  </si>
  <si>
    <t>Cable Type</t>
  </si>
  <si>
    <t>Scenario</t>
  </si>
  <si>
    <t>Frankenstein</t>
  </si>
  <si>
    <t>SFP+ TwinAx</t>
  </si>
  <si>
    <t>HPE Gen10</t>
  </si>
  <si>
    <t>SFP28 TwinAx</t>
  </si>
  <si>
    <t>Dell Unity 650F</t>
  </si>
  <si>
    <t>Description</t>
  </si>
  <si>
    <t>VxRail</t>
  </si>
  <si>
    <t>v570F</t>
  </si>
  <si>
    <t>HPE Gen 9</t>
  </si>
  <si>
    <t>HPE Gen8</t>
  </si>
  <si>
    <t>Total</t>
  </si>
  <si>
    <t>Processor Identifier</t>
  </si>
  <si>
    <t>Processor Name</t>
  </si>
  <si>
    <t>Cores</t>
  </si>
  <si>
    <t>Speed (GHz)</t>
  </si>
  <si>
    <t>List Price</t>
  </si>
  <si>
    <t>Cost Per Core</t>
  </si>
  <si>
    <t>8280L</t>
  </si>
  <si>
    <t>8280M</t>
  </si>
  <si>
    <t>Capacity Per Socket (GHz)</t>
  </si>
  <si>
    <t>Capacity per Server (GHz) (assuming 2 sockets)</t>
  </si>
  <si>
    <t>Cost per GHz</t>
  </si>
  <si>
    <t>8260L</t>
  </si>
  <si>
    <t>8260M</t>
  </si>
  <si>
    <t>8276M</t>
  </si>
  <si>
    <t>8276L</t>
  </si>
  <si>
    <t>6262V</t>
  </si>
  <si>
    <t>6222V</t>
  </si>
  <si>
    <t>6240M</t>
  </si>
  <si>
    <t>6240L</t>
  </si>
  <si>
    <t>Memory Identifier</t>
  </si>
  <si>
    <t>Memory Type</t>
  </si>
  <si>
    <t>Memory Size</t>
  </si>
  <si>
    <t>Memory Total</t>
  </si>
  <si>
    <t>List Price /per</t>
  </si>
  <si>
    <t>List Price Total</t>
  </si>
  <si>
    <t>Cost per GB</t>
  </si>
  <si>
    <t>Proc Requirement</t>
  </si>
  <si>
    <t>Dependent Memory Type</t>
  </si>
  <si>
    <t>Dependent Memory Quantity</t>
  </si>
  <si>
    <t>Total Cost</t>
  </si>
  <si>
    <t>Total Cost per GB</t>
  </si>
  <si>
    <t>DCPMM 6144</t>
  </si>
  <si>
    <t>Optane</t>
  </si>
  <si>
    <t>L</t>
  </si>
  <si>
    <t>RDIMM 2933</t>
  </si>
  <si>
    <t>DCPMM 3072</t>
  </si>
  <si>
    <t>M</t>
  </si>
  <si>
    <t>DCPMM 1536</t>
  </si>
  <si>
    <t>n/a</t>
  </si>
  <si>
    <t>RDIMM 1536</t>
  </si>
  <si>
    <t>RDIMM 768</t>
  </si>
  <si>
    <t>RDIMM 384</t>
  </si>
  <si>
    <t>LRDIMM 3072</t>
  </si>
  <si>
    <t>LRDIMM 2666</t>
  </si>
  <si>
    <t>LRDIMM 1536</t>
  </si>
  <si>
    <t>LRDIMM 768</t>
  </si>
  <si>
    <t>32G DIMM</t>
  </si>
  <si>
    <t>128G DCPMM</t>
  </si>
  <si>
    <t>Total GB</t>
  </si>
  <si>
    <t>Total vGPU Requirement (GB)</t>
  </si>
  <si>
    <t>Total Memory Requirement</t>
  </si>
  <si>
    <t>Total vCPU Requirement</t>
  </si>
  <si>
    <t>Dependent Memory Size (minimum)</t>
  </si>
  <si>
    <t>List Price /per DIMM</t>
  </si>
  <si>
    <t xml:space="preserve">List Price Total Dependent </t>
  </si>
  <si>
    <t>GPU</t>
  </si>
  <si>
    <t>Server Model</t>
  </si>
  <si>
    <t>Cisco B200</t>
  </si>
  <si>
    <t>Processor</t>
  </si>
  <si>
    <t>Total GHz</t>
  </si>
  <si>
    <t>E5-2670v3</t>
  </si>
  <si>
    <t>Total Processor Quantity</t>
  </si>
  <si>
    <t>Notes</t>
  </si>
  <si>
    <t>Percent Less than most expensive</t>
  </si>
  <si>
    <t>Total GPU Cost</t>
  </si>
  <si>
    <t>RTX8000</t>
  </si>
  <si>
    <t>.5, 1, 2, 4, 8</t>
  </si>
  <si>
    <t>Profile Options (GB)</t>
  </si>
  <si>
    <t>1,2,3,4,6,8,12,24</t>
  </si>
  <si>
    <t>.5,1,2,4,8</t>
  </si>
  <si>
    <t>1,2,3,4,6,8,12,16,24,48</t>
  </si>
  <si>
    <t>1,2,4,8,16</t>
  </si>
  <si>
    <t>Supported Servers Matrix</t>
  </si>
  <si>
    <t>Cost Per User (using lowest profile)</t>
  </si>
  <si>
    <t>Memory Utilization</t>
  </si>
  <si>
    <t>Estimated Memory Utilization</t>
  </si>
  <si>
    <t>GHz Capacity</t>
  </si>
  <si>
    <t>GHz Consumed</t>
  </si>
  <si>
    <t>GHz Utilization Percentage</t>
  </si>
  <si>
    <t>Total Nvidia Cost</t>
  </si>
  <si>
    <t>Total Processor Costs (List)</t>
  </si>
  <si>
    <t>Processor Utilization (Cluster)</t>
  </si>
  <si>
    <t>Estimated Processor Utilization</t>
  </si>
  <si>
    <t>Memory Capacity</t>
  </si>
  <si>
    <t>Memory Consumed</t>
  </si>
  <si>
    <t>Cores per Socket</t>
  </si>
  <si>
    <t>Core GHz</t>
  </si>
  <si>
    <t>vCPU:pCPU Ratio</t>
  </si>
  <si>
    <t>(24) 64GB DIMMs for 1536GB per host</t>
  </si>
  <si>
    <t>Total Memory Costs (List)</t>
  </si>
  <si>
    <t>(12) 64GB DIMMs for 768GB per host</t>
  </si>
  <si>
    <t>vCPU:pCPU Ratio (assuming 250 users)</t>
  </si>
  <si>
    <t>Total (proc &amp; mem)</t>
  </si>
  <si>
    <t>Summary</t>
  </si>
  <si>
    <t>% Lower than Most Expensive</t>
  </si>
  <si>
    <t>*only 250 users are considered for calculations and this number will grow</t>
  </si>
  <si>
    <t xml:space="preserve">Need four to cover cpu capacity in single node failure and factoring future growth*.  </t>
  </si>
  <si>
    <t>Need four to cover memory capacity in single node failure and factoring future growth*.</t>
  </si>
  <si>
    <t>Need five to cover cpu capacity in single node failure and factoring future growth*.</t>
  </si>
  <si>
    <t>Utilization with roughly 250 users logged in.</t>
  </si>
  <si>
    <t>Recommended 1:4 ratio (RDIMM to DCPMM)</t>
  </si>
  <si>
    <t>still lower than RDIMM alone</t>
  </si>
  <si>
    <t>Memory (DIMM) Type</t>
  </si>
  <si>
    <t>Memory (DIMM) Quantity</t>
  </si>
  <si>
    <t>Memory (DIMM) Size</t>
  </si>
  <si>
    <t>Existing Environment</t>
  </si>
  <si>
    <t>VDI Environment Already in Place?</t>
  </si>
  <si>
    <t>Yes</t>
  </si>
  <si>
    <t>No</t>
  </si>
  <si>
    <t xml:space="preserve"> -Choose-</t>
  </si>
  <si>
    <t>8280M, 28, 2.7</t>
  </si>
  <si>
    <t>8268, 24, 2.9</t>
  </si>
  <si>
    <t>8280L, 28, 2.7</t>
  </si>
  <si>
    <t>8280, 28, 2.7</t>
  </si>
  <si>
    <t>8270, 26, 2.7</t>
  </si>
  <si>
    <t>8276M, 28, 2.2</t>
  </si>
  <si>
    <t>8276L, 28, 2.2</t>
  </si>
  <si>
    <t>8276, 28, 2.2</t>
  </si>
  <si>
    <t>8260M, 24, 2.4</t>
  </si>
  <si>
    <t>8260L, 24, 2.4</t>
  </si>
  <si>
    <t>8260, 24, 2.4</t>
  </si>
  <si>
    <t>6254, 18, 3.1</t>
  </si>
  <si>
    <t>6252, 24, 2.1</t>
  </si>
  <si>
    <t>6248, 20, 2.5</t>
  </si>
  <si>
    <t>6240, 18, 2.6</t>
  </si>
  <si>
    <t>6240M, 18, 2.6</t>
  </si>
  <si>
    <t>6240L, 18, 2.6</t>
  </si>
  <si>
    <t>6262V, 24, 1.9</t>
  </si>
  <si>
    <t>6242, 16, 2.8</t>
  </si>
  <si>
    <t>6246, 12, 3.3</t>
  </si>
  <si>
    <t>6222V, 20, 1.8</t>
  </si>
  <si>
    <t>8253, 16, 2.2</t>
  </si>
  <si>
    <t>6244, 8, 3.6</t>
  </si>
  <si>
    <t>6234, 8, 3.3</t>
  </si>
  <si>
    <t>5217, 8, 3.0</t>
  </si>
  <si>
    <t>4215, 8, 2.5</t>
  </si>
  <si>
    <t>on VDI Profiles worksheet, give ability to create multiple vdi profiles</t>
  </si>
  <si>
    <t>Product Name</t>
  </si>
  <si>
    <t>Status</t>
  </si>
  <si>
    <t>Launch Date</t>
  </si>
  <si>
    <t># of Cores</t>
  </si>
  <si>
    <t>Max Turbo Frequency</t>
  </si>
  <si>
    <t>Processor Base Frequency</t>
  </si>
  <si>
    <t>Cache</t>
  </si>
  <si>
    <t>Compare All | None</t>
  </si>
  <si>
    <t>Intel® Xeon® Platinum 9282 Processor</t>
  </si>
  <si>
    <t>Launched</t>
  </si>
  <si>
    <t>Q2'19</t>
  </si>
  <si>
    <t>3.80 GHz</t>
  </si>
  <si>
    <t>2.60 GHz</t>
  </si>
  <si>
    <t>77 MB Intel® Smart Cache</t>
  </si>
  <si>
    <t/>
  </si>
  <si>
    <t>Intel® Xeon® Platinum 9242 Processor</t>
  </si>
  <si>
    <t>2.30 GHz</t>
  </si>
  <si>
    <t>71.5 MB Intel® Smart Cache</t>
  </si>
  <si>
    <t>Intel® Xeon® Platinum 9222 Processor</t>
  </si>
  <si>
    <t>Q3'19</t>
  </si>
  <si>
    <t>3.70 GHz</t>
  </si>
  <si>
    <t>71.5 MB</t>
  </si>
  <si>
    <t>Intel® Xeon® Platinum 9221 Processor</t>
  </si>
  <si>
    <t>4.00 GHz</t>
  </si>
  <si>
    <t>2.70 GHz</t>
  </si>
  <si>
    <t>38.5 MB</t>
  </si>
  <si>
    <t>Intel® Xeon® Platinum 8280L Processor</t>
  </si>
  <si>
    <t>Intel® Xeon® Platinum 8280 Processor</t>
  </si>
  <si>
    <t>2.20 GHz</t>
  </si>
  <si>
    <t>Intel® Xeon® Platinum 8276L Processor</t>
  </si>
  <si>
    <t>Intel® Xeon® Platinum 8276 Processor</t>
  </si>
  <si>
    <t>Intel® Xeon® Platinum 8270 Processor</t>
  </si>
  <si>
    <t>35.75 MB</t>
  </si>
  <si>
    <t>Intel® Xeon® Platinum 8268 Processor</t>
  </si>
  <si>
    <t>3.90 GHz</t>
  </si>
  <si>
    <t>2.90 GHz</t>
  </si>
  <si>
    <t>Intel® Xeon® Platinum 8260Y Processor</t>
  </si>
  <si>
    <t>2.40 GHz</t>
  </si>
  <si>
    <t>Intel® Xeon® Platinum 8260L Processor</t>
  </si>
  <si>
    <t>Intel® Xeon® Platinum 8260 Processor</t>
  </si>
  <si>
    <t>Intel® Xeon® Platinum 8256 Processor</t>
  </si>
  <si>
    <t>16.5 MB</t>
  </si>
  <si>
    <t>Intel® Xeon® Platinum 8253 Processor</t>
  </si>
  <si>
    <t>3.00 GHz</t>
  </si>
  <si>
    <t>22 MB</t>
  </si>
  <si>
    <t>Intel® Xeon® Gold 6262V Processor</t>
  </si>
  <si>
    <t>3.60 GHz</t>
  </si>
  <si>
    <t>1.90 GHz</t>
  </si>
  <si>
    <t>33 MB</t>
  </si>
  <si>
    <t>Intel® Xeon® Gold 6258R Processor</t>
  </si>
  <si>
    <t>Q1'20</t>
  </si>
  <si>
    <t>Intel® Xeon® Gold 6256 Processor</t>
  </si>
  <si>
    <t>4.50 GHz</t>
  </si>
  <si>
    <t>Intel® Xeon® Gold 6254 Processor</t>
  </si>
  <si>
    <t>3.10 GHz</t>
  </si>
  <si>
    <t>24.75 MB</t>
  </si>
  <si>
    <t>Intel® Xeon® Gold 6252N Processor</t>
  </si>
  <si>
    <t>Intel® Xeon® Gold 6252 Processor</t>
  </si>
  <si>
    <t>2.10 GHz</t>
  </si>
  <si>
    <t>Intel® Xeon® Gold 6250L Processor</t>
  </si>
  <si>
    <t>Intel® Xeon® Gold 6250 Processor</t>
  </si>
  <si>
    <t>Intel® Xeon® Gold 6248R Processor</t>
  </si>
  <si>
    <t>Intel® Xeon® Gold 6248 Processor</t>
  </si>
  <si>
    <t>2.50 GHz</t>
  </si>
  <si>
    <t>27.5 MB</t>
  </si>
  <si>
    <t>Intel® Xeon® Gold 6246R Processor</t>
  </si>
  <si>
    <t>4.10 GHz</t>
  </si>
  <si>
    <t>3.40 GHz</t>
  </si>
  <si>
    <t>Intel® Xeon® Gold 6246 Processor</t>
  </si>
  <si>
    <t>4.20 GHz</t>
  </si>
  <si>
    <t>3.30 GHz</t>
  </si>
  <si>
    <t>Intel® Xeon® Gold 6244 Processor</t>
  </si>
  <si>
    <t>4.40 GHz</t>
  </si>
  <si>
    <t>Intel® Xeon® Gold 6242R Processor</t>
  </si>
  <si>
    <t>Intel® Xeon® Gold 6242 Processor</t>
  </si>
  <si>
    <t>2.80 GHz</t>
  </si>
  <si>
    <t>Intel® Xeon® Gold 6240Y Processor</t>
  </si>
  <si>
    <t>Intel® Xeon® Gold 6240R Processor</t>
  </si>
  <si>
    <t>Intel® Xeon® Gold 6240L Processor</t>
  </si>
  <si>
    <t>Intel® Xeon® Gold 6240 Processor</t>
  </si>
  <si>
    <t>Intel® Xeon® Gold 6238T Processor</t>
  </si>
  <si>
    <t>30.25 MB</t>
  </si>
  <si>
    <t>Intel® Xeon® Gold 6238R Processor</t>
  </si>
  <si>
    <t>Intel® Xeon® Gold 6238L Processor</t>
  </si>
  <si>
    <t>Intel® Xeon® Gold 6238 Processor</t>
  </si>
  <si>
    <t>Intel® Xeon® Gold 6234 Processor</t>
  </si>
  <si>
    <t>Intel® Xeon® Gold 6230T Processor</t>
  </si>
  <si>
    <t>Intel® Xeon® Gold 6230N Processor</t>
  </si>
  <si>
    <t>3.50 GHz</t>
  </si>
  <si>
    <t>Intel® Xeon® Gold 6230R Processor</t>
  </si>
  <si>
    <t>Intel® Xeon® Gold 6230 Processor</t>
  </si>
  <si>
    <t>Intel® Xeon® Gold 6226R Processor</t>
  </si>
  <si>
    <t>Intel® Xeon® Gold 6226 Processor</t>
  </si>
  <si>
    <t>19.25 MB</t>
  </si>
  <si>
    <t>Intel® Xeon® Gold 6222V Processor</t>
  </si>
  <si>
    <t>1.80 GHz</t>
  </si>
  <si>
    <t>Intel® Xeon® Gold 6208U Processor</t>
  </si>
  <si>
    <t>Intel® Xeon® Gold 5222 Processor</t>
  </si>
  <si>
    <t>Intel® Xeon® Gold 5220T Processor</t>
  </si>
  <si>
    <t>Intel® Xeon® Gold 5220S Processor</t>
  </si>
  <si>
    <t>Intel® Xeon® Gold 5220R Processor</t>
  </si>
  <si>
    <t>Intel® Xeon® Gold 5220 Processor</t>
  </si>
  <si>
    <t>Intel® Xeon® Gold 5218T Processor</t>
  </si>
  <si>
    <t>Intel® Xeon® Gold 5218R Processor</t>
  </si>
  <si>
    <t>Intel® Xeon® Gold 5218N Processor</t>
  </si>
  <si>
    <t>Intel® Xeon® Gold 5218B Processor</t>
  </si>
  <si>
    <t>Intel® Xeon® Gold 5218 Processor</t>
  </si>
  <si>
    <t>Intel® Xeon® Gold 5217 Processor</t>
  </si>
  <si>
    <t>11 MB</t>
  </si>
  <si>
    <t>13.75 MB</t>
  </si>
  <si>
    <t>Intel® Xeon® Gold 5215L Processor</t>
  </si>
  <si>
    <t>Intel® Xeon® Gold 5215 Processor</t>
  </si>
  <si>
    <t>Intel® Xeon® Silver 4216 Processor</t>
  </si>
  <si>
    <t>3.20 GHz</t>
  </si>
  <si>
    <t>Intel® Xeon® Silver 4215R Processor</t>
  </si>
  <si>
    <t>Intel® Xeon® Silver 4215 Processor</t>
  </si>
  <si>
    <t>Intel® Xeon® Silver 4214Y Processor</t>
  </si>
  <si>
    <t>Intel® Xeon® Silver 4214R Processor</t>
  </si>
  <si>
    <t>Intel® Xeon® Silver 4214 Processor</t>
  </si>
  <si>
    <t>Intel® Xeon® Silver 4210T Processor</t>
  </si>
  <si>
    <t>Intel® Xeon® Silver 4210R Processor</t>
  </si>
  <si>
    <t>Intel® Xeon® Silver 4210 Processor</t>
  </si>
  <si>
    <t>Intel® Xeon® Silver 4209T Processor</t>
  </si>
  <si>
    <t>Intel® Xeon® Silver 4208 Processor</t>
  </si>
  <si>
    <t>Intel® Xeon® Bronze 3206R Processor</t>
  </si>
  <si>
    <t>Intel® Xeon® Bronze 3204 Processor</t>
  </si>
  <si>
    <t>8.25 MB</t>
  </si>
  <si>
    <t>List Price*</t>
  </si>
  <si>
    <t>Processor Model</t>
  </si>
  <si>
    <t>Processor Details</t>
  </si>
  <si>
    <t>https://ark.intel.com/content/www/us/en/ark/products/194146/intel-xeon-platinum-9282-processor-77m-cache-2-60-ghz.html</t>
  </si>
  <si>
    <t>https://ark.intel.com/content/www/us/en/ark/products/194145/intel-xeon-platinum-9242-processor-71-5m-cache-2-30-ghz.html</t>
  </si>
  <si>
    <t>https://ark.intel.com/content/www/us/en/ark/products/195437/intel-xeon-platinum-9222-processor-71-5m-cache-2-30-ghz.html</t>
  </si>
  <si>
    <t>https://ark.intel.com/content/www/us/en/ark/products/195434/intel-xeon-platinum-9221-processor-71-5m-cache-2-30-ghz.html</t>
  </si>
  <si>
    <t>https://ark.intel.com/content/www/us/en/ark/products/192472/intel-xeon-platinum-8280l-processor-38-5m-cache-2-70-ghz.html</t>
  </si>
  <si>
    <t>https://ark.intel.com/content/www/us/en/ark/products/192478/intel-xeon-platinum-8280-processor-38-5m-cache-2-70-ghz.html</t>
  </si>
  <si>
    <t>https://ark.intel.com/content/www/us/en/ark/products/192475/intel-xeon-platinum-8276l-processor-38-5m-cache-2-20-ghz.html</t>
  </si>
  <si>
    <t>https://ark.intel.com/content/www/us/en/ark/products/192470/intel-xeon-platinum-8276-processor-38-5m-cache-2-20-ghz.html</t>
  </si>
  <si>
    <t>https://ark.intel.com/content/www/us/en/ark/products/192482/intel-xeon-platinum-8270-processor-35-75m-cache-2-70-ghz.html</t>
  </si>
  <si>
    <t>https://ark.intel.com/content/www/us/en/ark/products/192481/intel-xeon-platinum-8268-processor-35-75m-cache-2-90-ghz.html</t>
  </si>
  <si>
    <t>https://ark.intel.com/content/www/us/en/ark/products/192480/intel-xeon-platinum-8260y-processor-35-75m-cache-2-40-ghz.html</t>
  </si>
  <si>
    <t>https://ark.intel.com/content/www/us/en/ark/products/192476/intel-xeon-platinum-8260l-processor-35-75m-cache-2-40-ghz.html</t>
  </si>
  <si>
    <t>https://ark.intel.com/content/www/us/en/ark/products/192474/intel-xeon-platinum-8260-processor-35-75m-cache-2-40-ghz.html</t>
  </si>
  <si>
    <t>https://ark.intel.com/content/www/us/en/ark/products/192467/intel-xeon-platinum-8256-processor-16-5m-cache-3-80-ghz.html</t>
  </si>
  <si>
    <t>https://ark.intel.com/content/www/us/en/ark/products/192465/intel-xeon-platinum-8253-processor-22m-cache-2-20-ghz.html</t>
  </si>
  <si>
    <t>https://ark.intel.com/content/www/us/en/ark/products/199350/intel-xeon-gold-6258r-processor-38-5m-cache-2-70-ghz.html</t>
  </si>
  <si>
    <t>https://ark.intel.com/content/www/us/en/ark/products/198655/intel-xeon-gold-6256-processor-33m-cache-3-60-ghz.html</t>
  </si>
  <si>
    <t>https://ark.intel.com/content/www/us/en/ark/products/192451/intel-xeon-gold-6254-processor-24-75m-cache-3-10-ghz.html</t>
  </si>
  <si>
    <t>https://ark.intel.com/content/www/us/en/ark/products/193951/intel-xeon-gold-6252n-processor-35-75m-cache-2-30-ghz.html</t>
  </si>
  <si>
    <t>https://ark.intel.com/content/www/us/en/ark/products/192447/intel-xeon-gold-6252-processor-35-75m-cache-2-10-ghz.html</t>
  </si>
  <si>
    <t>https://ark.intel.com/content/www/us/en/ark/products/202780/intel-xeon-gold-6250l-processor-35-75m-cache-3-90-ghz.html</t>
  </si>
  <si>
    <t>https://ark.intel.com/content/www/us/en/ark/products/199351/intel-xeon-gold-6248r-processor-35-75m-cache-3-00-ghz.html</t>
  </si>
  <si>
    <t>https://ark.intel.com/content/www/us/en/ark/products/192446/intel-xeon-gold-6248-processor-27-5m-cache-2-50-ghz.html</t>
  </si>
  <si>
    <t>https://ark.intel.com/content/www/us/en/ark/products/199353/intel-xeon-gold-6246r-processor-35-75m-cache-3-40-ghz.html</t>
  </si>
  <si>
    <t>https://ark.intel.com/content/www/us/en/ark/products/193969/intel-xeon-gold-6246-processor-24-75m-cache-3-30-ghz.html</t>
  </si>
  <si>
    <t>https://ark.intel.com/content/www/us/en/ark/products/192442/intel-xeon-gold-6244-processor-24-75m-cache-3-60-ghz.html</t>
  </si>
  <si>
    <t>https://ark.intel.com/content/www/us/en/ark/products/192440/intel-xeon-gold-6242-processor-22m-cache-2-80-ghz.html</t>
  </si>
  <si>
    <t>https://ark.intel.com/content/www/us/en/ark/products/199343/intel-xeon-gold-6240r-processor-35-75m-cache-2-40-ghz.html</t>
  </si>
  <si>
    <t>https://ark.intel.com/content/www/us/en/ark/products/192443/intel-xeon-gold-6240-processor-24-75m-cache-2-60-ghz.html</t>
  </si>
  <si>
    <t>https://ark.intel.com/content/www/us/en/ark/products/192439/intel-xeon-gold-6238t-processor-30-25m-cache-1-90-ghz.html</t>
  </si>
  <si>
    <t>https://ark.intel.com/content/www/us/en/ark/products/199345/intel-xeon-gold-6238r-processor-38-5m-cache-2-20-ghz.html</t>
  </si>
  <si>
    <t>https://ark.intel.com/content/www/us/en/ark/products/193958/intel-xeon-gold-6238l-processor-30-25m-cache-2-10-ghz.html</t>
  </si>
  <si>
    <t>https://ark.intel.com/content/www/us/en/ark/products/193949/intel-xeon-gold-6238-processor-30-25m-cache-2-10-ghz.html</t>
  </si>
  <si>
    <t>https://ark.intel.com/content/www/us/en/ark/products/193954/intel-xeon-gold-6234-processor-24-75m-cache-3-30-ghz.html</t>
  </si>
  <si>
    <t>https://ark.intel.com/content/www/us/en/ark/products/192437/intel-xeon-gold-6230-processor-27-5m-cache-2-10-ghz.html</t>
  </si>
  <si>
    <t>https://ark.intel.com/content/www/us/en/ark/products/192450/intel-xeon-gold-6230n-processor-27-5m-cache-2-30-ghz.html</t>
  </si>
  <si>
    <t>https://ark.intel.com/content/www/us/en/ark/products/199346/intel-xeon-gold-6230r-processor-35-75m-cache-2-10-ghz.html</t>
  </si>
  <si>
    <t>https://ark.intel.com/content/www/us/en/ark/products/199347/intel-xeon-gold-6226r-processor-22m-cache-2-90-ghz.html</t>
  </si>
  <si>
    <t>https://ark.intel.com/content/www/us/en/ark/products/193957/intel-xeon-gold-6226-processor-19-25m-cache-2-70-ghz.html</t>
  </si>
  <si>
    <t>https://ark.intel.com/content/www/us/en/ark/products/193962/intel-xeon-gold-6222v-processor-27-5m-cache-1-80-ghz.html</t>
  </si>
  <si>
    <t>https://ark.intel.com/content/www/us/en/ark/products/199348/intel-xeon-gold-6208u-processor-22m-cache-2-90-ghz.html</t>
  </si>
  <si>
    <t>https://ark.intel.com/content/www/us/en/ark/products/192445/intel-xeon-gold-5222-processor-16-5m-cache-3-80-ghz.html</t>
  </si>
  <si>
    <t>https://ark.intel.com/content/www/us/en/ark/products/193388/intel-xeon-gold-5220-processor-24-75m-cache-2-20-ghz.html</t>
  </si>
  <si>
    <t>https://ark.intel.com/content/www/us/en/ark/products/193950/intel-xeon-gold-5220s-processor-24-75m-cache-2-70-ghz.html</t>
  </si>
  <si>
    <t>https://ark.intel.com/content/www/us/en/ark/products/199354/intel-xeon-gold-5220r-processor-35-75m-cache-2-20-ghz.html</t>
  </si>
  <si>
    <t>https://ark.intel.com/content/www/us/en/ark/products/192444/intel-xeon-gold-5218-processor-22m-cache-2-30-ghz.html</t>
  </si>
  <si>
    <t>https://ark.intel.com/content/www/us/en/ark/products/199342/intel-xeon-gold-5218r-processor-27-5m-cache-2-10-ghz.html</t>
  </si>
  <si>
    <t>https://ark.intel.com/content/www/us/en/ark/products/193397/intel-xeon-gold-5218n-processor-22m-cache-2-30-ghz.html</t>
  </si>
  <si>
    <t>https://ark.intel.com/content/www/us/en/ark/products/193564/intel-xeon-gold-5218b-processor-22m-cache-2-30-ghz.html</t>
  </si>
  <si>
    <t>https://ark.intel.com/content/www/us/en/ark/products/193396/intel-xeon-gold-5217-processor-11m-cache-3-00-ghz.html</t>
  </si>
  <si>
    <t>https://ark.intel.com/content/www/us/en/ark/products/193393/intel-xeon-gold-5215l-processor-13-75m-cache-2-50-ghz.html</t>
  </si>
  <si>
    <t>https://ark.intel.com/content/www/us/en/ark/products/193391/intel-xeon-gold-5215-processor-13-75m-cache-2-50-ghz.html</t>
  </si>
  <si>
    <t>https://ark.intel.com/content/www/us/en/ark/products/193394/intel-xeon-silver-4216-processor-22m-cache-2-10-ghz.html</t>
  </si>
  <si>
    <t>https://ark.intel.com/content/www/us/en/ark/products/199349/intel-xeon-silver-4215r-processor-11m-cache-3-20-ghz.html</t>
  </si>
  <si>
    <t>https://ark.intel.com/content/www/us/en/ark/products/193389/intel-xeon-silver-4215-processor-11m-cache-2-50-ghz.html</t>
  </si>
  <si>
    <t>https://ark.intel.com/content/www/us/en/ark/products/193553/intel-xeon-silver-4214y-processor-16-5m-cache-2-20-ghz.html</t>
  </si>
  <si>
    <t>https://ark.intel.com/content/www/us/en/ark/products/193385/intel-xeon-silver-4214-processor-16-5m-cache-2-20-ghz.html</t>
  </si>
  <si>
    <t>https://ark.intel.com/content/www/us/en/ark/products/193384/intel-xeon-silver-4210-processor-13-75m-cache-2-20-ghz.html</t>
  </si>
  <si>
    <t>https://ark.intel.com/content/www/us/en/ark/products/193382/intel-xeon-silver-4209t-processor-11m-cache-2-20-ghz.html</t>
  </si>
  <si>
    <t>https://ark.intel.com/content/www/us/en/ark/products/193390/intel-xeon-silver-4208-processor-11m-cache-2-10-ghz.html</t>
  </si>
  <si>
    <t>https://ark.intel.com/content/www/us/en/ark/products/197101/intel-xeon-bronze-3206r-processor-11m-cache-1-90-ghz.html</t>
  </si>
  <si>
    <t>https://ark.intel.com/content/www/us/en/ark/products/193381/intel-xeon-bronze-3204-processor-8-25m-cache-1-90-ghz.html</t>
  </si>
  <si>
    <t>https://ark.intel.com/content/www/us/en/ark/products/193972/intel-xeon-gold-6262v-processor-33m-cache-1-90-ghz.html</t>
  </si>
  <si>
    <t>https://ark.intel.com/content/www/us/en/ark/products/198652/intel-xeon-gold-6250-processor-35-75m-cache-3-90-ghz.html</t>
  </si>
  <si>
    <t>https://ark.intel.com/content/www/us/en/ark/products/199352/intel-xeon-gold-6242r-processor-35-75m-cache-3-10-ghz.html</t>
  </si>
  <si>
    <t>https://ark.intel.com/content/www/us/en/ark/products/192448/intel-xeon-gold-6240y-processor-24-75m-cache-2-60-ghz.html</t>
  </si>
  <si>
    <t>Intel Product ID</t>
  </si>
  <si>
    <t>Position of 1st digit</t>
  </si>
  <si>
    <t>What is highest number in column</t>
  </si>
  <si>
    <t>fixes pricing formatting</t>
  </si>
  <si>
    <t>Processor Option 1:</t>
  </si>
  <si>
    <t xml:space="preserve">Processor Option 2: </t>
  </si>
  <si>
    <t>Processor Option 3:</t>
  </si>
  <si>
    <t>Server Profile</t>
  </si>
  <si>
    <t>Highest Number</t>
  </si>
  <si>
    <t>Required Memory (GB)</t>
  </si>
  <si>
    <t>% Left at Full Capacity</t>
  </si>
  <si>
    <t>Top Choice:</t>
  </si>
  <si>
    <t>Second Choice:</t>
  </si>
  <si>
    <t>Third Choice:</t>
  </si>
  <si>
    <t>GPU Quantity Max Per Server *</t>
  </si>
  <si>
    <t>Price Per Unit**</t>
  </si>
  <si>
    <t>**prices from Dell on 2019 deal</t>
  </si>
  <si>
    <t>Total Nvidia License Costs</t>
  </si>
  <si>
    <t>How Many VDI Profiles? (Max 10)</t>
  </si>
  <si>
    <t>How many profiles</t>
  </si>
  <si>
    <t>GPU Quantity Per Server</t>
  </si>
  <si>
    <t>GPU Total GB</t>
  </si>
  <si>
    <t>$7007.00 - $7014.00</t>
  </si>
  <si>
    <t>$3655.00 - $3662.00</t>
  </si>
  <si>
    <t>$3072.00 - $3078.00</t>
  </si>
  <si>
    <t>$2529.00 - $2537.00</t>
  </si>
  <si>
    <t>$2200.00 - $2205.00</t>
  </si>
  <si>
    <t>$2445.00 - $2451.00</t>
  </si>
  <si>
    <t>$2612.00 - $2618.00</t>
  </si>
  <si>
    <t>$2214.00 - $2220.00</t>
  </si>
  <si>
    <t>$1894.00 - $1900.00</t>
  </si>
  <si>
    <t>$1300.00 - $1306.00</t>
  </si>
  <si>
    <t>$1555.00 - $1561.00</t>
  </si>
  <si>
    <t>$1273.00 - $1280.00</t>
  </si>
  <si>
    <t>$694.00 - $704.00</t>
  </si>
  <si>
    <t>$501.00 - $511.00</t>
  </si>
  <si>
    <t>$417.00 - $428.00</t>
  </si>
  <si>
    <t>$306.00 - $317.00</t>
  </si>
  <si>
    <t>$213.00 - $224.00</t>
  </si>
  <si>
    <t>Unformatted Prices</t>
  </si>
  <si>
    <t>Fix Prices with Ranges</t>
  </si>
  <si>
    <t>Processor Graphics ‡</t>
  </si>
  <si>
    <t>Recommended Customer Price</t>
  </si>
  <si>
    <t>https://ark.intel.com/content/www/us/en/ark/products/197100/intel-xeon-silver-4214r-processor-16-5m-cache-2-40-ghz.html</t>
  </si>
  <si>
    <t>$694.00 - $705.00</t>
  </si>
  <si>
    <t>automatically pull down most recent list pricing for CPUs</t>
  </si>
  <si>
    <t>automatically pull down most recent pricing info for memory</t>
  </si>
  <si>
    <t>automatically pull down most recent pricing info for GPUs</t>
  </si>
  <si>
    <t>VDI Profile Requirements</t>
  </si>
  <si>
    <t>vCPUs</t>
  </si>
  <si>
    <t>Total vCPUs</t>
  </si>
  <si>
    <t>GB of RAM</t>
  </si>
  <si>
    <t>Total GB of Memory</t>
  </si>
  <si>
    <t>GB of vGPU</t>
  </si>
  <si>
    <t>Total GB of vGPU</t>
  </si>
  <si>
    <t>vGPU Profile (GB)s</t>
  </si>
  <si>
    <t>Server Options</t>
  </si>
  <si>
    <t>Recommended Option</t>
  </si>
  <si>
    <t>Second Option</t>
  </si>
  <si>
    <t>Third Option</t>
  </si>
  <si>
    <t>Servers</t>
  </si>
  <si>
    <t>Intel Xeon Processors</t>
  </si>
  <si>
    <t>Cores per Processor</t>
  </si>
  <si>
    <t>Cores in Total</t>
  </si>
  <si>
    <t>GHz Processor</t>
  </si>
  <si>
    <t>vCPU:pCPU ratio</t>
  </si>
  <si>
    <t>GPU Information</t>
  </si>
  <si>
    <t>GPUs in Total</t>
  </si>
  <si>
    <t>GPUs per Server</t>
  </si>
  <si>
    <t>GB of GPU Total</t>
  </si>
  <si>
    <t>GB of GPU Needed</t>
  </si>
  <si>
    <t>Option 1a:  24 DIMMs</t>
  </si>
  <si>
    <t>Option 1b:  12 DIMMs</t>
  </si>
  <si>
    <t>Option 2a:  24 DIMMs</t>
  </si>
  <si>
    <t>Option 2b:  12 DIMMs</t>
  </si>
  <si>
    <t>Option 3a:  24 DIMMs</t>
  </si>
  <si>
    <t>Option 3b:  12 DIMMs</t>
  </si>
  <si>
    <t>*see hyperlink at L2</t>
  </si>
  <si>
    <t>Example VDI Profile</t>
  </si>
  <si>
    <t>account for adding additional vdi hosts, or refreshing equipment (only account for greenfield at the moment)</t>
  </si>
  <si>
    <t>For comments, questions, bug findings, or feature suggestions, please contact me:</t>
  </si>
  <si>
    <t>This is intended to be a SALES / PRE-SALES scoping and selling tool.  Uses include:</t>
  </si>
  <si>
    <t>Brief walkthrough on using the tool:</t>
  </si>
  <si>
    <t>Roadmap</t>
  </si>
  <si>
    <t>Talbert Houle</t>
  </si>
  <si>
    <t>thoule@presidio.com</t>
  </si>
  <si>
    <t xml:space="preserve">Pricing Version:  </t>
  </si>
  <si>
    <t>Memory from deal with Dell in 2019</t>
  </si>
  <si>
    <t>CPU directly from Intel.com</t>
  </si>
  <si>
    <t>GPU from deal with Dell in 2019</t>
  </si>
  <si>
    <t>Welcome to the PRESIDIO VDI Sizing Calculator</t>
  </si>
  <si>
    <t>Get quick results on value of hardware for evaluated environment</t>
  </si>
  <si>
    <r>
      <t xml:space="preserve">Go from left to right and fill in </t>
    </r>
    <r>
      <rPr>
        <sz val="11"/>
        <rFont val="Calibri"/>
        <family val="2"/>
        <scheme val="minor"/>
      </rPr>
      <t>yellow</t>
    </r>
    <r>
      <rPr>
        <sz val="11"/>
        <color theme="1"/>
        <rFont val="Calibri"/>
        <family val="2"/>
        <scheme val="minor"/>
      </rPr>
      <t xml:space="preserve"> boxes with values</t>
    </r>
  </si>
  <si>
    <r>
      <rPr>
        <b/>
        <sz val="11"/>
        <color rgb="FFFF0000"/>
        <rFont val="Calibri"/>
        <family val="2"/>
        <scheme val="minor"/>
      </rPr>
      <t>WARNING</t>
    </r>
    <r>
      <rPr>
        <sz val="11"/>
        <color theme="1"/>
        <rFont val="Calibri"/>
        <family val="2"/>
        <scheme val="minor"/>
      </rPr>
      <t>: Pricing is meant to guide, so pay more attention to percentage differences, unless you want to go through pain of manually entering in pricing to match manufacturer and discount</t>
    </r>
  </si>
  <si>
    <t>Tool Release date: March 24, 2020</t>
  </si>
  <si>
    <t>Prerequisites</t>
  </si>
  <si>
    <t>Requirements:  Windows only, include Reference to "Microsoft Scripting Runtime" (Tools -&gt; References -&gt; Check Microsoft Scripting Runtime)</t>
  </si>
  <si>
    <t>Requirements:  JSON Parser installation needs to be added to project - https://github.com/VBA-tools/VBA-JSON - (Download latest release -&gt; Import JsonConverter.bas -&gt; File -&gt; Import File)</t>
  </si>
  <si>
    <t>Requirements:  Add a refernce to Microsoft WinHTTP Services 5.1.  (Tools -&gt; References -&gt; Check Microsoft WinHTTP Services 5.1)</t>
  </si>
  <si>
    <t>5218R</t>
  </si>
  <si>
    <t>Total Top Choice Server Costs</t>
  </si>
  <si>
    <t>Total 2nd Choice Server 2 Costs</t>
  </si>
  <si>
    <t>Total Top Choice Server 3 Costs</t>
  </si>
  <si>
    <t>Most Expensive</t>
  </si>
  <si>
    <t>Another example VDI Profile</t>
  </si>
  <si>
    <t>8268</t>
  </si>
  <si>
    <t>6240</t>
  </si>
  <si>
    <t>vGPU Profile Total Needed (GB)</t>
  </si>
  <si>
    <t>Version 0.7</t>
  </si>
  <si>
    <t>Total Profile Types</t>
  </si>
  <si>
    <t>Total 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</si>
</sst>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_(&quot;$&quot;* #,##0_);_(&quot;$&quot;* \(#,##0\);_(&quot;$&quot;* &quot;-&quot;??_);_(@_)"/>
    <numFmt numFmtId="166" formatCode="&quot;$&quot;#,##0.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1"/>
      <color theme="1"/>
      <name val="Bahnschrift"/>
      <family val="2"/>
    </font>
    <font>
      <b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20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0" borderId="0" xfId="0" applyFill="1" applyAlignment="1">
      <alignment wrapText="1"/>
    </xf>
    <xf numFmtId="44" fontId="0" fillId="0" borderId="0" xfId="1" applyFont="1" applyFill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left"/>
    </xf>
    <xf numFmtId="0" fontId="1" fillId="0" borderId="0" xfId="3" applyFill="1"/>
    <xf numFmtId="0" fontId="1" fillId="2" borderId="0" xfId="3" applyFill="1"/>
    <xf numFmtId="0" fontId="1" fillId="0" borderId="0" xfId="3"/>
    <xf numFmtId="44" fontId="1" fillId="0" borderId="0" xfId="3" applyNumberFormat="1" applyFill="1"/>
    <xf numFmtId="164" fontId="1" fillId="0" borderId="0" xfId="3" applyNumberFormat="1" applyFill="1"/>
    <xf numFmtId="0" fontId="1" fillId="0" borderId="0" xfId="3" applyFill="1" applyAlignment="1">
      <alignment horizontal="right"/>
    </xf>
    <xf numFmtId="0" fontId="1" fillId="2" borderId="0" xfId="3" applyFont="1" applyFill="1"/>
    <xf numFmtId="0" fontId="0" fillId="0" borderId="0" xfId="3" applyFont="1" applyFill="1"/>
    <xf numFmtId="0" fontId="0" fillId="0" borderId="0" xfId="3" applyFont="1" applyFill="1" applyAlignment="1">
      <alignment wrapText="1"/>
    </xf>
    <xf numFmtId="44" fontId="1" fillId="0" borderId="0" xfId="1" applyFill="1" applyAlignment="1">
      <alignment horizontal="right"/>
    </xf>
    <xf numFmtId="0" fontId="0" fillId="0" borderId="0" xfId="3" applyFont="1" applyFill="1" applyAlignment="1">
      <alignment horizontal="right"/>
    </xf>
    <xf numFmtId="44" fontId="1" fillId="0" borderId="0" xfId="1" applyFill="1"/>
    <xf numFmtId="9" fontId="1" fillId="0" borderId="0" xfId="2" applyFill="1"/>
    <xf numFmtId="165" fontId="0" fillId="0" borderId="0" xfId="1" applyNumberFormat="1" applyFont="1" applyFill="1"/>
    <xf numFmtId="165" fontId="1" fillId="0" borderId="0" xfId="1" applyNumberFormat="1" applyFill="1"/>
    <xf numFmtId="0" fontId="3" fillId="0" borderId="0" xfId="3" applyFont="1"/>
    <xf numFmtId="0" fontId="3" fillId="0" borderId="0" xfId="3" applyFont="1" applyFill="1"/>
    <xf numFmtId="44" fontId="0" fillId="0" borderId="0" xfId="4" applyFont="1"/>
    <xf numFmtId="0" fontId="5" fillId="0" borderId="1" xfId="3" applyFont="1" applyFill="1" applyBorder="1"/>
    <xf numFmtId="44" fontId="1" fillId="2" borderId="0" xfId="3" applyNumberFormat="1" applyFill="1"/>
    <xf numFmtId="0" fontId="3" fillId="0" borderId="0" xfId="3" applyFont="1" applyAlignment="1">
      <alignment wrapText="1"/>
    </xf>
    <xf numFmtId="9" fontId="0" fillId="0" borderId="0" xfId="0" applyNumberFormat="1"/>
    <xf numFmtId="44" fontId="0" fillId="0" borderId="0" xfId="0" applyNumberFormat="1" applyFill="1"/>
    <xf numFmtId="0" fontId="4" fillId="2" borderId="0" xfId="5" applyFill="1"/>
    <xf numFmtId="44" fontId="0" fillId="2" borderId="0" xfId="0" applyNumberFormat="1" applyFill="1"/>
    <xf numFmtId="0" fontId="0" fillId="2" borderId="0" xfId="0" applyFill="1" applyBorder="1"/>
    <xf numFmtId="0" fontId="0" fillId="0" borderId="0" xfId="0" applyNumberFormat="1"/>
    <xf numFmtId="0" fontId="2" fillId="4" borderId="3" xfId="0" applyFont="1" applyFill="1" applyBorder="1" applyAlignment="1">
      <alignment wrapText="1"/>
    </xf>
    <xf numFmtId="9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0" fontId="0" fillId="2" borderId="0" xfId="0" applyFill="1" applyAlignment="1"/>
    <xf numFmtId="0" fontId="0" fillId="0" borderId="0" xfId="0" applyAlignment="1"/>
    <xf numFmtId="0" fontId="2" fillId="4" borderId="2" xfId="0" applyFont="1" applyFill="1" applyBorder="1" applyAlignment="1">
      <alignment wrapText="1"/>
    </xf>
    <xf numFmtId="0" fontId="2" fillId="4" borderId="4" xfId="0" applyFont="1" applyFill="1" applyBorder="1" applyAlignment="1">
      <alignment wrapText="1"/>
    </xf>
    <xf numFmtId="1" fontId="0" fillId="0" borderId="0" xfId="0" applyNumberFormat="1" applyFill="1"/>
    <xf numFmtId="0" fontId="0" fillId="3" borderId="0" xfId="0" applyFill="1" applyAlignment="1">
      <alignment wrapText="1"/>
    </xf>
    <xf numFmtId="9" fontId="6" fillId="0" borderId="0" xfId="0" applyNumberFormat="1" applyFont="1" applyFill="1"/>
    <xf numFmtId="9" fontId="6" fillId="0" borderId="0" xfId="0" applyNumberFormat="1" applyFont="1" applyFill="1" applyAlignment="1">
      <alignment wrapText="1"/>
    </xf>
    <xf numFmtId="2" fontId="6" fillId="0" borderId="0" xfId="0" applyNumberFormat="1" applyFont="1" applyAlignment="1">
      <alignment wrapText="1"/>
    </xf>
    <xf numFmtId="44" fontId="6" fillId="0" borderId="0" xfId="0" applyNumberFormat="1" applyFont="1" applyFill="1"/>
    <xf numFmtId="9" fontId="6" fillId="0" borderId="0" xfId="2" applyFont="1" applyFill="1"/>
    <xf numFmtId="0" fontId="7" fillId="2" borderId="0" xfId="0" applyFont="1" applyFill="1"/>
    <xf numFmtId="2" fontId="0" fillId="0" borderId="0" xfId="0" applyNumberFormat="1" applyFont="1" applyAlignment="1">
      <alignment wrapText="1"/>
    </xf>
    <xf numFmtId="0" fontId="2" fillId="4" borderId="5" xfId="3" applyNumberFormat="1" applyFont="1" applyFill="1" applyBorder="1" applyAlignment="1">
      <alignment wrapText="1"/>
    </xf>
    <xf numFmtId="0" fontId="2" fillId="4" borderId="6" xfId="3" applyNumberFormat="1" applyFont="1" applyFill="1" applyBorder="1" applyAlignment="1">
      <alignment wrapText="1"/>
    </xf>
    <xf numFmtId="0" fontId="8" fillId="0" borderId="0" xfId="0" applyFont="1"/>
    <xf numFmtId="0" fontId="2" fillId="4" borderId="0" xfId="3" applyNumberFormat="1" applyFont="1" applyFill="1" applyAlignment="1">
      <alignment wrapText="1"/>
    </xf>
    <xf numFmtId="44" fontId="0" fillId="0" borderId="0" xfId="1" applyFont="1"/>
    <xf numFmtId="9" fontId="0" fillId="0" borderId="0" xfId="2" applyFont="1"/>
    <xf numFmtId="44" fontId="0" fillId="0" borderId="0" xfId="0" applyNumberFormat="1" applyFont="1" applyFill="1"/>
    <xf numFmtId="44" fontId="0" fillId="2" borderId="0" xfId="1" applyFont="1" applyFill="1"/>
    <xf numFmtId="9" fontId="0" fillId="0" borderId="0" xfId="2" applyFont="1" applyFill="1"/>
    <xf numFmtId="0" fontId="0" fillId="3" borderId="7" xfId="0" applyFill="1" applyBorder="1"/>
    <xf numFmtId="0" fontId="2" fillId="7" borderId="0" xfId="0" applyFont="1" applyFill="1"/>
    <xf numFmtId="0" fontId="10" fillId="2" borderId="0" xfId="0" applyFont="1" applyFill="1"/>
    <xf numFmtId="0" fontId="0" fillId="0" borderId="7" xfId="0" applyFill="1" applyBorder="1"/>
    <xf numFmtId="0" fontId="3" fillId="7" borderId="0" xfId="0" applyFont="1" applyFill="1"/>
    <xf numFmtId="0" fontId="0" fillId="0" borderId="8" xfId="0" applyFill="1" applyBorder="1"/>
    <xf numFmtId="0" fontId="0" fillId="3" borderId="8" xfId="0" applyFill="1" applyBorder="1"/>
    <xf numFmtId="0" fontId="0" fillId="3" borderId="7" xfId="0" applyNumberFormat="1" applyFill="1" applyBorder="1"/>
    <xf numFmtId="8" fontId="0" fillId="0" borderId="0" xfId="0" applyNumberFormat="1"/>
    <xf numFmtId="166" fontId="0" fillId="0" borderId="0" xfId="1" applyNumberFormat="1" applyFont="1"/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1" applyNumberFormat="1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 wrapText="1"/>
    </xf>
    <xf numFmtId="0" fontId="12" fillId="0" borderId="0" xfId="0" applyFont="1"/>
    <xf numFmtId="0" fontId="0" fillId="3" borderId="7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2" fontId="0" fillId="3" borderId="0" xfId="0" applyNumberFormat="1" applyFont="1" applyFill="1" applyAlignment="1" applyProtection="1">
      <alignment wrapText="1"/>
      <protection locked="0"/>
    </xf>
    <xf numFmtId="1" fontId="0" fillId="3" borderId="0" xfId="0" applyNumberFormat="1" applyFont="1" applyFill="1" applyAlignment="1" applyProtection="1">
      <alignment wrapText="1"/>
      <protection locked="0"/>
    </xf>
    <xf numFmtId="44" fontId="0" fillId="3" borderId="0" xfId="1" applyFont="1" applyFill="1" applyProtection="1">
      <protection locked="0"/>
    </xf>
    <xf numFmtId="0" fontId="0" fillId="8" borderId="9" xfId="0" applyFill="1" applyBorder="1" applyAlignment="1">
      <alignment horizontal="center"/>
    </xf>
    <xf numFmtId="0" fontId="0" fillId="8" borderId="0" xfId="0" applyFill="1" applyAlignment="1">
      <alignment horizontal="right"/>
    </xf>
    <xf numFmtId="0" fontId="2" fillId="7" borderId="7" xfId="0" applyFont="1" applyFill="1" applyBorder="1"/>
    <xf numFmtId="0" fontId="0" fillId="8" borderId="0" xfId="0" applyFill="1"/>
    <xf numFmtId="2" fontId="0" fillId="8" borderId="0" xfId="0" applyNumberFormat="1" applyFill="1" applyAlignment="1">
      <alignment horizontal="right"/>
    </xf>
    <xf numFmtId="0" fontId="0" fillId="7" borderId="0" xfId="0" applyFill="1"/>
    <xf numFmtId="0" fontId="13" fillId="7" borderId="0" xfId="0" applyFont="1" applyFill="1"/>
    <xf numFmtId="0" fontId="3" fillId="5" borderId="0" xfId="0" applyFont="1" applyFill="1" applyProtection="1"/>
    <xf numFmtId="0" fontId="0" fillId="2" borderId="0" xfId="0" applyFill="1" applyProtection="1"/>
    <xf numFmtId="0" fontId="0" fillId="0" borderId="0" xfId="0" applyProtection="1"/>
    <xf numFmtId="0" fontId="14" fillId="2" borderId="0" xfId="0" applyFont="1" applyFill="1"/>
    <xf numFmtId="0" fontId="15" fillId="2" borderId="0" xfId="0" applyFont="1" applyFill="1"/>
    <xf numFmtId="0" fontId="6" fillId="2" borderId="0" xfId="0" applyFont="1" applyFill="1"/>
    <xf numFmtId="0" fontId="3" fillId="7" borderId="10" xfId="0" applyFont="1" applyFill="1" applyBorder="1"/>
    <xf numFmtId="0" fontId="3" fillId="7" borderId="11" xfId="0" applyFont="1" applyFill="1" applyBorder="1"/>
    <xf numFmtId="0" fontId="3" fillId="7" borderId="12" xfId="0" applyFont="1" applyFill="1" applyBorder="1"/>
    <xf numFmtId="0" fontId="3" fillId="7" borderId="1" xfId="0" applyFont="1" applyFill="1" applyBorder="1"/>
    <xf numFmtId="0" fontId="3" fillId="7" borderId="13" xfId="0" applyFont="1" applyFill="1" applyBorder="1"/>
    <xf numFmtId="0" fontId="3" fillId="7" borderId="14" xfId="0" applyFont="1" applyFill="1" applyBorder="1"/>
    <xf numFmtId="0" fontId="3" fillId="7" borderId="9" xfId="0" applyFont="1" applyFill="1" applyBorder="1"/>
    <xf numFmtId="0" fontId="3" fillId="7" borderId="15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18" fillId="2" borderId="0" xfId="5" applyFont="1" applyFill="1" applyBorder="1"/>
    <xf numFmtId="0" fontId="3" fillId="7" borderId="0" xfId="0" applyFont="1" applyFill="1" applyBorder="1"/>
    <xf numFmtId="0" fontId="2" fillId="7" borderId="0" xfId="0" applyFont="1" applyFill="1" applyBorder="1"/>
    <xf numFmtId="0" fontId="17" fillId="7" borderId="0" xfId="0" applyFont="1" applyFill="1" applyBorder="1"/>
    <xf numFmtId="0" fontId="18" fillId="7" borderId="0" xfId="5" applyFont="1" applyFill="1" applyBorder="1"/>
    <xf numFmtId="0" fontId="2" fillId="7" borderId="9" xfId="0" applyFont="1" applyFill="1" applyBorder="1"/>
    <xf numFmtId="0" fontId="17" fillId="7" borderId="9" xfId="0" applyFont="1" applyFill="1" applyBorder="1"/>
    <xf numFmtId="1" fontId="0" fillId="3" borderId="0" xfId="0" applyNumberFormat="1" applyFont="1" applyFill="1" applyAlignment="1">
      <alignment wrapText="1"/>
    </xf>
    <xf numFmtId="9" fontId="0" fillId="2" borderId="0" xfId="0" applyNumberFormat="1" applyFill="1"/>
    <xf numFmtId="0" fontId="3" fillId="6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8" fillId="2" borderId="0" xfId="0" applyFont="1" applyFill="1"/>
    <xf numFmtId="2" fontId="0" fillId="2" borderId="0" xfId="1" applyNumberFormat="1" applyFont="1" applyFill="1" applyAlignment="1">
      <alignment horizontal="right"/>
    </xf>
  </cellXfs>
  <cellStyles count="6">
    <cellStyle name="Currency" xfId="1" builtinId="4"/>
    <cellStyle name="Currency 2" xfId="4" xr:uid="{A596962B-A32D-4DDB-9FD1-FBA92A699B99}"/>
    <cellStyle name="Hyperlink" xfId="5" builtinId="8"/>
    <cellStyle name="Normal" xfId="0" builtinId="0"/>
    <cellStyle name="Normal 4" xfId="3" xr:uid="{D4B62249-281D-47EE-AEB6-55166EE9F7C5}"/>
    <cellStyle name="Percent" xfId="2" builtinId="5"/>
  </cellStyles>
  <dxfs count="12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/>
      </font>
      <numFmt numFmtId="13" formatCode="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numFmt numFmtId="0" formatCode="General"/>
    </dxf>
    <dxf>
      <numFmt numFmtId="13" formatCode="0%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0</xdr:row>
          <xdr:rowOff>95250</xdr:rowOff>
        </xdr:from>
        <xdr:to>
          <xdr:col>6</xdr:col>
          <xdr:colOff>895350</xdr:colOff>
          <xdr:row>2</xdr:row>
          <xdr:rowOff>76200</xdr:rowOff>
        </xdr:to>
        <xdr:sp macro="" textlink="">
          <xdr:nvSpPr>
            <xdr:cNvPr id="15361" name="Button 1" descr="Update Processor Informatio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Processors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1073150</xdr:colOff>
          <xdr:row>30</xdr:row>
          <xdr:rowOff>177800</xdr:rowOff>
        </xdr:from>
        <xdr:to>
          <xdr:col>6</xdr:col>
          <xdr:colOff>1187450</xdr:colOff>
          <xdr:row>32</xdr:row>
          <xdr:rowOff>44450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638C01-F839-4CDD-A545-3803F78F504F}" autoFormatId="16" applyNumberFormats="0" applyBorderFormats="0" applyFontFormats="0" applyPatternFormats="0" applyAlignmentFormats="0" applyWidthHeightFormats="0">
  <queryTableRefresh nextId="13">
    <queryTableFields count="10">
      <queryTableField id="1" name="Product Name" tableColumnId="1"/>
      <queryTableField id="2" name="Status" tableColumnId="2"/>
      <queryTableField id="3" name="Launch Date" tableColumnId="3"/>
      <queryTableField id="4" name="# of Cores" tableColumnId="4"/>
      <queryTableField id="5" name="Max Turbo Frequency" tableColumnId="5"/>
      <queryTableField id="6" name="Processor Base Frequency" tableColumnId="6"/>
      <queryTableField id="7" name="Cache" tableColumnId="7"/>
      <queryTableField id="9" name="Processor Graphics ‡" tableColumnId="9"/>
      <queryTableField id="10" name="Recommended Customer Price" tableColumnId="10"/>
      <queryTableField id="8" name="Compare All | None" tableColumnId="8"/>
    </queryTableFields>
  </queryTableRefresh>
  <extLst>
    <ext xmlns:x15="http://schemas.microsoft.com/office/spreadsheetml/2010/11/main" uri="{883FBD77-0823-4a55-B5E3-86C4891E6966}">
      <x15:queryTable sourceDataName="Query - Intel DB"/>
    </ext>
  </extLst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43CD20-4ECD-4890-914B-351C2F757956}" name="Table1" displayName="Table1" ref="A3:H13" totalsRowShown="0">
  <autoFilter ref="A3:H13" xr:uid="{4035A12D-DC9A-421E-A7DE-F0580511C5BF}"/>
  <tableColumns count="8">
    <tableColumn id="1" xr3:uid="{99722EAD-2771-49A9-B817-CBBB89F6726B}" name="Profile Group" dataDxfId="122"/>
    <tableColumn id="3" xr3:uid="{311CF18D-4661-421E-8836-0AE43D17C1E0}" name="vCPU" dataDxfId="121"/>
    <tableColumn id="4" xr3:uid="{AD5ACA4B-CC20-4A8B-9DF5-B4B61FC159D9}" name="Memory (GB)" dataDxfId="120"/>
    <tableColumn id="5" xr3:uid="{565F6679-E8FE-4370-9246-4B2E2E599DB2}" name="vGPU Profile (GB)s" dataDxfId="119"/>
    <tableColumn id="6" xr3:uid="{36E7AF5F-0DF7-42C9-AC37-04A634CF0219}" name="Quantity" dataDxfId="118"/>
    <tableColumn id="8" xr3:uid="{ACA1501E-D2DD-4523-9CAD-419B713810E0}" name="Total vCPU Requirement" dataDxfId="117">
      <calculatedColumnFormula>B4*E4</calculatedColumnFormula>
    </tableColumn>
    <tableColumn id="9" xr3:uid="{70186325-1A6F-486C-9F54-3FF6CB84A7A0}" name="Total Memory Requirement" dataDxfId="116"/>
    <tableColumn id="10" xr3:uid="{424DC4F1-D22C-4719-8209-8DEE8B18BBC0}" name="Total vGPU Requirement (GB)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3F0167-EE6E-4443-A4A1-D2E998B0E714}" name="Table11" displayName="Table11" ref="A4:O300" totalsRowShown="0" headerRowDxfId="114" headerRowCellStyle="Normal 4">
  <autoFilter ref="A4:O300" xr:uid="{965EDEC4-B824-49E6-A7C0-307F1994EA05}">
    <filterColumn colId="6">
      <customFilters>
        <customFilter operator="notEqual" val=" "/>
      </customFilters>
    </filterColumn>
  </autoFilter>
  <sortState xmlns:xlrd2="http://schemas.microsoft.com/office/spreadsheetml/2017/richdata2" ref="A5:O77">
    <sortCondition descending="1" ref="B4:B300"/>
  </sortState>
  <tableColumns count="15">
    <tableColumn id="1" xr3:uid="{1265603B-E31C-4C04-93E2-05507A129E5D}" name="Product Name"/>
    <tableColumn id="11" xr3:uid="{75299022-8D99-4F27-9799-0A4FECE73913}" name="Processor Model" dataDxfId="113"/>
    <tableColumn id="2" xr3:uid="{F5EA1358-3AA6-47A9-A672-AF35958FC494}" name="Cores"/>
    <tableColumn id="3" xr3:uid="{4F14EFFC-187A-4E9F-823D-05C3C53AA3FB}" name="Speed (GHz)"/>
    <tableColumn id="4" xr3:uid="{C459691D-8CDD-4BAE-AFEC-A65B877A1FF2}" name="List Price*" dataDxfId="112" dataCellStyle="Currency">
      <calculatedColumnFormula>IF(O5 = 0,"",O5)</calculatedColumnFormula>
    </tableColumn>
    <tableColumn id="5" xr3:uid="{E6448A6F-E1F7-4408-A5C1-2763B08D6EE2}" name="Cost Per Core" dataCellStyle="Currency"/>
    <tableColumn id="6" xr3:uid="{83BBA1A9-1C3E-4973-AC69-626931BDB09C}" name="Capacity Per Socket (GHz)"/>
    <tableColumn id="7" xr3:uid="{AC6B94CD-7018-468F-AB44-9A054A6864FA}" name="Capacity per Server (GHz) (assuming 2 sockets)"/>
    <tableColumn id="8" xr3:uid="{E4AE8871-F79B-48CE-A756-2731876935CB}" name="Cost per GHz" dataCellStyle="Currency"/>
    <tableColumn id="9" xr3:uid="{1595822C-C7B8-4EEC-ACFE-958964A8BB59}" name="Percent Less than most expensive"/>
    <tableColumn id="10" xr3:uid="{426867D6-9F6B-477D-9BDA-69F07D36AAF1}" name="Processor Details"/>
    <tableColumn id="13" xr3:uid="{D9BFF484-B88D-40FF-B7D0-26981101156E}" name="Position of 1st digit"/>
    <tableColumn id="12" xr3:uid="{A0EC8C38-848E-42C5-9C98-F98E78124778}" name="Intel Product ID"/>
    <tableColumn id="15" xr3:uid="{83FE5C61-141F-4EEC-94DF-059567B39D72}" name="Unformatted Prices"/>
    <tableColumn id="16" xr3:uid="{395E015F-6F19-48AE-AE76-B9213EBB1E4B}" name="Fix Prices with Rang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3D8EC0-327A-4112-B349-342C48DA82BB}" name="Table157" displayName="Table157" ref="A1:T7" totalsRowShown="0" headerRowDxfId="111" dataDxfId="109" headerRowBorderDxfId="110">
  <autoFilter ref="A1:T7" xr:uid="{7A1822BF-7622-4121-A31F-8444EE61CB00}">
    <filterColumn colId="2">
      <filters>
        <filter val="6254"/>
        <filter val="8268"/>
      </filters>
    </filterColumn>
  </autoFilter>
  <tableColumns count="20">
    <tableColumn id="1" xr3:uid="{E48FB021-747C-4046-916D-9D5459569BF7}" name="Server Profile" dataDxfId="108"/>
    <tableColumn id="2" xr3:uid="{779A5014-4281-497E-83A1-D0EF84FB3F1E}" name="Server Quantity" dataDxfId="107"/>
    <tableColumn id="3" xr3:uid="{88FC83AB-B91B-4C1D-8D21-8CBBDA95F198}" name="Processor" dataDxfId="106"/>
    <tableColumn id="4" xr3:uid="{A7FB64B4-EB3A-46F3-9D47-5A97CEDBFE06}" name="Total Processor Quantity" dataDxfId="105">
      <calculatedColumnFormula>2*B2</calculatedColumnFormula>
    </tableColumn>
    <tableColumn id="5" xr3:uid="{FD483673-DB45-4DCF-9339-A84B97249F1E}" name="Cores per Socket" dataDxfId="104"/>
    <tableColumn id="6" xr3:uid="{5080348F-06A1-456C-9CED-EC92ACB7F28F}" name="Total Cores" dataDxfId="103">
      <calculatedColumnFormula>D2*E2</calculatedColumnFormula>
    </tableColumn>
    <tableColumn id="7" xr3:uid="{21B10010-C49C-41D8-A1DE-E64DDC7BE6CF}" name="Core GHz" dataDxfId="102"/>
    <tableColumn id="8" xr3:uid="{EEE101D8-9725-4FAC-9FAD-A8007E68DE84}" name="Total GHz" dataDxfId="101">
      <calculatedColumnFormula>F2*G2</calculatedColumnFormula>
    </tableColumn>
    <tableColumn id="12" xr3:uid="{127E4D32-944A-4891-A745-5F3331CEA223}" name="vCPU:pCPU Ratio" dataDxfId="100">
      <calculatedColumnFormula>'VDI Profiles'!$F$4/Table157[[#This Row],[Total Cores]]</calculatedColumnFormula>
    </tableColumn>
    <tableColumn id="19" xr3:uid="{97C40974-2F91-4619-AFF0-459BECFFE0FA}" name="Memory (DIMM) Type" dataDxfId="99"/>
    <tableColumn id="21" xr3:uid="{60537933-330F-4ED6-BA5D-419849068160}" name="Memory (DIMM) Size" dataDxfId="98"/>
    <tableColumn id="20" xr3:uid="{26DB7A22-65FA-475E-925C-7ADD7FE0BFE9}" name="Memory (DIMM) Quantity" dataDxfId="97"/>
    <tableColumn id="10" xr3:uid="{B44729B3-6286-4B2B-B50C-7853B6509BE8}" name="Total Memory (GB)" dataDxfId="96"/>
    <tableColumn id="9" xr3:uid="{590DF599-2108-4ED7-994D-A311DD0EED08}" name="Required Memory (GB)" dataDxfId="95"/>
    <tableColumn id="11" xr3:uid="{E7436851-A3BF-4ECA-974C-78BE8785E250}" name="% Left at Full Capacity" dataDxfId="94" dataCellStyle="Percent"/>
    <tableColumn id="14" xr3:uid="{C811ED79-490F-4E25-93F7-E1DE54BB99C4}" name="Total Processor Costs (List)" dataDxfId="93" dataCellStyle="Currency"/>
    <tableColumn id="15" xr3:uid="{F59BD3D5-250F-44F3-8BAB-F6C0269C30B9}" name="Total Memory Costs (List)" dataDxfId="92"/>
    <tableColumn id="16" xr3:uid="{540DDCDF-0564-43A9-B5A8-C9BA6C37AECD}" name="Total (proc &amp; mem)" dataDxfId="91">
      <calculatedColumnFormula>Table157[[#This Row],[Total Processor Costs (List)]]+Table157[[#This Row],[Total Memory Costs (List)]]</calculatedColumnFormula>
    </tableColumn>
    <tableColumn id="18" xr3:uid="{0AF9192D-00AD-4D74-BA78-0D454F809BC8}" name="% Lower than Most Expensive" dataDxfId="90">
      <calculatedColumnFormula>($R$6/R2)-1</calculatedColumnFormula>
    </tableColumn>
    <tableColumn id="17" xr3:uid="{2C0B5325-B900-4597-81A9-5CC27DDC5DB3}" name="Summary" dataDxfId="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BA85C85-950B-4728-AE82-226C5798FC1C}" name="Table14" displayName="Table14" ref="A2:M3" totalsRowShown="0" headerRowDxfId="88">
  <autoFilter ref="A2:M3" xr:uid="{2698285C-848F-4646-AEAA-EF9F7D34A90E}"/>
  <tableColumns count="13">
    <tableColumn id="1" xr3:uid="{67515C1A-D079-41E2-8759-0015C0BFE964}" name="Server Model"/>
    <tableColumn id="2" xr3:uid="{1A22E740-1A3D-4BCE-B631-A7153FD59755}" name="Server Quantity"/>
    <tableColumn id="3" xr3:uid="{F53E6058-D757-46C8-9245-54379D3B1313}" name="Processor"/>
    <tableColumn id="4" xr3:uid="{E69A4AE7-204B-410A-B72D-DCD267DC1C70}" name="Total Processor Quantity"/>
    <tableColumn id="5" xr3:uid="{3DDC63B3-10FE-489B-B250-81071314D447}" name="Cores per Socket"/>
    <tableColumn id="6" xr3:uid="{1A65F939-52D7-44C5-AEAC-1866296AC19C}" name="Total Cores"/>
    <tableColumn id="7" xr3:uid="{7D240425-0FFF-4613-9793-EB6A888F8167}" name="Core GHz"/>
    <tableColumn id="8" xr3:uid="{B69E35AD-836A-4502-BA38-B58D89EF02ED}" name="Total GHz"/>
    <tableColumn id="9" xr3:uid="{02ECC1F2-94B1-4EFC-90AE-02B719D69DA7}" name="Processor Utilization (Cluster)" dataDxfId="87"/>
    <tableColumn id="10" xr3:uid="{E9DFAC1A-F69E-4AD3-8331-6030268ED6A3}" name="Total Memory (GB)" dataDxfId="86"/>
    <tableColumn id="11" xr3:uid="{2A8C59D5-C7A5-4C81-94FA-D699BD56E24B}" name="Memory Utilization" dataDxfId="85"/>
    <tableColumn id="12" xr3:uid="{251F2398-D4FA-4B3B-9AB7-5CBD30E0AD25}" name="vCPU:pCPU Ratio" dataDxfId="84">
      <calculatedColumnFormula>250*Table1[[#This Row],[vCPU]]/F3</calculatedColumnFormula>
    </tableColumn>
    <tableColumn id="13" xr3:uid="{C1BA5633-AF08-448D-B669-C7DD97F3C945}" name="Notes" dataDxfId="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B1569F-8613-4D92-ADC5-43EB14CDA4A0}" name="Table15" displayName="Table15" ref="A6:R12" totalsRowShown="0" headerRowDxfId="82" dataDxfId="80" headerRowBorderDxfId="81">
  <autoFilter ref="A6:R12" xr:uid="{7A1822BF-7622-4121-A31F-8444EE61CB00}">
    <filterColumn colId="2">
      <filters>
        <filter val="6254"/>
        <filter val="8268"/>
      </filters>
    </filterColumn>
    <filterColumn colId="12">
      <filters>
        <filter val="(12) 64GB DIMMs for 768GB per host"/>
      </filters>
    </filterColumn>
  </autoFilter>
  <tableColumns count="18">
    <tableColumn id="1" xr3:uid="{3596FC2F-1EBF-4A82-B3FA-93D2F26809E6}" name="Server Model" dataDxfId="79"/>
    <tableColumn id="2" xr3:uid="{962014D9-5673-4C40-86E8-367BF9FC5FFD}" name="Server Quantity" dataDxfId="78"/>
    <tableColumn id="3" xr3:uid="{CB2787B8-A3B5-42E9-B7D1-497A513D1E04}" name="Processor" dataDxfId="77"/>
    <tableColumn id="4" xr3:uid="{14BFC9CC-50A9-49F1-81B5-29D9D5A039D3}" name="Total Processor Quantity" dataDxfId="76"/>
    <tableColumn id="5" xr3:uid="{23391119-E0A4-4064-8ECC-EBB63E03B90B}" name="Cores per Socket" dataDxfId="75"/>
    <tableColumn id="6" xr3:uid="{64C7B89F-DDC1-4ADD-A786-28F30E748876}" name="Total Cores" dataDxfId="74"/>
    <tableColumn id="7" xr3:uid="{239537BD-1EAC-499F-B9E7-BB7FB5B0F9C5}" name="Core GHz" dataDxfId="73"/>
    <tableColumn id="8" xr3:uid="{8353507A-5BF4-4ED3-BB7B-E7E683F5BC39}" name="Total GHz" dataDxfId="72"/>
    <tableColumn id="9" xr3:uid="{91A6AF94-8110-4E9A-95BA-436DDAF9DE60}" name="Estimated Processor Utilization" dataDxfId="71"/>
    <tableColumn id="10" xr3:uid="{3EC99ED6-D9F2-4E59-8D55-D5D9AD88E2DF}" name="Total Memory (GB)" dataDxfId="70"/>
    <tableColumn id="11" xr3:uid="{AD1FD066-685E-46B3-8209-D53D4DC0594C}" name="Estimated Memory Utilization" dataDxfId="69"/>
    <tableColumn id="12" xr3:uid="{1C168EF1-24A1-42BD-931C-6F9C65D219ED}" name="vCPU:pCPU Ratio (assuming 250 users)" dataDxfId="68"/>
    <tableColumn id="13" xr3:uid="{6CEDBF18-8DC0-446D-ACA7-BD23EA708DCA}" name="Notes" dataDxfId="67"/>
    <tableColumn id="14" xr3:uid="{7412BFE8-C038-4D5C-A987-2F99A4F2A918}" name="Total Processor Costs (List)" dataDxfId="66" dataCellStyle="Currency"/>
    <tableColumn id="15" xr3:uid="{3E8FE797-CBC6-4C53-B0B1-BF9F9FD6894B}" name="Total Memory Costs (List)" dataDxfId="65"/>
    <tableColumn id="16" xr3:uid="{E81D5B6E-8659-484B-A5BA-1FA57CD81CAF}" name="Total (proc &amp; mem)" dataDxfId="64"/>
    <tableColumn id="18" xr3:uid="{B933C7B4-A5B8-415C-B725-967B60A911F2}" name="% Lower than Most Expensive" dataDxfId="63"/>
    <tableColumn id="17" xr3:uid="{3BFA63C1-9AA4-4E82-ADFC-F046826EC5BD}" name="Summary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99E372-499C-468E-8FEA-C048D9661C93}" name="Table46" displayName="Table46" ref="A1:J6" totalsRowShown="0" headerRowDxfId="61" dataDxfId="60">
  <autoFilter ref="A1:J6" xr:uid="{4CDC5783-7E41-48B1-9566-C6F71CF5D21F}"/>
  <tableColumns count="10">
    <tableColumn id="1" xr3:uid="{A1B09F89-D94F-4BB3-BEEC-8E067320E7EB}" name="Graphics Card Type" dataDxfId="59"/>
    <tableColumn id="2" xr3:uid="{965C6035-A819-4DC7-A311-750F4A4DD1AC}" name="Memory /Card (GB)" dataDxfId="58"/>
    <tableColumn id="3" xr3:uid="{0AFAD525-F4C5-4E3F-8467-F8EBC3A0457E}" name="CUDA Cores" dataDxfId="57"/>
    <tableColumn id="4" xr3:uid="{59A01C16-9687-4747-B241-ED75D35E6F8D}" name="Power (W)" dataDxfId="56"/>
    <tableColumn id="5" xr3:uid="{F4A818EC-ED4A-4994-8DDE-20729B23957F}" name="Thermal" dataDxfId="55"/>
    <tableColumn id="6" xr3:uid="{0B37760C-DFEB-4A62-A653-CEB7C4FAE068}" name="GPU Quantity Max Per Server *" dataDxfId="54"/>
    <tableColumn id="7" xr3:uid="{5879F919-CE6F-45B9-84EC-96F57DE01FB5}" name="Price Per Unit**" dataDxfId="53" dataCellStyle="Currency"/>
    <tableColumn id="8" xr3:uid="{D946C542-BD22-423B-A3D9-37FEF00D73DA}" name="Total GPU Cost" dataDxfId="52"/>
    <tableColumn id="9" xr3:uid="{D707C3B5-1D95-46AD-A5E2-0073074D2C26}" name="Profile Options (GB)" dataDxfId="51"/>
    <tableColumn id="10" xr3:uid="{0E2833DB-2180-4CDE-85CD-A69396CF14CB}" name="Cost Per User (using lowest profile)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62B9F2-284C-4222-B358-D042C871DE91}" name="Table7" displayName="Table7" ref="A10:I13" totalsRowShown="0" headerRowDxfId="49" dataDxfId="48">
  <autoFilter ref="A10:I13" xr:uid="{05A60EBC-D86A-4C14-9E84-847F3F948894}"/>
  <tableColumns count="9">
    <tableColumn id="1" xr3:uid="{EFC8BFF7-D48C-4AA9-AD28-FC2E4FA91B41}" name="Server Profile" dataDxfId="47">
      <calculatedColumnFormula>#REF!</calculatedColumnFormula>
    </tableColumn>
    <tableColumn id="2" xr3:uid="{E68286ED-5FB5-479F-BAC2-0673E62CB6B6}" name="Server Quantity" dataDxfId="46"/>
    <tableColumn id="3" xr3:uid="{78C16F1D-6771-488E-97E5-3D326D6D6920}" name="GPU" dataDxfId="45"/>
    <tableColumn id="4" xr3:uid="{F9EA225F-8FCF-4A71-BC00-23527965BC17}" name="GPU Quantity Per Server" dataDxfId="44"/>
    <tableColumn id="5" xr3:uid="{5566D200-B0C1-460E-AA17-8FFFBB266CC5}" name="GPU Total GB" dataDxfId="43">
      <calculatedColumnFormula>'VDI Profiles'!D4</calculatedColumnFormula>
    </tableColumn>
    <tableColumn id="6" xr3:uid="{7AAE1027-E78A-4418-B596-3ECABFD15983}" name="vGPU Profile Total Needed (GB)" dataDxfId="42">
      <calculatedColumnFormula>(B4/E11)*D11</calculatedColumnFormula>
    </tableColumn>
    <tableColumn id="7" xr3:uid="{9B5D1289-3EF9-40F5-ABF5-6FF6FF83BD88}" name="Total GPU Cost" dataDxfId="41">
      <calculatedColumnFormula>F4*C11</calculatedColumnFormula>
    </tableColumn>
    <tableColumn id="8" xr3:uid="{361F21BD-D5F1-49BB-995B-70FFAA5CA5E7}" name="Total Nvidia License Costs" dataDxfId="40" dataCellStyle="Currency">
      <calculatedColumnFormula>370*158</calculatedColumnFormula>
    </tableColumn>
    <tableColumn id="9" xr3:uid="{24481907-0EB1-4F8B-BC10-06DA669B692A}" name="Total Nvidia Cost" dataDxfId="39" dataCellStyle="Currency">
      <calculatedColumnFormula>Table7[[#This Row],[Total Nvidia License Costs]]+Table7[[#This Row],[Total Nvidia Cost]]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4D9D46-24BE-45C9-87D2-831EA706473C}" name="Table12" displayName="Table12" ref="A1:J28" totalsRowShown="0" headerRowDxfId="38" dataDxfId="37">
  <autoFilter ref="A1:J28" xr:uid="{AA55C7A5-31FB-4EA8-9A38-3B0982CF26BB}"/>
  <sortState xmlns:xlrd2="http://schemas.microsoft.com/office/spreadsheetml/2017/richdata2" ref="A2:J27">
    <sortCondition descending="1" ref="H1:H27"/>
  </sortState>
  <tableColumns count="10">
    <tableColumn id="9" xr3:uid="{FA093C06-4071-488F-84AC-2FBEF60C9925}" name="Processor Identifier" dataDxfId="36"/>
    <tableColumn id="1" xr3:uid="{C40F7074-5E72-4D1B-A2ED-908D5F8FCBEC}" name="Processor Name" dataDxfId="35"/>
    <tableColumn id="2" xr3:uid="{A5189DAC-6574-4435-8F76-415BC6F782E6}" name="Cores" dataDxfId="34"/>
    <tableColumn id="3" xr3:uid="{0572CED5-D15C-48BE-83AD-FB65777AFF51}" name="Speed (GHz)" dataDxfId="33"/>
    <tableColumn id="5" xr3:uid="{B012D7E1-FF7F-49F8-8443-41F81E3C29E4}" name="List Price" dataDxfId="32" dataCellStyle="Currency"/>
    <tableColumn id="6" xr3:uid="{F22D0000-7771-4460-B40F-3877142CB945}" name="Cost Per Core" dataDxfId="31">
      <calculatedColumnFormula>Table12[[#This Row],[List Price]]/Table12[[#This Row],[Cores]]</calculatedColumnFormula>
    </tableColumn>
    <tableColumn id="7" xr3:uid="{9557F42F-43BF-46B2-B2B2-C0F728F8560D}" name="Capacity Per Socket (GHz)" dataDxfId="30"/>
    <tableColumn id="4" xr3:uid="{46B13D4D-8658-4584-8EA7-937C12FD209D}" name="Capacity per Server (GHz) (assuming 2 sockets)" dataDxfId="29"/>
    <tableColumn id="8" xr3:uid="{100EA455-DBE5-451B-ADCD-B9B952E84318}" name="Cost per GHz" dataDxfId="28"/>
    <tableColumn id="10" xr3:uid="{45B67C9F-F4F7-4F07-A70B-766C91A218BE}" name="Percent Less than most expensive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0B269B-C9D7-490F-BF84-724AE1D1A41A}" name="Table218" displayName="Table218" ref="A1:P10" totalsRowShown="0" headerRowDxfId="26">
  <autoFilter ref="A1:P10" xr:uid="{0E14A21D-C2C1-4447-81E8-4591508671F4}"/>
  <tableColumns count="16">
    <tableColumn id="16" xr3:uid="{5A7B3FC5-B801-43E9-9498-58B270C0DE34}" name="Memory Identifier"/>
    <tableColumn id="1" xr3:uid="{DDFAE511-1F93-4E55-85E6-38847F44B59F}" name="Memory Type"/>
    <tableColumn id="2" xr3:uid="{6B6EDB76-1F43-404F-8A08-07B3550FF76E}" name="Memory Size"/>
    <tableColumn id="3" xr3:uid="{22DD6049-9281-4497-9B4F-63CF14DF6068}" name="Quantity"/>
    <tableColumn id="4" xr3:uid="{9079EBD0-0BA7-4EAB-A654-7BEAF22470AA}" name="Memory Total">
      <calculatedColumnFormula>C2*D2</calculatedColumnFormula>
    </tableColumn>
    <tableColumn id="5" xr3:uid="{2A2BD153-C95A-473A-8C07-13B31B7534B9}" name="List Price /per"/>
    <tableColumn id="6" xr3:uid="{B2D19728-9F2B-44B5-B59F-DEC6CC9D52D4}" name="List Price Total">
      <calculatedColumnFormula>F2*D2</calculatedColumnFormula>
    </tableColumn>
    <tableColumn id="14" xr3:uid="{959A8A7A-16D8-4C72-9201-824697C16065}" name="Cost per GB" dataDxfId="25">
      <calculatedColumnFormula>G2/E2</calculatedColumnFormula>
    </tableColumn>
    <tableColumn id="7" xr3:uid="{F76123DA-5A65-4E81-ACE7-726C7E97EE14}" name="Proc Requirement"/>
    <tableColumn id="8" xr3:uid="{731247FF-5256-4089-87C5-00CEA6539ADD}" name="Dependent Memory Type"/>
    <tableColumn id="9" xr3:uid="{3D7ADEE7-2781-49C0-A66D-504B6D5B7D0E}" name="Dependent Memory Size (minimum)"/>
    <tableColumn id="10" xr3:uid="{F8E3B6F4-3BD6-4BF1-A3C9-2B6E7353F85F}" name="Dependent Memory Quantity"/>
    <tableColumn id="11" xr3:uid="{C08462E3-B5D2-4D71-B8F4-E3E6B30C7D1A}" name="List Price /per DIMM"/>
    <tableColumn id="12" xr3:uid="{202B2031-2919-42A2-AFC3-BE2C238E3C8A}" name="List Price Total Dependent "/>
    <tableColumn id="13" xr3:uid="{3EEFCA41-0241-440A-8EB1-0B3A3A4ADDFA}" name="Total Cost" dataDxfId="24">
      <calculatedColumnFormula>G2+N2</calculatedColumnFormula>
    </tableColumn>
    <tableColumn id="15" xr3:uid="{F163612E-5A42-442C-A29E-4A87F9FB5391}" name="Total Cost per GB" dataDxfId="23">
      <calculatedColumnFormula>O2/E2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7708CF-A0F4-4BA5-992D-7FCA313CAB31}" name="Intel_DB_Cores_Speed" displayName="Intel_DB_Cores_Speed" ref="A1:J74" tableType="queryTable" totalsRowShown="0">
  <autoFilter ref="A1:J74" xr:uid="{8D9A0C6E-23AA-4DCA-AE86-4C33A34FAD23}"/>
  <tableColumns count="10">
    <tableColumn id="1" xr3:uid="{38C9A84F-C885-436A-AC87-7B68F12C929F}" uniqueName="1" name="Product Name" queryTableFieldId="1" dataDxfId="22"/>
    <tableColumn id="2" xr3:uid="{A5E0B106-3C50-4E15-BEE3-6A3362C175D2}" uniqueName="2" name="Status" queryTableFieldId="2" dataDxfId="21"/>
    <tableColumn id="3" xr3:uid="{4C3AB56A-94E2-4279-9950-CD81ACC12B8C}" uniqueName="3" name="Launch Date" queryTableFieldId="3" dataDxfId="20"/>
    <tableColumn id="4" xr3:uid="{A6317BDC-43B0-474C-9CA5-3C00294D005E}" uniqueName="4" name="# of Cores" queryTableFieldId="4"/>
    <tableColumn id="5" xr3:uid="{449D5A2A-6497-49DB-B730-BDB54338373D}" uniqueName="5" name="Max Turbo Frequency" queryTableFieldId="5" dataDxfId="19"/>
    <tableColumn id="6" xr3:uid="{51178AC5-9246-4BCE-AB46-D9066CD96F40}" uniqueName="6" name="Processor Base Frequency" queryTableFieldId="6" dataDxfId="18"/>
    <tableColumn id="7" xr3:uid="{C3C46B4D-DB9E-420F-9FC1-C3882CFC7FCD}" uniqueName="7" name="Cache" queryTableFieldId="7" dataDxfId="17"/>
    <tableColumn id="9" xr3:uid="{8B6C16CA-856C-4D35-A92B-85AB56B441E2}" uniqueName="9" name="Processor Graphics ‡" queryTableFieldId="9" dataDxfId="16"/>
    <tableColumn id="10" xr3:uid="{E5F1FE7E-CC0E-4D33-A498-3179453DA951}" uniqueName="10" name="Recommended Customer Price" queryTableFieldId="10" dataDxfId="15"/>
    <tableColumn id="8" xr3:uid="{BCD919B5-5D2C-4814-8190-928834DC878B}" uniqueName="8" name="Compare All | None" queryTableFieldId="8" dataDxf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2C76D7-B560-46CF-A187-9227B786962E}" name="Table3" displayName="Table3" ref="A1:D2" totalsRowShown="0" headerRowDxfId="13" dataDxfId="12">
  <autoFilter ref="A1:D2" xr:uid="{33A74D29-135D-4F5A-9873-8E5FB49DD85B}"/>
  <tableColumns count="4">
    <tableColumn id="1" xr3:uid="{A706D6EF-D43E-442A-AE67-BDD0DE14E1D4}" name="Switch" dataDxfId="11"/>
    <tableColumn id="2" xr3:uid="{A8CAAF3D-7E73-43F2-B726-A2B1A7DB2BD4}" name="Ports" dataDxfId="10"/>
    <tableColumn id="3" xr3:uid="{497076C2-6C28-467C-B333-AA44DC91F36C}" name="Switch Quantity" dataDxfId="9"/>
    <tableColumn id="4" xr3:uid="{AEB69F81-7DA3-4050-AAE9-44ED860C063E}" name="Total Ports" dataDxfId="8">
      <calculatedColumnFormula>B2*C2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56AFF6-9182-4C68-9561-598DF19EB4D0}" name="Table4" displayName="Table4" ref="F4:K14" totalsRowShown="0" headerRowDxfId="7" dataDxfId="6">
  <autoFilter ref="F4:K14" xr:uid="{784CD54C-CC93-485C-AE57-B6DFD3F5F6E7}"/>
  <tableColumns count="6">
    <tableColumn id="1" xr3:uid="{DA83EDFC-AEDB-4C45-BE6A-0597DF146D2E}" name="Scenario" dataDxfId="5"/>
    <tableColumn id="2" xr3:uid="{8653EA77-0A20-4567-8550-3C71C1F94F13}" name="Description" dataDxfId="4"/>
    <tableColumn id="3" xr3:uid="{720A73EC-FB80-46DD-84A0-E0003496F2FB}" name="Quantity" dataDxfId="3"/>
    <tableColumn id="4" xr3:uid="{28B0AC97-5BD6-4EDE-9DFE-103F5C11CC56}" name="Fiber Ports Needed" dataDxfId="2"/>
    <tableColumn id="5" xr3:uid="{C9F8729B-F888-4A16-AEC9-F30348EAA34A}" name="Cable Type" dataDxfId="1"/>
    <tableColumn id="6" xr3:uid="{97A6A631-C740-49CA-BF1E-7538F8BB7E28}" name="Cable 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houle@presidio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hyperlink" Target="https://www.nvidia.com/en-us/data-center/resources/vgpu-certified-server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0B25-6B29-4C1A-B20E-BA7D7D53B16E}">
  <sheetPr codeName="Sheet12">
    <tabColor theme="4"/>
  </sheetPr>
  <dimension ref="A1:AY582"/>
  <sheetViews>
    <sheetView tabSelected="1" workbookViewId="0">
      <selection activeCell="B4" sqref="B4"/>
    </sheetView>
  </sheetViews>
  <sheetFormatPr defaultRowHeight="14.5"/>
  <sheetData>
    <row r="1" spans="1:5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18.5">
      <c r="A2" s="1"/>
      <c r="B2" s="93" t="s">
        <v>463</v>
      </c>
      <c r="C2" s="1"/>
      <c r="D2" s="1"/>
      <c r="E2" s="1"/>
      <c r="F2" s="1"/>
      <c r="G2" s="1"/>
      <c r="H2" s="1"/>
      <c r="I2" s="1"/>
      <c r="J2" s="1"/>
      <c r="K2" s="1"/>
      <c r="L2" s="1"/>
      <c r="M2" s="96"/>
      <c r="N2" s="97"/>
      <c r="O2" s="97"/>
      <c r="P2" s="97"/>
      <c r="Q2" s="97"/>
      <c r="R2" s="97"/>
      <c r="S2" s="97"/>
      <c r="T2" s="97"/>
      <c r="U2" s="98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>
      <c r="A3" s="1"/>
      <c r="B3" s="94" t="s">
        <v>481</v>
      </c>
      <c r="C3" s="1"/>
      <c r="D3" s="1"/>
      <c r="E3" s="94" t="s">
        <v>467</v>
      </c>
      <c r="F3" s="1"/>
      <c r="G3" s="1"/>
      <c r="H3" s="1"/>
      <c r="I3" s="1"/>
      <c r="J3" s="1"/>
      <c r="K3" s="1"/>
      <c r="L3" s="1"/>
      <c r="M3" s="99"/>
      <c r="N3" s="107" t="s">
        <v>453</v>
      </c>
      <c r="O3" s="108"/>
      <c r="P3" s="108"/>
      <c r="Q3" s="107"/>
      <c r="R3" s="107"/>
      <c r="S3" s="107"/>
      <c r="T3" s="107"/>
      <c r="U3" s="100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/>
      <c r="B4" s="1"/>
      <c r="C4" s="1"/>
      <c r="D4" s="1"/>
      <c r="E4" s="94" t="s">
        <v>459</v>
      </c>
      <c r="F4" s="1"/>
      <c r="G4" t="s">
        <v>461</v>
      </c>
      <c r="H4" s="1"/>
      <c r="I4" s="1"/>
      <c r="J4" s="1"/>
      <c r="K4" s="1"/>
      <c r="L4" s="1"/>
      <c r="M4" s="99"/>
      <c r="N4" s="108"/>
      <c r="O4" s="109" t="s">
        <v>457</v>
      </c>
      <c r="P4" s="108"/>
      <c r="Q4" s="107"/>
      <c r="R4" s="107"/>
      <c r="S4" s="107"/>
      <c r="T4" s="107"/>
      <c r="U4" s="100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94"/>
      <c r="F5" s="1"/>
      <c r="G5" s="1" t="s">
        <v>460</v>
      </c>
      <c r="H5" s="1"/>
      <c r="I5" s="1"/>
      <c r="J5" s="1"/>
      <c r="K5" s="1"/>
      <c r="L5" s="1"/>
      <c r="M5" s="99"/>
      <c r="N5" s="108"/>
      <c r="O5" s="110" t="s">
        <v>458</v>
      </c>
      <c r="P5" s="108"/>
      <c r="Q5" s="107"/>
      <c r="R5" s="107"/>
      <c r="S5" s="107"/>
      <c r="T5" s="107"/>
      <c r="U5" s="100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94"/>
      <c r="F6" s="1"/>
      <c r="G6" s="1" t="s">
        <v>462</v>
      </c>
      <c r="H6" s="1"/>
      <c r="I6" s="1"/>
      <c r="J6" s="1"/>
      <c r="K6" s="1"/>
      <c r="L6" s="1"/>
      <c r="M6" s="101"/>
      <c r="N6" s="111"/>
      <c r="O6" s="112"/>
      <c r="P6" s="111"/>
      <c r="Q6" s="102"/>
      <c r="R6" s="102"/>
      <c r="S6" s="102"/>
      <c r="T6" s="102"/>
      <c r="U6" s="103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34"/>
      <c r="M7" s="104"/>
      <c r="N7" s="105"/>
      <c r="O7" s="106"/>
      <c r="P7" s="105"/>
      <c r="Q7" s="104"/>
      <c r="R7" s="104"/>
      <c r="S7" s="104"/>
      <c r="T7" s="104"/>
      <c r="U7" s="104"/>
      <c r="V7" s="34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>
      <c r="A8" s="1"/>
      <c r="B8" s="95" t="s">
        <v>468</v>
      </c>
      <c r="C8" s="1"/>
      <c r="D8" s="1"/>
      <c r="E8" s="1"/>
      <c r="F8" s="1"/>
      <c r="G8" s="1"/>
      <c r="H8" s="1"/>
      <c r="I8" s="1"/>
      <c r="J8" s="1"/>
      <c r="K8" s="1"/>
      <c r="L8" s="34"/>
      <c r="M8" s="104"/>
      <c r="N8" s="105"/>
      <c r="O8" s="106"/>
      <c r="P8" s="105"/>
      <c r="Q8" s="104"/>
      <c r="R8" s="104"/>
      <c r="S8" s="104"/>
      <c r="T8" s="104"/>
      <c r="U8" s="104"/>
      <c r="V8" s="34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>
      <c r="A9" s="1"/>
      <c r="B9" s="1"/>
      <c r="C9" s="1" t="s">
        <v>470</v>
      </c>
      <c r="D9" s="1"/>
      <c r="E9" s="1"/>
      <c r="F9" s="1"/>
      <c r="G9" s="1"/>
      <c r="H9" s="1"/>
      <c r="I9" s="1"/>
      <c r="J9" s="1"/>
      <c r="K9" s="1"/>
      <c r="L9" s="34"/>
      <c r="M9" s="104"/>
      <c r="N9" s="105"/>
      <c r="O9" s="106"/>
      <c r="P9" s="105"/>
      <c r="Q9" s="104"/>
      <c r="R9" s="104"/>
      <c r="S9" s="104"/>
      <c r="T9" s="104"/>
      <c r="U9" s="104"/>
      <c r="V9" s="34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>
      <c r="A10" s="1"/>
      <c r="B10" s="1"/>
      <c r="C10" s="1" t="s">
        <v>469</v>
      </c>
      <c r="D10" s="1"/>
      <c r="E10" s="1"/>
      <c r="F10" s="1"/>
      <c r="G10" s="1"/>
      <c r="H10" s="1"/>
      <c r="I10" s="1"/>
      <c r="J10" s="1"/>
      <c r="K10" s="1"/>
      <c r="L10" s="34"/>
      <c r="M10" s="104"/>
      <c r="N10" s="105"/>
      <c r="O10" s="106"/>
      <c r="P10" s="105"/>
      <c r="Q10" s="104"/>
      <c r="R10" s="104"/>
      <c r="S10" s="104"/>
      <c r="T10" s="104"/>
      <c r="U10" s="104"/>
      <c r="V10" s="34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>
      <c r="A11" s="1"/>
      <c r="B11" s="1"/>
      <c r="C11" s="1" t="s">
        <v>471</v>
      </c>
      <c r="D11" s="1"/>
      <c r="E11" s="1"/>
      <c r="F11" s="1"/>
      <c r="G11" s="1"/>
      <c r="H11" s="1"/>
      <c r="I11" s="1"/>
      <c r="J11" s="1"/>
      <c r="K11" s="1"/>
      <c r="L11" s="34"/>
      <c r="M11" s="104"/>
      <c r="N11" s="105"/>
      <c r="O11" s="106"/>
      <c r="P11" s="105"/>
      <c r="Q11" s="104"/>
      <c r="R11" s="104"/>
      <c r="S11" s="104"/>
      <c r="T11" s="104"/>
      <c r="U11" s="104"/>
      <c r="V11" s="34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34"/>
      <c r="M12" s="104"/>
      <c r="N12" s="105"/>
      <c r="O12" s="106"/>
      <c r="P12" s="105"/>
      <c r="Q12" s="104"/>
      <c r="R12" s="104"/>
      <c r="S12" s="104"/>
      <c r="T12" s="104"/>
      <c r="U12" s="104"/>
      <c r="V12" s="34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>
      <c r="A13" s="1"/>
      <c r="B13" s="95" t="s">
        <v>454</v>
      </c>
      <c r="C13" s="1"/>
      <c r="D13" s="1"/>
      <c r="E13" s="1"/>
      <c r="F13" s="1"/>
      <c r="G13" s="1"/>
      <c r="H13" s="1"/>
      <c r="I13" s="1"/>
      <c r="J13" s="1"/>
      <c r="K13" s="1"/>
      <c r="L13" s="34"/>
      <c r="M13" s="104"/>
      <c r="N13" s="104"/>
      <c r="O13" s="104"/>
      <c r="P13" s="104"/>
      <c r="Q13" s="104"/>
      <c r="R13" s="104"/>
      <c r="S13" s="104"/>
      <c r="T13" s="104"/>
      <c r="U13" s="104"/>
      <c r="V13" s="34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>
      <c r="A14" s="1"/>
      <c r="B14" s="1"/>
      <c r="C14" s="1" t="s">
        <v>464</v>
      </c>
      <c r="D14" s="1"/>
      <c r="E14" s="1"/>
      <c r="F14" s="1"/>
      <c r="G14" s="1"/>
      <c r="H14" s="1"/>
      <c r="I14" s="1"/>
      <c r="J14" s="1"/>
      <c r="K14" s="1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>
      <c r="A16" s="1"/>
      <c r="B16" s="95" t="s">
        <v>455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>
      <c r="A17" s="1"/>
      <c r="B17" s="1"/>
      <c r="C17" s="1" t="s">
        <v>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>
      <c r="A19" s="1"/>
      <c r="B19" s="1" t="s">
        <v>466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>
      <c r="A21" s="1"/>
      <c r="B21" s="95" t="s">
        <v>456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>
      <c r="A22" s="1"/>
      <c r="B22" s="1"/>
      <c r="C22" s="1" t="s">
        <v>452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>
      <c r="A23" s="1"/>
      <c r="B23" s="1"/>
      <c r="C23" s="1" t="s">
        <v>420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>
      <c r="A24" s="1"/>
      <c r="B24" s="1"/>
      <c r="C24" s="1" t="s">
        <v>419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</sheetData>
  <sheetProtection algorithmName="SHA-512" hashValue="HG79rFa123bTERvf0uUjwBTbnMhRCR0Ss5xO+Kw0aA1hzT1RoBCe7dHxx1b6Qx3sIVDA19mF916LteRZnb2oKQ==" saltValue="r5Yo5CX7T0OQGQ08+oEQWA==" spinCount="100000" sheet="1" objects="1" scenarios="1"/>
  <hyperlinks>
    <hyperlink ref="O5" r:id="rId1" xr:uid="{C70D247E-3B1A-4273-B394-25C8F79E0E7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49DD-DC94-498F-8002-423C400C2E8C}">
  <sheetPr codeName="Sheet1">
    <tabColor rgb="FFFFFF00"/>
  </sheetPr>
  <dimension ref="A1:AZ213"/>
  <sheetViews>
    <sheetView workbookViewId="0">
      <selection activeCell="F32" sqref="F32"/>
    </sheetView>
  </sheetViews>
  <sheetFormatPr defaultRowHeight="14.5"/>
  <cols>
    <col min="1" max="1" width="29.81640625" bestFit="1" customWidth="1"/>
    <col min="2" max="2" width="17.81640625" customWidth="1"/>
    <col min="3" max="3" width="18" bestFit="1" customWidth="1"/>
    <col min="4" max="4" width="21.26953125" bestFit="1" customWidth="1"/>
    <col min="5" max="5" width="14.81640625" customWidth="1"/>
    <col min="6" max="6" width="24.36328125" bestFit="1" customWidth="1"/>
    <col min="7" max="7" width="27.81640625" customWidth="1"/>
    <col min="8" max="8" width="29" bestFit="1" customWidth="1"/>
    <col min="9" max="9" width="24" customWidth="1"/>
    <col min="10" max="10" width="16.26953125" bestFit="1" customWidth="1"/>
    <col min="11" max="11" width="15.54296875" customWidth="1"/>
  </cols>
  <sheetData>
    <row r="1" spans="1:52">
      <c r="A1" s="65" t="s">
        <v>391</v>
      </c>
      <c r="B1" s="77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392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5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>
        <v>1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1:52">
      <c r="A3" t="s">
        <v>0</v>
      </c>
      <c r="B3" t="s">
        <v>1</v>
      </c>
      <c r="C3" t="s">
        <v>19</v>
      </c>
      <c r="D3" t="s">
        <v>428</v>
      </c>
      <c r="E3" t="s">
        <v>2</v>
      </c>
      <c r="F3" t="s">
        <v>91</v>
      </c>
      <c r="G3" t="s">
        <v>90</v>
      </c>
      <c r="H3" t="s">
        <v>89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>
        <v>2</v>
      </c>
      <c r="AA3" s="1"/>
      <c r="AB3" s="1"/>
      <c r="AC3" s="1"/>
      <c r="AD3" s="1"/>
      <c r="AE3" s="1"/>
      <c r="AF3" s="1"/>
      <c r="AG3" s="1"/>
      <c r="AH3" s="1"/>
      <c r="AI3" s="1"/>
    </row>
    <row r="4" spans="1:52">
      <c r="A4" s="77" t="s">
        <v>451</v>
      </c>
      <c r="B4" s="77">
        <v>2</v>
      </c>
      <c r="C4" s="77">
        <v>4</v>
      </c>
      <c r="D4" s="77">
        <v>2</v>
      </c>
      <c r="E4" s="77">
        <v>200</v>
      </c>
      <c r="F4" s="64">
        <f t="shared" ref="F4:F13" si="0">B4*E4</f>
        <v>400</v>
      </c>
      <c r="G4" s="64">
        <f t="shared" ref="G4:G13" si="1">E4*C4</f>
        <v>800</v>
      </c>
      <c r="H4" s="64">
        <f t="shared" ref="H4:H13" si="2">D4*E4</f>
        <v>400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>
        <v>3</v>
      </c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Z4" t="s">
        <v>149</v>
      </c>
    </row>
    <row r="5" spans="1:52">
      <c r="A5" s="61" t="s">
        <v>477</v>
      </c>
      <c r="B5" s="61">
        <v>2</v>
      </c>
      <c r="C5" s="61">
        <v>8</v>
      </c>
      <c r="D5" s="61">
        <v>0.5</v>
      </c>
      <c r="E5" s="61">
        <v>300</v>
      </c>
      <c r="F5" s="64">
        <f t="shared" si="0"/>
        <v>600</v>
      </c>
      <c r="G5" s="64">
        <f t="shared" si="1"/>
        <v>2400</v>
      </c>
      <c r="H5" s="64">
        <f t="shared" si="2"/>
        <v>150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4</v>
      </c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Z5" t="s">
        <v>147</v>
      </c>
    </row>
    <row r="6" spans="1:52" hidden="1">
      <c r="A6" s="61"/>
      <c r="B6" s="61"/>
      <c r="C6" s="61"/>
      <c r="D6" s="61"/>
      <c r="E6" s="61"/>
      <c r="F6" s="64">
        <f t="shared" si="0"/>
        <v>0</v>
      </c>
      <c r="G6" s="64">
        <f t="shared" si="1"/>
        <v>0</v>
      </c>
      <c r="H6" s="64">
        <f t="shared" si="2"/>
        <v>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>
        <v>5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Z6" t="s">
        <v>148</v>
      </c>
    </row>
    <row r="7" spans="1:52" hidden="1">
      <c r="A7" s="61"/>
      <c r="B7" s="61"/>
      <c r="C7" s="61"/>
      <c r="D7" s="61"/>
      <c r="E7" s="61"/>
      <c r="F7" s="64">
        <f t="shared" si="0"/>
        <v>0</v>
      </c>
      <c r="G7" s="64">
        <f t="shared" si="1"/>
        <v>0</v>
      </c>
      <c r="H7" s="64">
        <f t="shared" si="2"/>
        <v>0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>
        <v>6</v>
      </c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52" hidden="1">
      <c r="A8" s="61"/>
      <c r="B8" s="61"/>
      <c r="C8" s="61"/>
      <c r="D8" s="61"/>
      <c r="E8" s="61"/>
      <c r="F8" s="64">
        <f t="shared" si="0"/>
        <v>0</v>
      </c>
      <c r="G8" s="64">
        <f t="shared" si="1"/>
        <v>0</v>
      </c>
      <c r="H8" s="64">
        <f t="shared" si="2"/>
        <v>0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>
        <v>7</v>
      </c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52" hidden="1">
      <c r="A9" s="61"/>
      <c r="B9" s="61"/>
      <c r="C9" s="61"/>
      <c r="D9" s="61"/>
      <c r="E9" s="61"/>
      <c r="F9" s="64">
        <f t="shared" si="0"/>
        <v>0</v>
      </c>
      <c r="G9" s="64">
        <f t="shared" si="1"/>
        <v>0</v>
      </c>
      <c r="H9" s="64">
        <f t="shared" si="2"/>
        <v>0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>
        <v>8</v>
      </c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52" hidden="1">
      <c r="A10" s="61"/>
      <c r="B10" s="61"/>
      <c r="C10" s="61"/>
      <c r="D10" s="61"/>
      <c r="E10" s="61"/>
      <c r="F10" s="64">
        <f t="shared" si="0"/>
        <v>0</v>
      </c>
      <c r="G10" s="64">
        <f t="shared" si="1"/>
        <v>0</v>
      </c>
      <c r="H10" s="64">
        <f t="shared" si="2"/>
        <v>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>
        <v>9</v>
      </c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52" hidden="1">
      <c r="A11" s="61"/>
      <c r="B11" s="61"/>
      <c r="C11" s="61"/>
      <c r="D11" s="61"/>
      <c r="E11" s="61"/>
      <c r="F11" s="64">
        <f t="shared" si="0"/>
        <v>0</v>
      </c>
      <c r="G11" s="64">
        <f t="shared" si="1"/>
        <v>0</v>
      </c>
      <c r="H11" s="64">
        <f t="shared" si="2"/>
        <v>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>
        <v>10</v>
      </c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52" hidden="1">
      <c r="A12" s="61"/>
      <c r="B12" s="61"/>
      <c r="C12" s="61"/>
      <c r="D12" s="61"/>
      <c r="E12" s="61"/>
      <c r="F12" s="64">
        <f t="shared" si="0"/>
        <v>0</v>
      </c>
      <c r="G12" s="64">
        <f t="shared" si="1"/>
        <v>0</v>
      </c>
      <c r="H12" s="64">
        <f t="shared" si="2"/>
        <v>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52" hidden="1">
      <c r="A13" s="67"/>
      <c r="B13" s="67"/>
      <c r="C13" s="67"/>
      <c r="D13" s="67"/>
      <c r="E13" s="67"/>
      <c r="F13" s="66">
        <f t="shared" si="0"/>
        <v>0</v>
      </c>
      <c r="G13" s="64">
        <f t="shared" si="1"/>
        <v>0</v>
      </c>
      <c r="H13" s="64">
        <f t="shared" si="2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52">
      <c r="A14" s="34">
        <f>SUBTOTAL(3,A4:A13)</f>
        <v>2</v>
      </c>
      <c r="B14" s="34">
        <f t="shared" ref="B14:H14" si="3">SUBTOTAL(109,B4:B13)</f>
        <v>4</v>
      </c>
      <c r="C14" s="34">
        <f t="shared" si="3"/>
        <v>12</v>
      </c>
      <c r="D14" s="34">
        <f t="shared" si="3"/>
        <v>2.5</v>
      </c>
      <c r="E14" s="34">
        <f t="shared" si="3"/>
        <v>500</v>
      </c>
      <c r="F14" s="34">
        <f t="shared" si="3"/>
        <v>1000</v>
      </c>
      <c r="G14" s="34">
        <f t="shared" si="3"/>
        <v>3200</v>
      </c>
      <c r="H14" s="34">
        <f t="shared" si="3"/>
        <v>550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52">
      <c r="A15" s="34"/>
      <c r="B15" s="34"/>
      <c r="C15" s="34"/>
      <c r="D15" s="34"/>
      <c r="E15" s="34"/>
      <c r="F15" s="34"/>
      <c r="G15" s="34"/>
      <c r="H15" s="3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5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s="92" customFormat="1" hidden="1">
      <c r="A17" s="90" t="s">
        <v>146</v>
      </c>
      <c r="B17" s="77" t="s">
        <v>148</v>
      </c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</row>
    <row r="18" spans="1:37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6:37"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6:37"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6:37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6:37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6:37"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6:37"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6:37"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6:37"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6:37"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6:37"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6:37"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6:37"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6:37"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6:37"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6:37"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6:37"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6:37"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6:37"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6:37"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6:37"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6:37"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6:37"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6:37"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6:37"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6:37"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6:37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6:37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6:37"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6:37"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6:37"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6:37"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6:37"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6:37"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6:37"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6:37"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6:37"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6:37"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6:37"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6:37"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6:37"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6:37"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6:37"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6:37"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6:37"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6:37"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6:37"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6:37"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6:37"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6:37"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6:37"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6:37"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6:37"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6:37"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6:37"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6:37"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6:37"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6:37"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6:37"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6:37"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6:37"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6:37"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6:37"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6:37"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6:37"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6:37"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6:37"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6:37"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6:37"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6:37"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6:37"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6:37"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6:37"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6:37"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6:37"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6:37"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6:37"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6:37"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6:37"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6:37"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6:37"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2:37"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2:37"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2:37"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2:37"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2:37"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2:37"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2:37"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2:37"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2:37"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2:37"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2:37"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2:37"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2:37"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2:37"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2:37"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2:37"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2:37"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2:37"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2:37"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2:37"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2:37"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2:37"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2:37"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2:37"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2:37"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2:37"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2:37"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2:37"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2:37"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2:37"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2:37"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2:37"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2:37"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2:37"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2:37"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2:37"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2:37"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2:37"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2:37"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2:37"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2:37"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2:37"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2:37"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2:37"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2:37"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2:37"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2:37"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2:37"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2:37"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2:37"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2:37"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2:37"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2:37"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</sheetData>
  <dataValidations count="2">
    <dataValidation type="list" allowBlank="1" showInputMessage="1" showErrorMessage="1" sqref="B17" xr:uid="{1EBB32A8-DDE8-4D8B-9A06-18FD98ECCC70}">
      <formula1>$AZ$4:$AZ$6</formula1>
    </dataValidation>
    <dataValidation type="list" allowBlank="1" showInputMessage="1" showErrorMessage="1" sqref="B1" xr:uid="{88E3A5BF-A346-4FEE-AC53-E31700B9854B}">
      <formula1>$Z$2:$Z$15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A643-1848-4352-B716-A0D784E56B0C}">
  <sheetPr codeName="Sheet8">
    <tabColor rgb="FFFFFF00"/>
  </sheetPr>
  <dimension ref="A1:DS1003"/>
  <sheetViews>
    <sheetView workbookViewId="0">
      <selection activeCell="H9" sqref="H9"/>
    </sheetView>
  </sheetViews>
  <sheetFormatPr defaultRowHeight="14.5"/>
  <cols>
    <col min="1" max="1" width="34.26953125" bestFit="1" customWidth="1"/>
    <col min="2" max="2" width="17.1796875" bestFit="1" customWidth="1"/>
    <col min="3" max="3" width="8.6328125" customWidth="1"/>
    <col min="4" max="4" width="8.54296875" customWidth="1"/>
    <col min="5" max="5" width="10.7265625" style="74" customWidth="1"/>
    <col min="6" max="6" width="10.26953125" customWidth="1"/>
    <col min="7" max="7" width="15.453125" customWidth="1"/>
    <col min="8" max="8" width="25" customWidth="1"/>
    <col min="9" max="9" width="9.7265625" customWidth="1"/>
    <col min="10" max="10" width="18.08984375" customWidth="1"/>
    <col min="11" max="11" width="116.453125" bestFit="1" customWidth="1"/>
    <col min="12" max="12" width="18" hidden="1" customWidth="1"/>
    <col min="13" max="13" width="16.453125" bestFit="1" customWidth="1"/>
    <col min="14" max="14" width="13.36328125" customWidth="1"/>
    <col min="15" max="15" width="13.81640625" customWidth="1"/>
    <col min="29" max="29" width="30.36328125" bestFit="1" customWidth="1"/>
  </cols>
  <sheetData>
    <row r="1" spans="1:123">
      <c r="A1" s="62" t="s">
        <v>377</v>
      </c>
      <c r="B1" s="68" t="s">
        <v>478</v>
      </c>
      <c r="C1" s="1"/>
      <c r="D1" s="1"/>
      <c r="E1" s="7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123">
      <c r="A2" s="62" t="s">
        <v>378</v>
      </c>
      <c r="B2" s="68" t="s">
        <v>479</v>
      </c>
      <c r="C2" s="1"/>
      <c r="D2" s="1"/>
      <c r="E2" s="7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 t="s">
        <v>375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</row>
    <row r="3" spans="1:123">
      <c r="A3" s="62" t="s">
        <v>379</v>
      </c>
      <c r="B3" s="61" t="s">
        <v>472</v>
      </c>
      <c r="C3" s="1"/>
      <c r="D3" s="1"/>
      <c r="E3" s="7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33">
        <f>MAX(AA:AA)</f>
        <v>461.44736842105266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</row>
    <row r="4" spans="1:123" ht="29" customHeight="1">
      <c r="A4" s="6" t="s">
        <v>177</v>
      </c>
      <c r="B4" s="6" t="s">
        <v>305</v>
      </c>
      <c r="C4" s="6" t="s">
        <v>42</v>
      </c>
      <c r="D4" s="6" t="s">
        <v>43</v>
      </c>
      <c r="E4" s="75" t="s">
        <v>304</v>
      </c>
      <c r="F4" s="52" t="s">
        <v>45</v>
      </c>
      <c r="G4" s="52" t="s">
        <v>48</v>
      </c>
      <c r="H4" s="52" t="s">
        <v>49</v>
      </c>
      <c r="I4" s="52" t="s">
        <v>50</v>
      </c>
      <c r="J4" s="53" t="s">
        <v>103</v>
      </c>
      <c r="K4" s="55" t="s">
        <v>306</v>
      </c>
      <c r="L4" s="55" t="s">
        <v>374</v>
      </c>
      <c r="M4" s="55" t="s">
        <v>373</v>
      </c>
      <c r="N4" s="55" t="s">
        <v>412</v>
      </c>
      <c r="O4" s="55" t="s">
        <v>413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 t="s">
        <v>376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</row>
    <row r="5" spans="1:123">
      <c r="A5" t="s">
        <v>185</v>
      </c>
      <c r="B5" s="54" t="str">
        <f>TRIM(MID(SUBSTITUTE(A5," ",REPT(" ",LEN(A5))), (4-1)*LEN(A5)+1, LEN(A5)))</f>
        <v>9282</v>
      </c>
      <c r="C5">
        <f>IFERROR(VLOOKUP(A5,Processor_DB_Intel!$A$1:'Processor_DB_Intel'!$D$494,4,FALSE),"")</f>
        <v>56</v>
      </c>
      <c r="D5" t="str">
        <f>IFERROR(LEFT(VLOOKUP(A5,Processor_DB_Intel!$A$1:'Processor_DB_Intel'!$F$494,6,FALSE),3),"")</f>
        <v>2.6</v>
      </c>
      <c r="E5" s="73" t="str">
        <f>IF(O5 = 0,"",O5)</f>
        <v/>
      </c>
      <c r="F5" s="56" t="str">
        <f>IFERROR(E5/C5,"")</f>
        <v/>
      </c>
      <c r="G5">
        <f>IFERROR(C5*D5,"")</f>
        <v>145.6</v>
      </c>
      <c r="H5">
        <f>IFERROR(G5*2,"")</f>
        <v>291.2</v>
      </c>
      <c r="I5" s="56" t="str">
        <f>IFERROR(E5/G5,"")</f>
        <v/>
      </c>
      <c r="J5" s="57" t="str">
        <f>IFERROR(1-(I5/$AC$3),"")</f>
        <v/>
      </c>
      <c r="K5" t="s">
        <v>307</v>
      </c>
      <c r="L5">
        <f>MIN(SEARCH({0,1,2,3,4,5,6,7,8,9},K5&amp;"0123456789"))</f>
        <v>54</v>
      </c>
      <c r="M5" t="str">
        <f>LEFT(RIGHT(K5,LEN(K5)-L5+1),6)</f>
        <v>194146</v>
      </c>
      <c r="O5" s="70">
        <f>IFERROR(RIGHT(SUBSTITUTE(N5,"$",CHAR(9),2),LEN(N5)-FIND(CHAR(9),SUBSTITUTE(N5,"$",CHAR(9),2),1) ),N5)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 t="str">
        <f>_xlfn.IFNA(I5,0)</f>
        <v/>
      </c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</row>
    <row r="6" spans="1:123">
      <c r="A6" t="s">
        <v>192</v>
      </c>
      <c r="B6" s="54" t="str">
        <f>TRIM(MID(SUBSTITUTE(A6," ",REPT(" ",LEN(A6))), (4-1)*LEN(A6)+1, LEN(A6)))</f>
        <v>9242</v>
      </c>
      <c r="C6">
        <f>IFERROR(VLOOKUP(A6,Processor_DB_Intel!$A$1:'Processor_DB_Intel'!$D$494,4,FALSE),"")</f>
        <v>48</v>
      </c>
      <c r="D6" t="str">
        <f>IFERROR(LEFT(VLOOKUP(A6,Processor_DB_Intel!$A$1:'Processor_DB_Intel'!$F$494,6,FALSE),3),"")</f>
        <v>2.3</v>
      </c>
      <c r="E6" s="73" t="str">
        <f>IF(O6 = 0,"",O6)</f>
        <v/>
      </c>
      <c r="F6" s="56" t="str">
        <f>IFERROR(E6/C6,"")</f>
        <v/>
      </c>
      <c r="G6">
        <f>IFERROR(C6*D6,"")</f>
        <v>110.39999999999999</v>
      </c>
      <c r="H6">
        <f>IFERROR(G6*2,"")</f>
        <v>220.79999999999998</v>
      </c>
      <c r="I6" s="56" t="str">
        <f>IFERROR(E6/G6,"")</f>
        <v/>
      </c>
      <c r="J6" s="57" t="str">
        <f>IFERROR(1-(I6/$AC$3),"")</f>
        <v/>
      </c>
      <c r="K6" t="s">
        <v>308</v>
      </c>
      <c r="L6">
        <f>MIN(SEARCH({0,1,2,3,4,5,6,7,8,9},K6&amp;"0123456789"))</f>
        <v>54</v>
      </c>
      <c r="M6" t="str">
        <f>LEFT(RIGHT(K6,LEN(K6)-L6+1),6)</f>
        <v>194145</v>
      </c>
      <c r="O6" s="70">
        <f>IFERROR(RIGHT(SUBSTITUTE(N6,"$",CHAR(9),2),LEN(N6)-FIND(CHAR(9),SUBSTITUTE(N6,"$",CHAR(9),2),1) ),N6)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 t="str">
        <f t="shared" ref="AA6:AA69" si="0">_xlfn.IFNA(I6,0)</f>
        <v/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</row>
    <row r="7" spans="1:123">
      <c r="A7" t="s">
        <v>195</v>
      </c>
      <c r="B7" s="54" t="str">
        <f>TRIM(MID(SUBSTITUTE(A7," ",REPT(" ",LEN(A7))), (4-1)*LEN(A7)+1, LEN(A7)))</f>
        <v>9222</v>
      </c>
      <c r="C7">
        <f>IFERROR(VLOOKUP(A7,Processor_DB_Intel!$A$1:'Processor_DB_Intel'!$D$494,4,FALSE),"")</f>
        <v>32</v>
      </c>
      <c r="D7" t="str">
        <f>IFERROR(LEFT(VLOOKUP(A7,Processor_DB_Intel!$A$1:'Processor_DB_Intel'!$F$494,6,FALSE),3),"")</f>
        <v>2.3</v>
      </c>
      <c r="E7" s="73" t="str">
        <f>IF(O7 = 0,"",O7)</f>
        <v/>
      </c>
      <c r="F7" s="56" t="str">
        <f>IFERROR(E7/C7,"")</f>
        <v/>
      </c>
      <c r="G7">
        <f>IFERROR(C7*D7,"")</f>
        <v>73.599999999999994</v>
      </c>
      <c r="H7">
        <f>IFERROR(G7*2,"")</f>
        <v>147.19999999999999</v>
      </c>
      <c r="I7" s="56" t="str">
        <f>IFERROR(E7/G7,"")</f>
        <v/>
      </c>
      <c r="J7" s="57" t="str">
        <f>IFERROR(1-(I7/$AC$3),"")</f>
        <v/>
      </c>
      <c r="K7" t="s">
        <v>309</v>
      </c>
      <c r="L7">
        <f>MIN(SEARCH({0,1,2,3,4,5,6,7,8,9},K7&amp;"0123456789"))</f>
        <v>54</v>
      </c>
      <c r="M7" t="str">
        <f>LEFT(RIGHT(K7,LEN(K7)-L7+1),6)</f>
        <v>195437</v>
      </c>
      <c r="O7" s="70">
        <f>IFERROR(RIGHT(SUBSTITUTE(N7,"$",CHAR(9),2),LEN(N7)-FIND(CHAR(9),SUBSTITUTE(N7,"$",CHAR(9),2),1) ),N7)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tr">
        <f t="shared" si="0"/>
        <v/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</row>
    <row r="8" spans="1:123">
      <c r="A8" t="s">
        <v>199</v>
      </c>
      <c r="B8" s="54" t="str">
        <f>TRIM(MID(SUBSTITUTE(A8," ",REPT(" ",LEN(A8))), (4-1)*LEN(A8)+1, LEN(A8)))</f>
        <v>9221</v>
      </c>
      <c r="C8">
        <f>IFERROR(VLOOKUP(A8,Processor_DB_Intel!$A$1:'Processor_DB_Intel'!$D$494,4,FALSE),"")</f>
        <v>32</v>
      </c>
      <c r="D8" t="str">
        <f>IFERROR(LEFT(VLOOKUP(A8,Processor_DB_Intel!$A$1:'Processor_DB_Intel'!$F$494,6,FALSE),3),"")</f>
        <v>2.3</v>
      </c>
      <c r="E8" s="73" t="str">
        <f>IF(O8 = 0,"",O8)</f>
        <v/>
      </c>
      <c r="F8" s="56" t="str">
        <f>IFERROR(E8/C8,"")</f>
        <v/>
      </c>
      <c r="G8">
        <f>IFERROR(C8*D8,"")</f>
        <v>73.599999999999994</v>
      </c>
      <c r="H8">
        <f>IFERROR(G8*2,"")</f>
        <v>147.19999999999999</v>
      </c>
      <c r="I8" s="56" t="str">
        <f>IFERROR(E8/G8,"")</f>
        <v/>
      </c>
      <c r="J8" s="57" t="str">
        <f>IFERROR(1-(I8/$AC$3),"")</f>
        <v/>
      </c>
      <c r="K8" t="s">
        <v>310</v>
      </c>
      <c r="L8">
        <f>MIN(SEARCH({0,1,2,3,4,5,6,7,8,9},K8&amp;"0123456789"))</f>
        <v>54</v>
      </c>
      <c r="M8" t="str">
        <f>LEFT(RIGHT(K8,LEN(K8)-L8+1),6)</f>
        <v>195434</v>
      </c>
      <c r="O8" s="70">
        <f>IFERROR(RIGHT(SUBSTITUTE(N8,"$",CHAR(9),2),LEN(N8)-FIND(CHAR(9),SUBSTITUTE(N8,"$",CHAR(9),2),1) ),N8)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 t="str">
        <f t="shared" si="0"/>
        <v/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</row>
    <row r="9" spans="1:123">
      <c r="A9" t="s">
        <v>203</v>
      </c>
      <c r="B9" s="54" t="str">
        <f>TRIM(MID(SUBSTITUTE(A9," ",REPT(" ",LEN(A9))), (4-1)*LEN(A9)+1, LEN(A9)))</f>
        <v>8280L</v>
      </c>
      <c r="C9">
        <f>IFERROR(VLOOKUP(A9,Processor_DB_Intel!$A$1:'Processor_DB_Intel'!$D$494,4,FALSE),"")</f>
        <v>28</v>
      </c>
      <c r="D9" t="str">
        <f>IFERROR(LEFT(VLOOKUP(A9,Processor_DB_Intel!$A$1:'Processor_DB_Intel'!$F$494,6,FALSE),3),"")</f>
        <v>2.7</v>
      </c>
      <c r="E9" s="73">
        <f>IF(O9 = 0,"",O9)</f>
        <v>13012</v>
      </c>
      <c r="F9" s="56">
        <f>IFERROR(E9/C9,"")</f>
        <v>464.71428571428572</v>
      </c>
      <c r="G9">
        <f>IFERROR(C9*D9,"")</f>
        <v>75.600000000000009</v>
      </c>
      <c r="H9">
        <f>IFERROR(G9*2,"")</f>
        <v>151.20000000000002</v>
      </c>
      <c r="I9" s="56">
        <f>IFERROR(E9/G9,"")</f>
        <v>172.1164021164021</v>
      </c>
      <c r="J9" s="57">
        <f>IFERROR(1-(I9/$AC$3),"")</f>
        <v>0.62700751180933678</v>
      </c>
      <c r="K9" t="s">
        <v>311</v>
      </c>
      <c r="L9">
        <f>MIN(SEARCH({0,1,2,3,4,5,6,7,8,9},K9&amp;"0123456789"))</f>
        <v>54</v>
      </c>
      <c r="M9" t="str">
        <f>LEFT(RIGHT(K9,LEN(K9)-L9+1),6)</f>
        <v>192472</v>
      </c>
      <c r="N9" s="69">
        <v>13012</v>
      </c>
      <c r="O9" s="70">
        <f>IFERROR(RIGHT(SUBSTITUTE(N9,"$",CHAR(9),2),LEN(N9)-FIND(CHAR(9),SUBSTITUTE(N9,"$",CHAR(9),2),1) ),N9)</f>
        <v>13012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>
        <f t="shared" si="0"/>
        <v>172.1164021164021</v>
      </c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</row>
    <row r="10" spans="1:123">
      <c r="A10" t="s">
        <v>204</v>
      </c>
      <c r="B10" s="54" t="str">
        <f>TRIM(MID(SUBSTITUTE(A10," ",REPT(" ",LEN(A10))), (4-1)*LEN(A10)+1, LEN(A10)))</f>
        <v>8280</v>
      </c>
      <c r="C10">
        <f>IFERROR(VLOOKUP(A10,Processor_DB_Intel!$A$1:'Processor_DB_Intel'!$D$494,4,FALSE),"")</f>
        <v>28</v>
      </c>
      <c r="D10" t="str">
        <f>IFERROR(LEFT(VLOOKUP(A10,Processor_DB_Intel!$A$1:'Processor_DB_Intel'!$F$494,6,FALSE),3),"")</f>
        <v>2.7</v>
      </c>
      <c r="E10" s="73">
        <f>IF(O10 = 0,"",O10)</f>
        <v>10009</v>
      </c>
      <c r="F10" s="56">
        <f>IFERROR(E10/C10,"")</f>
        <v>357.46428571428572</v>
      </c>
      <c r="G10">
        <f>IFERROR(C10*D10,"")</f>
        <v>75.600000000000009</v>
      </c>
      <c r="H10">
        <f>IFERROR(G10*2,"")</f>
        <v>151.20000000000002</v>
      </c>
      <c r="I10" s="56">
        <f>IFERROR(E10/G10,"")</f>
        <v>132.39417989417987</v>
      </c>
      <c r="J10" s="57">
        <f>IFERROR(1-(I10/$AC$3),"")</f>
        <v>0.71308931645401574</v>
      </c>
      <c r="K10" t="s">
        <v>312</v>
      </c>
      <c r="L10">
        <f>MIN(SEARCH({0,1,2,3,4,5,6,7,8,9},K10&amp;"0123456789"))</f>
        <v>54</v>
      </c>
      <c r="M10" t="str">
        <f>LEFT(RIGHT(K10,LEN(K10)-L10+1),6)</f>
        <v>192478</v>
      </c>
      <c r="N10" s="69">
        <v>10009</v>
      </c>
      <c r="O10" s="70">
        <f>IFERROR(RIGHT(SUBSTITUTE(N10,"$",CHAR(9),2),LEN(N10)-FIND(CHAR(9),SUBSTITUTE(N10,"$",CHAR(9),2),1) ),N10)</f>
        <v>10009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f t="shared" si="0"/>
        <v>132.39417989417987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</row>
    <row r="11" spans="1:123">
      <c r="A11" t="s">
        <v>206</v>
      </c>
      <c r="B11" s="54" t="str">
        <f>TRIM(MID(SUBSTITUTE(A11," ",REPT(" ",LEN(A11))), (4-1)*LEN(A11)+1, LEN(A11)))</f>
        <v>8276L</v>
      </c>
      <c r="C11">
        <f>IFERROR(VLOOKUP(A11,Processor_DB_Intel!$A$1:'Processor_DB_Intel'!$D$494,4,FALSE),"")</f>
        <v>28</v>
      </c>
      <c r="D11" t="str">
        <f>IFERROR(LEFT(VLOOKUP(A11,Processor_DB_Intel!$A$1:'Processor_DB_Intel'!$F$494,6,FALSE),3),"")</f>
        <v>2.2</v>
      </c>
      <c r="E11" s="73">
        <f>IF(O11 = 0,"",O11)</f>
        <v>11722</v>
      </c>
      <c r="F11" s="56">
        <f>IFERROR(E11/C11,"")</f>
        <v>418.64285714285717</v>
      </c>
      <c r="G11">
        <f>IFERROR(C11*D11,"")</f>
        <v>61.600000000000009</v>
      </c>
      <c r="H11">
        <f>IFERROR(G11*2,"")</f>
        <v>123.20000000000002</v>
      </c>
      <c r="I11" s="56">
        <f>IFERROR(E11/G11,"")</f>
        <v>190.29220779220776</v>
      </c>
      <c r="J11" s="57">
        <f>IFERROR(1-(I11/$AC$3),"")</f>
        <v>0.58761882542891963</v>
      </c>
      <c r="K11" t="s">
        <v>313</v>
      </c>
      <c r="L11">
        <f>MIN(SEARCH({0,1,2,3,4,5,6,7,8,9},K11&amp;"0123456789"))</f>
        <v>54</v>
      </c>
      <c r="M11" t="str">
        <f>LEFT(RIGHT(K11,LEN(K11)-L11+1),6)</f>
        <v>192475</v>
      </c>
      <c r="N11" s="69">
        <v>11722</v>
      </c>
      <c r="O11" s="70">
        <f>IFERROR(RIGHT(SUBSTITUTE(N11,"$",CHAR(9),2),LEN(N11)-FIND(CHAR(9),SUBSTITUTE(N11,"$",CHAR(9),2),1) ),N11)</f>
        <v>11722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>
        <f t="shared" si="0"/>
        <v>190.29220779220776</v>
      </c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</row>
    <row r="12" spans="1:123">
      <c r="A12" t="s">
        <v>207</v>
      </c>
      <c r="B12" s="54" t="str">
        <f>TRIM(MID(SUBSTITUTE(A12," ",REPT(" ",LEN(A12))), (4-1)*LEN(A12)+1, LEN(A12)))</f>
        <v>8276</v>
      </c>
      <c r="C12">
        <f>IFERROR(VLOOKUP(A12,Processor_DB_Intel!$A$1:'Processor_DB_Intel'!$D$494,4,FALSE),"")</f>
        <v>28</v>
      </c>
      <c r="D12" t="str">
        <f>IFERROR(LEFT(VLOOKUP(A12,Processor_DB_Intel!$A$1:'Processor_DB_Intel'!$F$494,6,FALSE),3),"")</f>
        <v>2.2</v>
      </c>
      <c r="E12" s="73">
        <f>IF(O12 = 0,"",O12)</f>
        <v>8719</v>
      </c>
      <c r="F12" s="56">
        <f>IFERROR(E12/C12,"")</f>
        <v>311.39285714285717</v>
      </c>
      <c r="G12">
        <f>IFERROR(C12*D12,"")</f>
        <v>61.600000000000009</v>
      </c>
      <c r="H12">
        <f>IFERROR(G12*2,"")</f>
        <v>123.20000000000002</v>
      </c>
      <c r="I12" s="56">
        <f>IFERROR(E12/G12,"")</f>
        <v>141.54220779220776</v>
      </c>
      <c r="J12" s="57">
        <f>IFERROR(1-(I12/$AC$3),"")</f>
        <v>0.69326467658375279</v>
      </c>
      <c r="K12" t="s">
        <v>314</v>
      </c>
      <c r="L12">
        <f>MIN(SEARCH({0,1,2,3,4,5,6,7,8,9},K12&amp;"0123456789"))</f>
        <v>54</v>
      </c>
      <c r="M12" t="str">
        <f>LEFT(RIGHT(K12,LEN(K12)-L12+1),6)</f>
        <v>192470</v>
      </c>
      <c r="N12" s="69">
        <v>8719</v>
      </c>
      <c r="O12" s="70">
        <f>IFERROR(RIGHT(SUBSTITUTE(N12,"$",CHAR(9),2),LEN(N12)-FIND(CHAR(9),SUBSTITUTE(N12,"$",CHAR(9),2),1) ),N12)</f>
        <v>8719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>
        <f t="shared" si="0"/>
        <v>141.54220779220776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</row>
    <row r="13" spans="1:123">
      <c r="A13" t="s">
        <v>208</v>
      </c>
      <c r="B13" s="54" t="str">
        <f>TRIM(MID(SUBSTITUTE(A13," ",REPT(" ",LEN(A13))), (4-1)*LEN(A13)+1, LEN(A13)))</f>
        <v>8270</v>
      </c>
      <c r="C13">
        <f>IFERROR(VLOOKUP(A13,Processor_DB_Intel!$A$1:'Processor_DB_Intel'!$D$494,4,FALSE),"")</f>
        <v>26</v>
      </c>
      <c r="D13" t="str">
        <f>IFERROR(LEFT(VLOOKUP(A13,Processor_DB_Intel!$A$1:'Processor_DB_Intel'!$F$494,6,FALSE),3),"")</f>
        <v>2.7</v>
      </c>
      <c r="E13" s="73">
        <f>IF(O13 = 0,"",O13)</f>
        <v>7405</v>
      </c>
      <c r="F13" s="56">
        <f>IFERROR(E13/C13,"")</f>
        <v>284.80769230769232</v>
      </c>
      <c r="G13">
        <f>IFERROR(C13*D13,"")</f>
        <v>70.2</v>
      </c>
      <c r="H13">
        <f>IFERROR(G13*2,"")</f>
        <v>140.4</v>
      </c>
      <c r="I13" s="56">
        <f>IFERROR(E13/G13,"")</f>
        <v>105.48433048433048</v>
      </c>
      <c r="J13" s="57">
        <f>IFERROR(1-(I13/$AC$3),"")</f>
        <v>0.77140549994841412</v>
      </c>
      <c r="K13" t="s">
        <v>315</v>
      </c>
      <c r="L13">
        <f>MIN(SEARCH({0,1,2,3,4,5,6,7,8,9},K13&amp;"0123456789"))</f>
        <v>54</v>
      </c>
      <c r="M13" t="str">
        <f>LEFT(RIGHT(K13,LEN(K13)-L13+1),6)</f>
        <v>192482</v>
      </c>
      <c r="N13" s="69">
        <v>7405</v>
      </c>
      <c r="O13" s="70">
        <f>IFERROR(RIGHT(SUBSTITUTE(N13,"$",CHAR(9),2),LEN(N13)-FIND(CHAR(9),SUBSTITUTE(N13,"$",CHAR(9),2),1) ),N13)</f>
        <v>7405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>
        <f t="shared" si="0"/>
        <v>105.48433048433048</v>
      </c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</row>
    <row r="14" spans="1:123">
      <c r="A14" t="s">
        <v>210</v>
      </c>
      <c r="B14" s="54" t="str">
        <f>TRIM(MID(SUBSTITUTE(A14," ",REPT(" ",LEN(A14))), (4-1)*LEN(A14)+1, LEN(A14)))</f>
        <v>8268</v>
      </c>
      <c r="C14">
        <f>IFERROR(VLOOKUP(A14,Processor_DB_Intel!$A$1:'Processor_DB_Intel'!$D$494,4,FALSE),"")</f>
        <v>24</v>
      </c>
      <c r="D14" t="str">
        <f>IFERROR(LEFT(VLOOKUP(A14,Processor_DB_Intel!$A$1:'Processor_DB_Intel'!$F$494,6,FALSE),3),"")</f>
        <v>2.9</v>
      </c>
      <c r="E14" s="73">
        <f>IF(O14 = 0,"",O14)</f>
        <v>6302</v>
      </c>
      <c r="F14" s="56">
        <f>IFERROR(E14/C14,"")</f>
        <v>262.58333333333331</v>
      </c>
      <c r="G14">
        <f>IFERROR(C14*D14,"")</f>
        <v>69.599999999999994</v>
      </c>
      <c r="H14">
        <f>IFERROR(G14*2,"")</f>
        <v>139.19999999999999</v>
      </c>
      <c r="I14" s="56">
        <f>IFERROR(E14/G14,"")</f>
        <v>90.545977011494259</v>
      </c>
      <c r="J14" s="57">
        <f>IFERROR(1-(I14/$AC$3),"")</f>
        <v>0.80377832184563547</v>
      </c>
      <c r="K14" t="s">
        <v>316</v>
      </c>
      <c r="L14">
        <f>MIN(SEARCH({0,1,2,3,4,5,6,7,8,9},K14&amp;"0123456789"))</f>
        <v>54</v>
      </c>
      <c r="M14" t="str">
        <f>LEFT(RIGHT(K14,LEN(K14)-L14+1),6)</f>
        <v>192481</v>
      </c>
      <c r="N14" s="69">
        <v>6302</v>
      </c>
      <c r="O14" s="70">
        <f>IFERROR(RIGHT(SUBSTITUTE(N14,"$",CHAR(9),2),LEN(N14)-FIND(CHAR(9),SUBSTITUTE(N14,"$",CHAR(9),2),1) ),N14)</f>
        <v>6302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>
        <f t="shared" si="0"/>
        <v>90.545977011494259</v>
      </c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</row>
    <row r="15" spans="1:123">
      <c r="A15" t="s">
        <v>213</v>
      </c>
      <c r="B15" s="54" t="str">
        <f>TRIM(MID(SUBSTITUTE(A15," ",REPT(" ",LEN(A15))), (4-1)*LEN(A15)+1, LEN(A15)))</f>
        <v>8260Y</v>
      </c>
      <c r="C15">
        <f>IFERROR(VLOOKUP(A15,Processor_DB_Intel!$A$1:'Processor_DB_Intel'!$D$494,4,FALSE),"")</f>
        <v>24</v>
      </c>
      <c r="D15" t="str">
        <f>IFERROR(LEFT(VLOOKUP(A15,Processor_DB_Intel!$A$1:'Processor_DB_Intel'!$F$494,6,FALSE),3),"")</f>
        <v>2.4</v>
      </c>
      <c r="E15" s="73">
        <f>IF(O15 = 0,"",O15)</f>
        <v>5320</v>
      </c>
      <c r="F15" s="56">
        <f>IFERROR(E15/C15,"")</f>
        <v>221.66666666666666</v>
      </c>
      <c r="G15">
        <f>IFERROR(C15*D15,"")</f>
        <v>57.599999999999994</v>
      </c>
      <c r="H15">
        <f>IFERROR(G15*2,"")</f>
        <v>115.19999999999999</v>
      </c>
      <c r="I15" s="56">
        <f>IFERROR(E15/G15,"")</f>
        <v>92.361111111111114</v>
      </c>
      <c r="J15" s="57">
        <f>IFERROR(1-(I15/$AC$3),"")</f>
        <v>0.7998447549345753</v>
      </c>
      <c r="K15" t="s">
        <v>317</v>
      </c>
      <c r="L15">
        <f>MIN(SEARCH({0,1,2,3,4,5,6,7,8,9},K15&amp;"0123456789"))</f>
        <v>54</v>
      </c>
      <c r="M15" t="str">
        <f>LEFT(RIGHT(K15,LEN(K15)-L15+1),6)</f>
        <v>192480</v>
      </c>
      <c r="N15" s="69">
        <v>5320</v>
      </c>
      <c r="O15" s="70">
        <f>IFERROR(RIGHT(SUBSTITUTE(N15,"$",CHAR(9),2),LEN(N15)-FIND(CHAR(9),SUBSTITUTE(N15,"$",CHAR(9),2),1) ),N15)</f>
        <v>5320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>
        <f t="shared" si="0"/>
        <v>92.361111111111114</v>
      </c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</row>
    <row r="16" spans="1:123">
      <c r="A16" t="s">
        <v>215</v>
      </c>
      <c r="B16" s="54" t="str">
        <f>TRIM(MID(SUBSTITUTE(A16," ",REPT(" ",LEN(A16))), (4-1)*LEN(A16)+1, LEN(A16)))</f>
        <v>8260L</v>
      </c>
      <c r="C16">
        <f>IFERROR(VLOOKUP(A16,Processor_DB_Intel!$A$1:'Processor_DB_Intel'!$D$494,4,FALSE),"")</f>
        <v>24</v>
      </c>
      <c r="D16" t="str">
        <f>IFERROR(LEFT(VLOOKUP(A16,Processor_DB_Intel!$A$1:'Processor_DB_Intel'!$F$494,6,FALSE),3),"")</f>
        <v>2.4</v>
      </c>
      <c r="E16" s="73">
        <f>IF(O16 = 0,"",O16)</f>
        <v>7705</v>
      </c>
      <c r="F16" s="56">
        <f>IFERROR(E16/C16,"")</f>
        <v>321.04166666666669</v>
      </c>
      <c r="G16">
        <f>IFERROR(C16*D16,"")</f>
        <v>57.599999999999994</v>
      </c>
      <c r="H16">
        <f>IFERROR(G16*2,"")</f>
        <v>115.19999999999999</v>
      </c>
      <c r="I16" s="56">
        <f>IFERROR(E16/G16,"")</f>
        <v>133.76736111111111</v>
      </c>
      <c r="J16" s="57">
        <f>IFERROR(1-(I16/$AC$3),"")</f>
        <v>0.71011350315242527</v>
      </c>
      <c r="K16" t="s">
        <v>318</v>
      </c>
      <c r="L16">
        <f>MIN(SEARCH({0,1,2,3,4,5,6,7,8,9},K16&amp;"0123456789"))</f>
        <v>54</v>
      </c>
      <c r="M16" t="str">
        <f>LEFT(RIGHT(K16,LEN(K16)-L16+1),6)</f>
        <v>192476</v>
      </c>
      <c r="N16" s="69">
        <v>7705</v>
      </c>
      <c r="O16" s="70">
        <f>IFERROR(RIGHT(SUBSTITUTE(N16,"$",CHAR(9),2),LEN(N16)-FIND(CHAR(9),SUBSTITUTE(N16,"$",CHAR(9),2),1) ),N16)</f>
        <v>7705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>
        <f t="shared" si="0"/>
        <v>133.76736111111111</v>
      </c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</row>
    <row r="17" spans="1:123">
      <c r="A17" t="s">
        <v>216</v>
      </c>
      <c r="B17" s="54" t="str">
        <f>TRIM(MID(SUBSTITUTE(A17," ",REPT(" ",LEN(A17))), (4-1)*LEN(A17)+1, LEN(A17)))</f>
        <v>8260</v>
      </c>
      <c r="C17">
        <f>IFERROR(VLOOKUP(A17,Processor_DB_Intel!$A$1:'Processor_DB_Intel'!$D$494,4,FALSE),"")</f>
        <v>24</v>
      </c>
      <c r="D17" t="str">
        <f>IFERROR(LEFT(VLOOKUP(A17,Processor_DB_Intel!$A$1:'Processor_DB_Intel'!$F$494,6,FALSE),3),"")</f>
        <v>2.4</v>
      </c>
      <c r="E17" s="73">
        <f>IF(O17 = 0,"",O17)</f>
        <v>4702</v>
      </c>
      <c r="F17" s="56">
        <f>IFERROR(E17/C17,"")</f>
        <v>195.91666666666666</v>
      </c>
      <c r="G17">
        <f>IFERROR(C17*D17,"")</f>
        <v>57.599999999999994</v>
      </c>
      <c r="H17">
        <f>IFERROR(G17*2,"")</f>
        <v>115.19999999999999</v>
      </c>
      <c r="I17" s="56">
        <f>IFERROR(E17/G17,"")</f>
        <v>81.631944444444457</v>
      </c>
      <c r="J17" s="57">
        <f>IFERROR(1-(I17/$AC$3),"")</f>
        <v>0.82309587174856635</v>
      </c>
      <c r="K17" t="s">
        <v>319</v>
      </c>
      <c r="L17">
        <f>MIN(SEARCH({0,1,2,3,4,5,6,7,8,9},K17&amp;"0123456789"))</f>
        <v>54</v>
      </c>
      <c r="M17" t="str">
        <f>LEFT(RIGHT(K17,LEN(K17)-L17+1),6)</f>
        <v>192474</v>
      </c>
      <c r="N17" s="69">
        <v>4702</v>
      </c>
      <c r="O17" s="70">
        <f>IFERROR(RIGHT(SUBSTITUTE(N17,"$",CHAR(9),2),LEN(N17)-FIND(CHAR(9),SUBSTITUTE(N17,"$",CHAR(9),2),1) ),N17)</f>
        <v>4702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>
        <f t="shared" si="0"/>
        <v>81.631944444444457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</row>
    <row r="18" spans="1:123">
      <c r="A18" t="s">
        <v>217</v>
      </c>
      <c r="B18" s="54" t="str">
        <f>TRIM(MID(SUBSTITUTE(A18," ",REPT(" ",LEN(A18))), (4-1)*LEN(A18)+1, LEN(A18)))</f>
        <v>8256</v>
      </c>
      <c r="C18">
        <f>IFERROR(VLOOKUP(A18,Processor_DB_Intel!$A$1:'Processor_DB_Intel'!$D$494,4,FALSE),"")</f>
        <v>4</v>
      </c>
      <c r="D18" t="str">
        <f>IFERROR(LEFT(VLOOKUP(A18,Processor_DB_Intel!$A$1:'Processor_DB_Intel'!$F$494,6,FALSE),3),"")</f>
        <v>3.8</v>
      </c>
      <c r="E18" s="73" t="str">
        <f>IF(O18 = 0,"",O18)</f>
        <v>7014.00</v>
      </c>
      <c r="F18" s="56">
        <f>IFERROR(E18/C18,"")</f>
        <v>1753.5</v>
      </c>
      <c r="G18">
        <f>IFERROR(C18*D18,"")</f>
        <v>15.2</v>
      </c>
      <c r="H18">
        <f>IFERROR(G18*2,"")</f>
        <v>30.4</v>
      </c>
      <c r="I18" s="56">
        <f>IFERROR(E18/G18,"")</f>
        <v>461.44736842105266</v>
      </c>
      <c r="J18" s="57">
        <f>IFERROR(1-(I18/$AC$3),"")</f>
        <v>0</v>
      </c>
      <c r="K18" t="s">
        <v>320</v>
      </c>
      <c r="L18">
        <f>MIN(SEARCH({0,1,2,3,4,5,6,7,8,9},K18&amp;"0123456789"))</f>
        <v>54</v>
      </c>
      <c r="M18" t="str">
        <f>LEFT(RIGHT(K18,LEN(K18)-L18+1),6)</f>
        <v>192467</v>
      </c>
      <c r="N18" t="s">
        <v>395</v>
      </c>
      <c r="O18" s="70" t="str">
        <f>IFERROR(RIGHT(SUBSTITUTE(N18,"$",CHAR(9),2),LEN(N18)-FIND(CHAR(9),SUBSTITUTE(N18,"$",CHAR(9),2),1) ),N18)</f>
        <v>7014.00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>
        <f t="shared" si="0"/>
        <v>461.44736842105266</v>
      </c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</row>
    <row r="19" spans="1:123">
      <c r="A19" t="s">
        <v>219</v>
      </c>
      <c r="B19" s="54" t="str">
        <f>TRIM(MID(SUBSTITUTE(A19," ",REPT(" ",LEN(A19))), (4-1)*LEN(A19)+1, LEN(A19)))</f>
        <v>8253</v>
      </c>
      <c r="C19">
        <f>IFERROR(VLOOKUP(A19,Processor_DB_Intel!$A$1:'Processor_DB_Intel'!$D$494,4,FALSE),"")</f>
        <v>16</v>
      </c>
      <c r="D19" t="str">
        <f>IFERROR(LEFT(VLOOKUP(A19,Processor_DB_Intel!$A$1:'Processor_DB_Intel'!$F$494,6,FALSE),3),"")</f>
        <v>2.2</v>
      </c>
      <c r="E19" s="73">
        <f>IF(O19 = 0,"",O19)</f>
        <v>3115</v>
      </c>
      <c r="F19" s="56">
        <f>IFERROR(E19/C19,"")</f>
        <v>194.6875</v>
      </c>
      <c r="G19">
        <f>IFERROR(C19*D19,"")</f>
        <v>35.200000000000003</v>
      </c>
      <c r="H19">
        <f>IFERROR(G19*2,"")</f>
        <v>70.400000000000006</v>
      </c>
      <c r="I19" s="56">
        <f>IFERROR(E19/G19,"")</f>
        <v>88.494318181818173</v>
      </c>
      <c r="J19" s="57">
        <f>IFERROR(1-(I19/$AC$3),"")</f>
        <v>0.80822446017056793</v>
      </c>
      <c r="K19" t="s">
        <v>321</v>
      </c>
      <c r="L19">
        <f>MIN(SEARCH({0,1,2,3,4,5,6,7,8,9},K19&amp;"0123456789"))</f>
        <v>54</v>
      </c>
      <c r="M19" t="str">
        <f>LEFT(RIGHT(K19,LEN(K19)-L19+1),6)</f>
        <v>192465</v>
      </c>
      <c r="N19" s="69">
        <v>3115</v>
      </c>
      <c r="O19" s="70">
        <f>IFERROR(RIGHT(SUBSTITUTE(N19,"$",CHAR(9),2),LEN(N19)-FIND(CHAR(9),SUBSTITUTE(N19,"$",CHAR(9),2),1) ),N19)</f>
        <v>3115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>
        <f t="shared" si="0"/>
        <v>88.494318181818173</v>
      </c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</row>
    <row r="20" spans="1:123">
      <c r="A20" t="s">
        <v>222</v>
      </c>
      <c r="B20" s="54" t="str">
        <f>TRIM(MID(SUBSTITUTE(A20," ",REPT(" ",LEN(A20))), (4-1)*LEN(A20)+1, LEN(A20)))</f>
        <v>6262V</v>
      </c>
      <c r="C20" s="78">
        <f>IFERROR(VLOOKUP(A20,Processor_DB_Intel!$A$1:'Processor_DB_Intel'!$D$494,4,FALSE),"")</f>
        <v>24</v>
      </c>
      <c r="D20" t="str">
        <f>IFERROR(LEFT(VLOOKUP(A20,Processor_DB_Intel!$A$1:'Processor_DB_Intel'!$F$494,6,FALSE),3),"")</f>
        <v>1.9</v>
      </c>
      <c r="E20" s="73">
        <f>IF(O20 = 0,"",O20)</f>
        <v>2900</v>
      </c>
      <c r="F20" s="56">
        <f>IFERROR(E20/C20,"")</f>
        <v>120.83333333333333</v>
      </c>
      <c r="G20">
        <f>IFERROR(C20*D20,"")</f>
        <v>45.599999999999994</v>
      </c>
      <c r="H20">
        <f>IFERROR(G20*2,"")</f>
        <v>91.199999999999989</v>
      </c>
      <c r="I20" s="56">
        <f>IFERROR(E20/G20,"")</f>
        <v>63.596491228070185</v>
      </c>
      <c r="J20" s="57">
        <f>IFERROR(1-(I20/$AC$3),"")</f>
        <v>0.86218040110255678</v>
      </c>
      <c r="K20" t="s">
        <v>369</v>
      </c>
      <c r="L20">
        <f>MIN(SEARCH({0,1,2,3,4,5,6,7,8,9},K20&amp;"0123456789"))</f>
        <v>54</v>
      </c>
      <c r="M20" t="str">
        <f>LEFT(RIGHT(K20,LEN(K20)-L20+1),6)</f>
        <v>193972</v>
      </c>
      <c r="N20" s="69">
        <v>2900</v>
      </c>
      <c r="O20" s="70">
        <f>IFERROR(RIGHT(SUBSTITUTE(N20,"$",CHAR(9),2),LEN(N20)-FIND(CHAR(9),SUBSTITUTE(N20,"$",CHAR(9),2),1) ),N20)</f>
        <v>2900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>
        <f t="shared" si="0"/>
        <v>63.596491228070185</v>
      </c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</row>
    <row r="21" spans="1:123">
      <c r="A21" t="s">
        <v>226</v>
      </c>
      <c r="B21" s="54" t="str">
        <f>TRIM(MID(SUBSTITUTE(A21," ",REPT(" ",LEN(A21))), (4-1)*LEN(A21)+1, LEN(A21)))</f>
        <v>6258R</v>
      </c>
      <c r="C21">
        <f>IFERROR(VLOOKUP(A21,Processor_DB_Intel!$A$1:'Processor_DB_Intel'!$D$494,4,FALSE),"")</f>
        <v>28</v>
      </c>
      <c r="D21" t="str">
        <f>IFERROR(LEFT(VLOOKUP(A21,Processor_DB_Intel!$A$1:'Processor_DB_Intel'!$F$494,6,FALSE),3),"")</f>
        <v>2.7</v>
      </c>
      <c r="E21" s="73">
        <f>IF(O21 = 0,"",O21)</f>
        <v>3950</v>
      </c>
      <c r="F21" s="56">
        <f>IFERROR(E21/C21,"")</f>
        <v>141.07142857142858</v>
      </c>
      <c r="G21">
        <f>IFERROR(C21*D21,"")</f>
        <v>75.600000000000009</v>
      </c>
      <c r="H21">
        <f>IFERROR(G21*2,"")</f>
        <v>151.20000000000002</v>
      </c>
      <c r="I21" s="56">
        <f>IFERROR(E21/G21,"")</f>
        <v>52.24867724867724</v>
      </c>
      <c r="J21" s="57">
        <f>IFERROR(1-(I21/$AC$3),"")</f>
        <v>0.88677218503280664</v>
      </c>
      <c r="K21" t="s">
        <v>322</v>
      </c>
      <c r="L21">
        <f>MIN(SEARCH({0,1,2,3,4,5,6,7,8,9},K21&amp;"0123456789"))</f>
        <v>54</v>
      </c>
      <c r="M21" t="str">
        <f>LEFT(RIGHT(K21,LEN(K21)-L21+1),6)</f>
        <v>199350</v>
      </c>
      <c r="N21" s="69">
        <v>3950</v>
      </c>
      <c r="O21" s="70">
        <f>IFERROR(RIGHT(SUBSTITUTE(N21,"$",CHAR(9),2),LEN(N21)-FIND(CHAR(9),SUBSTITUTE(N21,"$",CHAR(9),2),1) ),N21)</f>
        <v>3950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>
        <f t="shared" si="0"/>
        <v>52.24867724867724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</row>
    <row r="22" spans="1:123">
      <c r="A22" t="s">
        <v>228</v>
      </c>
      <c r="B22" s="54" t="str">
        <f>TRIM(MID(SUBSTITUTE(A22," ",REPT(" ",LEN(A22))), (4-1)*LEN(A22)+1, LEN(A22)))</f>
        <v>6256</v>
      </c>
      <c r="C22">
        <f>IFERROR(VLOOKUP(A22,Processor_DB_Intel!$A$1:'Processor_DB_Intel'!$D$494,4,FALSE),"")</f>
        <v>12</v>
      </c>
      <c r="D22" t="str">
        <f>IFERROR(LEFT(VLOOKUP(A22,Processor_DB_Intel!$A$1:'Processor_DB_Intel'!$F$494,6,FALSE),3),"")</f>
        <v>3.6</v>
      </c>
      <c r="E22" s="73">
        <f>IF(O22 = 0,"",O22)</f>
        <v>3900</v>
      </c>
      <c r="F22" s="56">
        <f>IFERROR(E22/C22,"")</f>
        <v>325</v>
      </c>
      <c r="G22">
        <f>IFERROR(C22*D22,"")</f>
        <v>43.2</v>
      </c>
      <c r="H22">
        <f>IFERROR(G22*2,"")</f>
        <v>86.4</v>
      </c>
      <c r="I22" s="56">
        <f>IFERROR(E22/G22,"")</f>
        <v>90.277777777777771</v>
      </c>
      <c r="J22" s="57">
        <f>IFERROR(1-(I22/$AC$3),"")</f>
        <v>0.80435953489845713</v>
      </c>
      <c r="K22" t="s">
        <v>323</v>
      </c>
      <c r="L22">
        <f>MIN(SEARCH({0,1,2,3,4,5,6,7,8,9},K22&amp;"0123456789"))</f>
        <v>54</v>
      </c>
      <c r="M22" t="str">
        <f>LEFT(RIGHT(K22,LEN(K22)-L22+1),6)</f>
        <v>198655</v>
      </c>
      <c r="N22" s="69">
        <v>3900</v>
      </c>
      <c r="O22" s="70">
        <f>IFERROR(RIGHT(SUBSTITUTE(N22,"$",CHAR(9),2),LEN(N22)-FIND(CHAR(9),SUBSTITUTE(N22,"$",CHAR(9),2),1) ),N22)</f>
        <v>3900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>
        <f t="shared" si="0"/>
        <v>90.277777777777771</v>
      </c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</row>
    <row r="23" spans="1:123">
      <c r="A23" t="s">
        <v>230</v>
      </c>
      <c r="B23" s="54" t="str">
        <f>TRIM(MID(SUBSTITUTE(A23," ",REPT(" ",LEN(A23))), (4-1)*LEN(A23)+1, LEN(A23)))</f>
        <v>6254</v>
      </c>
      <c r="C23">
        <f>IFERROR(VLOOKUP(A23,Processor_DB_Intel!$A$1:'Processor_DB_Intel'!$D$494,4,FALSE),"")</f>
        <v>18</v>
      </c>
      <c r="D23" t="str">
        <f>IFERROR(LEFT(VLOOKUP(A23,Processor_DB_Intel!$A$1:'Processor_DB_Intel'!$F$494,6,FALSE),3),"")</f>
        <v>3.1</v>
      </c>
      <c r="E23" s="73">
        <f>IF(O23 = 0,"",O23)</f>
        <v>3803</v>
      </c>
      <c r="F23" s="56">
        <f>IFERROR(E23/C23,"")</f>
        <v>211.27777777777777</v>
      </c>
      <c r="G23">
        <f>IFERROR(C23*D23,"")</f>
        <v>55.800000000000004</v>
      </c>
      <c r="H23">
        <f>IFERROR(G23*2,"")</f>
        <v>111.60000000000001</v>
      </c>
      <c r="I23" s="56">
        <f>IFERROR(E23/G23,"")</f>
        <v>68.154121863799276</v>
      </c>
      <c r="J23" s="57">
        <f>IFERROR(1-(I23/$AC$3),"")</f>
        <v>0.85230358535361439</v>
      </c>
      <c r="K23" t="s">
        <v>324</v>
      </c>
      <c r="L23">
        <f>MIN(SEARCH({0,1,2,3,4,5,6,7,8,9},K23&amp;"0123456789"))</f>
        <v>54</v>
      </c>
      <c r="M23" t="str">
        <f>LEFT(RIGHT(K23,LEN(K23)-L23+1),6)</f>
        <v>192451</v>
      </c>
      <c r="N23" s="69">
        <v>3803</v>
      </c>
      <c r="O23" s="70">
        <f>IFERROR(RIGHT(SUBSTITUTE(N23,"$",CHAR(9),2),LEN(N23)-FIND(CHAR(9),SUBSTITUTE(N23,"$",CHAR(9),2),1) ),N23)</f>
        <v>3803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>
        <f t="shared" si="0"/>
        <v>68.154121863799276</v>
      </c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</row>
    <row r="24" spans="1:123">
      <c r="A24" t="s">
        <v>233</v>
      </c>
      <c r="B24" s="54" t="str">
        <f>TRIM(MID(SUBSTITUTE(A24," ",REPT(" ",LEN(A24))), (4-1)*LEN(A24)+1, LEN(A24)))</f>
        <v>6252N</v>
      </c>
      <c r="C24">
        <f>IFERROR(VLOOKUP(A24,Processor_DB_Intel!$A$1:'Processor_DB_Intel'!$D$494,4,FALSE),"")</f>
        <v>24</v>
      </c>
      <c r="D24" t="str">
        <f>IFERROR(LEFT(VLOOKUP(A24,Processor_DB_Intel!$A$1:'Processor_DB_Intel'!$F$494,6,FALSE),3),"")</f>
        <v>2.3</v>
      </c>
      <c r="E24" s="73">
        <f>IF(O24 = 0,"",O24)</f>
        <v>1788</v>
      </c>
      <c r="F24" s="56">
        <f>IFERROR(E24/C24,"")</f>
        <v>74.5</v>
      </c>
      <c r="G24">
        <f>IFERROR(C24*D24,"")</f>
        <v>55.199999999999996</v>
      </c>
      <c r="H24">
        <f>IFERROR(G24*2,"")</f>
        <v>110.39999999999999</v>
      </c>
      <c r="I24" s="56">
        <f>IFERROR(E24/G24,"")</f>
        <v>32.391304347826086</v>
      </c>
      <c r="J24" s="57">
        <f>IFERROR(1-(I24/$AC$3),"")</f>
        <v>0.92980498630069053</v>
      </c>
      <c r="K24" t="s">
        <v>325</v>
      </c>
      <c r="L24">
        <f>MIN(SEARCH({0,1,2,3,4,5,6,7,8,9},K24&amp;"0123456789"))</f>
        <v>54</v>
      </c>
      <c r="M24" t="str">
        <f>LEFT(RIGHT(K24,LEN(K24)-L24+1),6)</f>
        <v>193951</v>
      </c>
      <c r="N24" s="69">
        <v>1788</v>
      </c>
      <c r="O24" s="70">
        <f>IFERROR(RIGHT(SUBSTITUTE(N24,"$",CHAR(9),2),LEN(N24)-FIND(CHAR(9),SUBSTITUTE(N24,"$",CHAR(9),2),1) ),N24)</f>
        <v>1788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>
        <f t="shared" si="0"/>
        <v>32.391304347826086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</row>
    <row r="25" spans="1:123">
      <c r="A25" t="s">
        <v>234</v>
      </c>
      <c r="B25" s="54" t="str">
        <f>TRIM(MID(SUBSTITUTE(A25," ",REPT(" ",LEN(A25))), (4-1)*LEN(A25)+1, LEN(A25)))</f>
        <v>6252</v>
      </c>
      <c r="C25">
        <f>IFERROR(VLOOKUP(A25,Processor_DB_Intel!$A$1:'Processor_DB_Intel'!$D$494,4,FALSE),"")</f>
        <v>24</v>
      </c>
      <c r="D25" t="str">
        <f>IFERROR(LEFT(VLOOKUP(A25,Processor_DB_Intel!$A$1:'Processor_DB_Intel'!$F$494,6,FALSE),3),"")</f>
        <v>2.1</v>
      </c>
      <c r="E25" s="73" t="str">
        <f>IF(O25 = 0,"",O25)</f>
        <v>3662.00</v>
      </c>
      <c r="F25" s="56">
        <f>IFERROR(E25/C25,"")</f>
        <v>152.58333333333334</v>
      </c>
      <c r="G25">
        <f>IFERROR(C25*D25,"")</f>
        <v>50.400000000000006</v>
      </c>
      <c r="H25">
        <f>IFERROR(G25*2,"")</f>
        <v>100.80000000000001</v>
      </c>
      <c r="I25" s="56">
        <f>IFERROR(E25/G25,"")</f>
        <v>72.658730158730151</v>
      </c>
      <c r="J25" s="57">
        <f>IFERROR(1-(I25/$AC$3),"")</f>
        <v>0.84254167402157143</v>
      </c>
      <c r="K25" t="s">
        <v>326</v>
      </c>
      <c r="L25">
        <f>MIN(SEARCH({0,1,2,3,4,5,6,7,8,9},K25&amp;"0123456789"))</f>
        <v>54</v>
      </c>
      <c r="M25" t="str">
        <f>LEFT(RIGHT(K25,LEN(K25)-L25+1),6)</f>
        <v>192447</v>
      </c>
      <c r="N25" s="69" t="s">
        <v>396</v>
      </c>
      <c r="O25" s="70" t="str">
        <f>IFERROR(RIGHT(SUBSTITUTE(N25,"$",CHAR(9),2),LEN(N25)-FIND(CHAR(9),SUBSTITUTE(N25,"$",CHAR(9),2),1) ),N25)</f>
        <v>3662.00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>
        <f t="shared" si="0"/>
        <v>72.658730158730151</v>
      </c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</row>
    <row r="26" spans="1:123">
      <c r="A26" t="s">
        <v>236</v>
      </c>
      <c r="B26" s="54" t="str">
        <f>TRIM(MID(SUBSTITUTE(A26," ",REPT(" ",LEN(A26))), (4-1)*LEN(A26)+1, LEN(A26)))</f>
        <v>6250L</v>
      </c>
      <c r="C26">
        <f>IFERROR(VLOOKUP(A26,Processor_DB_Intel!$A$1:'Processor_DB_Intel'!$D$494,4,FALSE),"")</f>
        <v>8</v>
      </c>
      <c r="D26" t="str">
        <f>IFERROR(LEFT(VLOOKUP(A26,Processor_DB_Intel!$A$1:'Processor_DB_Intel'!$F$494,6,FALSE),3),"")</f>
        <v>3.9</v>
      </c>
      <c r="E26" s="73">
        <f>IF(O26 = 0,"",O26)</f>
        <v>6404</v>
      </c>
      <c r="F26" s="56">
        <f>IFERROR(E26/C26,"")</f>
        <v>800.5</v>
      </c>
      <c r="G26">
        <f>IFERROR(C26*D26,"")</f>
        <v>31.2</v>
      </c>
      <c r="H26">
        <f>IFERROR(G26*2,"")</f>
        <v>62.4</v>
      </c>
      <c r="I26" s="56">
        <f>IFERROR(E26/G26,"")</f>
        <v>205.25641025641025</v>
      </c>
      <c r="J26" s="57">
        <f>IFERROR(1-(I26/$AC$3),"")</f>
        <v>0.55518998632771099</v>
      </c>
      <c r="K26" t="s">
        <v>327</v>
      </c>
      <c r="L26">
        <f>MIN(SEARCH({0,1,2,3,4,5,6,7,8,9},K26&amp;"0123456789"))</f>
        <v>54</v>
      </c>
      <c r="M26" t="str">
        <f>LEFT(RIGHT(K26,LEN(K26)-L26+1),6)</f>
        <v>202780</v>
      </c>
      <c r="N26" s="69">
        <v>6404</v>
      </c>
      <c r="O26" s="70">
        <f>IFERROR(RIGHT(SUBSTITUTE(N26,"$",CHAR(9),2),LEN(N26)-FIND(CHAR(9),SUBSTITUTE(N26,"$",CHAR(9),2),1) ),N26)</f>
        <v>6404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>
        <f t="shared" si="0"/>
        <v>205.25641025641025</v>
      </c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</row>
    <row r="27" spans="1:123">
      <c r="A27" t="s">
        <v>237</v>
      </c>
      <c r="B27" s="54" t="str">
        <f>TRIM(MID(SUBSTITUTE(A27," ",REPT(" ",LEN(A27))), (4-1)*LEN(A27)+1, LEN(A27)))</f>
        <v>6250</v>
      </c>
      <c r="C27">
        <f>IFERROR(VLOOKUP(A27,Processor_DB_Intel!$A$1:'Processor_DB_Intel'!$D$494,4,FALSE),"")</f>
        <v>8</v>
      </c>
      <c r="D27" t="str">
        <f>IFERROR(LEFT(VLOOKUP(A27,Processor_DB_Intel!$A$1:'Processor_DB_Intel'!$F$494,6,FALSE),3),"")</f>
        <v>3.9</v>
      </c>
      <c r="E27" s="73">
        <f>IF(O27 = 0,"",O27)</f>
        <v>3400</v>
      </c>
      <c r="F27" s="56">
        <f>IFERROR(E27/C27,"")</f>
        <v>425</v>
      </c>
      <c r="G27">
        <f>IFERROR(C27*D27,"")</f>
        <v>31.2</v>
      </c>
      <c r="H27">
        <f>IFERROR(G27*2,"")</f>
        <v>62.4</v>
      </c>
      <c r="I27" s="56">
        <f>IFERROR(E27/G27,"")</f>
        <v>108.97435897435898</v>
      </c>
      <c r="J27" s="57">
        <f>IFERROR(1-(I27/$AC$3),"")</f>
        <v>0.76384227881233868</v>
      </c>
      <c r="K27" t="s">
        <v>370</v>
      </c>
      <c r="L27">
        <f>MIN(SEARCH({0,1,2,3,4,5,6,7,8,9},K27&amp;"0123456789"))</f>
        <v>54</v>
      </c>
      <c r="M27" t="str">
        <f>LEFT(RIGHT(K27,LEN(K27)-L27+1),6)</f>
        <v>198652</v>
      </c>
      <c r="N27" s="69">
        <v>3400</v>
      </c>
      <c r="O27" s="70">
        <f>IFERROR(RIGHT(SUBSTITUTE(N27,"$",CHAR(9),2),LEN(N27)-FIND(CHAR(9),SUBSTITUTE(N27,"$",CHAR(9),2),1) ),N27)</f>
        <v>3400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>
        <f t="shared" si="0"/>
        <v>108.97435897435898</v>
      </c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</row>
    <row r="28" spans="1:123">
      <c r="A28" t="s">
        <v>238</v>
      </c>
      <c r="B28" s="54" t="str">
        <f>TRIM(MID(SUBSTITUTE(A28," ",REPT(" ",LEN(A28))), (4-1)*LEN(A28)+1, LEN(A28)))</f>
        <v>6248R</v>
      </c>
      <c r="C28">
        <f>IFERROR(VLOOKUP(A28,Processor_DB_Intel!$A$1:'Processor_DB_Intel'!$D$494,4,FALSE),"")</f>
        <v>24</v>
      </c>
      <c r="D28" t="str">
        <f>IFERROR(LEFT(VLOOKUP(A28,Processor_DB_Intel!$A$1:'Processor_DB_Intel'!$F$494,6,FALSE),3),"")</f>
        <v>3.0</v>
      </c>
      <c r="E28" s="73">
        <f>IF(O28 = 0,"",O28)</f>
        <v>2700</v>
      </c>
      <c r="F28" s="56">
        <f>IFERROR(E28/C28,"")</f>
        <v>112.5</v>
      </c>
      <c r="G28">
        <f>IFERROR(C28*D28,"")</f>
        <v>72</v>
      </c>
      <c r="H28">
        <f>IFERROR(G28*2,"")</f>
        <v>144</v>
      </c>
      <c r="I28" s="56">
        <f>IFERROR(E28/G28,"")</f>
        <v>37.5</v>
      </c>
      <c r="J28" s="57">
        <f>IFERROR(1-(I28/$AC$3),"")</f>
        <v>0.91873396065012836</v>
      </c>
      <c r="K28" t="s">
        <v>328</v>
      </c>
      <c r="L28">
        <f>MIN(SEARCH({0,1,2,3,4,5,6,7,8,9},K28&amp;"0123456789"))</f>
        <v>54</v>
      </c>
      <c r="M28" t="str">
        <f>LEFT(RIGHT(K28,LEN(K28)-L28+1),6)</f>
        <v>199351</v>
      </c>
      <c r="N28" s="69">
        <v>2700</v>
      </c>
      <c r="O28" s="70">
        <f>IFERROR(RIGHT(SUBSTITUTE(N28,"$",CHAR(9),2),LEN(N28)-FIND(CHAR(9),SUBSTITUTE(N28,"$",CHAR(9),2),1) ),N28)</f>
        <v>2700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>
        <f t="shared" si="0"/>
        <v>37.5</v>
      </c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</row>
    <row r="29" spans="1:123">
      <c r="A29" t="s">
        <v>239</v>
      </c>
      <c r="B29" s="54" t="str">
        <f>TRIM(MID(SUBSTITUTE(A29," ",REPT(" ",LEN(A29))), (4-1)*LEN(A29)+1, LEN(A29)))</f>
        <v>6248</v>
      </c>
      <c r="C29">
        <f>IFERROR(VLOOKUP(A29,Processor_DB_Intel!$A$1:'Processor_DB_Intel'!$D$494,4,FALSE),"")</f>
        <v>20</v>
      </c>
      <c r="D29" t="str">
        <f>IFERROR(LEFT(VLOOKUP(A29,Processor_DB_Intel!$A$1:'Processor_DB_Intel'!$F$494,6,FALSE),3),"")</f>
        <v>2.5</v>
      </c>
      <c r="E29" s="73" t="str">
        <f>IF(O29 = 0,"",O29)</f>
        <v>3078.00</v>
      </c>
      <c r="F29" s="56">
        <f>IFERROR(E29/C29,"")</f>
        <v>153.9</v>
      </c>
      <c r="G29">
        <f>IFERROR(C29*D29,"")</f>
        <v>50</v>
      </c>
      <c r="H29">
        <f>IFERROR(G29*2,"")</f>
        <v>100</v>
      </c>
      <c r="I29" s="56">
        <f>IFERROR(E29/G29,"")</f>
        <v>61.56</v>
      </c>
      <c r="J29" s="57">
        <f>IFERROR(1-(I29/$AC$3),"")</f>
        <v>0.86659366980325059</v>
      </c>
      <c r="K29" t="s">
        <v>329</v>
      </c>
      <c r="L29">
        <f>MIN(SEARCH({0,1,2,3,4,5,6,7,8,9},K29&amp;"0123456789"))</f>
        <v>54</v>
      </c>
      <c r="M29" t="str">
        <f>LEFT(RIGHT(K29,LEN(K29)-L29+1),6)</f>
        <v>192446</v>
      </c>
      <c r="N29" s="69" t="s">
        <v>397</v>
      </c>
      <c r="O29" s="70" t="str">
        <f>IFERROR(RIGHT(SUBSTITUTE(N29,"$",CHAR(9),2),LEN(N29)-FIND(CHAR(9),SUBSTITUTE(N29,"$",CHAR(9),2),1) ),N29)</f>
        <v>3078.00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>
        <f t="shared" si="0"/>
        <v>61.56</v>
      </c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</row>
    <row r="30" spans="1:123">
      <c r="A30" t="s">
        <v>242</v>
      </c>
      <c r="B30" s="54" t="str">
        <f>TRIM(MID(SUBSTITUTE(A30," ",REPT(" ",LEN(A30))), (4-1)*LEN(A30)+1, LEN(A30)))</f>
        <v>6246R</v>
      </c>
      <c r="C30">
        <f>IFERROR(VLOOKUP(A30,Processor_DB_Intel!$A$1:'Processor_DB_Intel'!$D$494,4,FALSE),"")</f>
        <v>16</v>
      </c>
      <c r="D30" t="str">
        <f>IFERROR(LEFT(VLOOKUP(A30,Processor_DB_Intel!$A$1:'Processor_DB_Intel'!$F$494,6,FALSE),3),"")</f>
        <v>3.4</v>
      </c>
      <c r="E30" s="73">
        <f>IF(O30 = 0,"",O30)</f>
        <v>3286</v>
      </c>
      <c r="F30" s="56">
        <f>IFERROR(E30/C30,"")</f>
        <v>205.375</v>
      </c>
      <c r="G30">
        <f>IFERROR(C30*D30,"")</f>
        <v>54.4</v>
      </c>
      <c r="H30">
        <f>IFERROR(G30*2,"")</f>
        <v>108.8</v>
      </c>
      <c r="I30" s="56">
        <f>IFERROR(E30/G30,"")</f>
        <v>60.404411764705884</v>
      </c>
      <c r="J30" s="57">
        <f>IFERROR(1-(I30/$AC$3),"")</f>
        <v>0.8690979385766282</v>
      </c>
      <c r="K30" t="s">
        <v>330</v>
      </c>
      <c r="L30">
        <f>MIN(SEARCH({0,1,2,3,4,5,6,7,8,9},K30&amp;"0123456789"))</f>
        <v>54</v>
      </c>
      <c r="M30" t="str">
        <f>LEFT(RIGHT(K30,LEN(K30)-L30+1),6)</f>
        <v>199353</v>
      </c>
      <c r="N30" s="69">
        <v>3286</v>
      </c>
      <c r="O30" s="70">
        <f>IFERROR(RIGHT(SUBSTITUTE(N30,"$",CHAR(9),2),LEN(N30)-FIND(CHAR(9),SUBSTITUTE(N30,"$",CHAR(9),2),1) ),N30)</f>
        <v>3286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>
        <f t="shared" si="0"/>
        <v>60.404411764705884</v>
      </c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</row>
    <row r="31" spans="1:123">
      <c r="A31" t="s">
        <v>245</v>
      </c>
      <c r="B31" s="54" t="str">
        <f>TRIM(MID(SUBSTITUTE(A31," ",REPT(" ",LEN(A31))), (4-1)*LEN(A31)+1, LEN(A31)))</f>
        <v>6246</v>
      </c>
      <c r="C31">
        <f>IFERROR(VLOOKUP(A31,Processor_DB_Intel!$A$1:'Processor_DB_Intel'!$D$494,4,FALSE),"")</f>
        <v>12</v>
      </c>
      <c r="D31" t="str">
        <f>IFERROR(LEFT(VLOOKUP(A31,Processor_DB_Intel!$A$1:'Processor_DB_Intel'!$F$494,6,FALSE),3),"")</f>
        <v>3.3</v>
      </c>
      <c r="E31" s="73">
        <f>IF(O31 = 0,"",O31)</f>
        <v>3286</v>
      </c>
      <c r="F31" s="56">
        <f>IFERROR(E31/C31,"")</f>
        <v>273.83333333333331</v>
      </c>
      <c r="G31">
        <f>IFERROR(C31*D31,"")</f>
        <v>39.599999999999994</v>
      </c>
      <c r="H31">
        <f>IFERROR(G31*2,"")</f>
        <v>79.199999999999989</v>
      </c>
      <c r="I31" s="56">
        <f>IFERROR(E31/G31,"")</f>
        <v>82.979797979797993</v>
      </c>
      <c r="J31" s="57">
        <f>IFERROR(1-(I31/$AC$3),"")</f>
        <v>0.82017494592344886</v>
      </c>
      <c r="K31" t="s">
        <v>331</v>
      </c>
      <c r="L31">
        <f>MIN(SEARCH({0,1,2,3,4,5,6,7,8,9},K31&amp;"0123456789"))</f>
        <v>54</v>
      </c>
      <c r="M31" t="str">
        <f>LEFT(RIGHT(K31,LEN(K31)-L31+1),6)</f>
        <v>193969</v>
      </c>
      <c r="N31" s="69">
        <v>3286</v>
      </c>
      <c r="O31" s="70">
        <f>IFERROR(RIGHT(SUBSTITUTE(N31,"$",CHAR(9),2),LEN(N31)-FIND(CHAR(9),SUBSTITUTE(N31,"$",CHAR(9),2),1) ),N31)</f>
        <v>3286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>
        <f t="shared" si="0"/>
        <v>82.979797979797993</v>
      </c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</row>
    <row r="32" spans="1:123">
      <c r="A32" t="s">
        <v>248</v>
      </c>
      <c r="B32" s="54" t="str">
        <f>TRIM(MID(SUBSTITUTE(A32," ",REPT(" ",LEN(A32))), (4-1)*LEN(A32)+1, LEN(A32)))</f>
        <v>6244</v>
      </c>
      <c r="C32">
        <f>IFERROR(VLOOKUP(A32,Processor_DB_Intel!$A$1:'Processor_DB_Intel'!$D$494,4,FALSE),"")</f>
        <v>8</v>
      </c>
      <c r="D32" t="str">
        <f>IFERROR(LEFT(VLOOKUP(A32,Processor_DB_Intel!$A$1:'Processor_DB_Intel'!$F$494,6,FALSE),3),"")</f>
        <v>3.6</v>
      </c>
      <c r="E32" s="73">
        <f>IF(O32 = 0,"",O32)</f>
        <v>2925</v>
      </c>
      <c r="F32" s="56">
        <f>IFERROR(E32/C32,"")</f>
        <v>365.625</v>
      </c>
      <c r="G32">
        <f>IFERROR(C32*D32,"")</f>
        <v>28.8</v>
      </c>
      <c r="H32">
        <f>IFERROR(G32*2,"")</f>
        <v>57.6</v>
      </c>
      <c r="I32" s="56">
        <f>IFERROR(E32/G32,"")</f>
        <v>101.5625</v>
      </c>
      <c r="J32" s="57">
        <f>IFERROR(1-(I32/$AC$3),"")</f>
        <v>0.77990447676076413</v>
      </c>
      <c r="K32" t="s">
        <v>332</v>
      </c>
      <c r="L32">
        <f>MIN(SEARCH({0,1,2,3,4,5,6,7,8,9},K32&amp;"0123456789"))</f>
        <v>54</v>
      </c>
      <c r="M32" t="str">
        <f>LEFT(RIGHT(K32,LEN(K32)-L32+1),6)</f>
        <v>192442</v>
      </c>
      <c r="N32" s="69">
        <v>2925</v>
      </c>
      <c r="O32" s="70">
        <f>IFERROR(RIGHT(SUBSTITUTE(N32,"$",CHAR(9),2),LEN(N32)-FIND(CHAR(9),SUBSTITUTE(N32,"$",CHAR(9),2),1) ),N32)</f>
        <v>2925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>
        <f t="shared" si="0"/>
        <v>101.5625</v>
      </c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</row>
    <row r="33" spans="1:123">
      <c r="A33" t="s">
        <v>250</v>
      </c>
      <c r="B33" s="54" t="str">
        <f>TRIM(MID(SUBSTITUTE(A33," ",REPT(" ",LEN(A33))), (4-1)*LEN(A33)+1, LEN(A33)))</f>
        <v>6242R</v>
      </c>
      <c r="C33">
        <f>IFERROR(VLOOKUP(A33,Processor_DB_Intel!$A$1:'Processor_DB_Intel'!$D$494,4,FALSE),"")</f>
        <v>20</v>
      </c>
      <c r="D33" t="str">
        <f>IFERROR(LEFT(VLOOKUP(A33,Processor_DB_Intel!$A$1:'Processor_DB_Intel'!$F$494,6,FALSE),3),"")</f>
        <v>3.1</v>
      </c>
      <c r="E33" s="73">
        <f>IF(O33 = 0,"",O33)</f>
        <v>2529</v>
      </c>
      <c r="F33" s="56">
        <f>IFERROR(E33/C33,"")</f>
        <v>126.45</v>
      </c>
      <c r="G33">
        <f>IFERROR(C33*D33,"")</f>
        <v>62</v>
      </c>
      <c r="H33">
        <f>IFERROR(G33*2,"")</f>
        <v>124</v>
      </c>
      <c r="I33" s="56">
        <f>IFERROR(E33/G33,"")</f>
        <v>40.79032258064516</v>
      </c>
      <c r="J33" s="57">
        <f>IFERROR(1-(I33/$AC$3),"")</f>
        <v>0.91160352106846221</v>
      </c>
      <c r="K33" t="s">
        <v>371</v>
      </c>
      <c r="L33">
        <f>MIN(SEARCH({0,1,2,3,4,5,6,7,8,9},K33&amp;"0123456789"))</f>
        <v>54</v>
      </c>
      <c r="M33" t="str">
        <f>LEFT(RIGHT(K33,LEN(K33)-L33+1),6)</f>
        <v>199352</v>
      </c>
      <c r="N33" s="69">
        <v>2529</v>
      </c>
      <c r="O33" s="70">
        <f>IFERROR(RIGHT(SUBSTITUTE(N33,"$",CHAR(9),2),LEN(N33)-FIND(CHAR(9),SUBSTITUTE(N33,"$",CHAR(9),2),1) ),N33)</f>
        <v>2529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>
        <f t="shared" si="0"/>
        <v>40.79032258064516</v>
      </c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</row>
    <row r="34" spans="1:123">
      <c r="A34" t="s">
        <v>251</v>
      </c>
      <c r="B34" s="54" t="str">
        <f>TRIM(MID(SUBSTITUTE(A34," ",REPT(" ",LEN(A34))), (4-1)*LEN(A34)+1, LEN(A34)))</f>
        <v>6242</v>
      </c>
      <c r="C34">
        <f>IFERROR(VLOOKUP(A34,Processor_DB_Intel!$A$1:'Processor_DB_Intel'!$D$494,4,FALSE),"")</f>
        <v>16</v>
      </c>
      <c r="D34" t="str">
        <f>IFERROR(LEFT(VLOOKUP(A34,Processor_DB_Intel!$A$1:'Processor_DB_Intel'!$F$494,6,FALSE),3),"")</f>
        <v>2.8</v>
      </c>
      <c r="E34" s="73" t="str">
        <f>IF(O34 = 0,"",O34)</f>
        <v>2537.00</v>
      </c>
      <c r="F34" s="56">
        <f>IFERROR(E34/C34,"")</f>
        <v>158.5625</v>
      </c>
      <c r="G34">
        <f>IFERROR(C34*D34,"")</f>
        <v>44.8</v>
      </c>
      <c r="H34">
        <f>IFERROR(G34*2,"")</f>
        <v>89.6</v>
      </c>
      <c r="I34" s="56">
        <f>IFERROR(E34/G34,"")</f>
        <v>56.629464285714292</v>
      </c>
      <c r="J34" s="57">
        <f>IFERROR(1-(I34/$AC$3),"")</f>
        <v>0.87727860605319974</v>
      </c>
      <c r="K34" t="s">
        <v>333</v>
      </c>
      <c r="L34">
        <f>MIN(SEARCH({0,1,2,3,4,5,6,7,8,9},K34&amp;"0123456789"))</f>
        <v>54</v>
      </c>
      <c r="M34" t="str">
        <f>LEFT(RIGHT(K34,LEN(K34)-L34+1),6)</f>
        <v>192440</v>
      </c>
      <c r="N34" s="69" t="s">
        <v>398</v>
      </c>
      <c r="O34" s="70" t="str">
        <f>IFERROR(RIGHT(SUBSTITUTE(N34,"$",CHAR(9),2),LEN(N34)-FIND(CHAR(9),SUBSTITUTE(N34,"$",CHAR(9),2),1) ),N34)</f>
        <v>2537.00</v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f t="shared" si="0"/>
        <v>56.629464285714292</v>
      </c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</row>
    <row r="35" spans="1:123">
      <c r="A35" t="s">
        <v>253</v>
      </c>
      <c r="B35" s="54" t="str">
        <f>TRIM(MID(SUBSTITUTE(A35," ",REPT(" ",LEN(A35))), (4-1)*LEN(A35)+1, LEN(A35)))</f>
        <v>6240Y</v>
      </c>
      <c r="C35">
        <f>IFERROR(VLOOKUP(A35,Processor_DB_Intel!$A$1:'Processor_DB_Intel'!$D$494,4,FALSE),"")</f>
        <v>18</v>
      </c>
      <c r="D35" t="str">
        <f>IFERROR(LEFT(VLOOKUP(A35,Processor_DB_Intel!$A$1:'Processor_DB_Intel'!$F$494,6,FALSE),3),"")</f>
        <v>2.6</v>
      </c>
      <c r="E35" s="73">
        <f>IF(O35 = 0,"",O35)</f>
        <v>2726</v>
      </c>
      <c r="F35" s="56">
        <f>IFERROR(E35/C35,"")</f>
        <v>151.44444444444446</v>
      </c>
      <c r="G35">
        <f>IFERROR(C35*D35,"")</f>
        <v>46.800000000000004</v>
      </c>
      <c r="H35">
        <f>IFERROR(G35*2,"")</f>
        <v>93.600000000000009</v>
      </c>
      <c r="I35" s="56">
        <f>IFERROR(E35/G35,"")</f>
        <v>58.247863247863243</v>
      </c>
      <c r="J35" s="57">
        <f>IFERROR(1-(I35/$AC$3),"")</f>
        <v>0.8737713827534187</v>
      </c>
      <c r="K35" t="s">
        <v>372</v>
      </c>
      <c r="L35">
        <f>MIN(SEARCH({0,1,2,3,4,5,6,7,8,9},K35&amp;"0123456789"))</f>
        <v>54</v>
      </c>
      <c r="M35" t="str">
        <f>LEFT(RIGHT(K35,LEN(K35)-L35+1),6)</f>
        <v>192448</v>
      </c>
      <c r="N35" s="69">
        <v>2726</v>
      </c>
      <c r="O35" s="70">
        <f>IFERROR(RIGHT(SUBSTITUTE(N35,"$",CHAR(9),2),LEN(N35)-FIND(CHAR(9),SUBSTITUTE(N35,"$",CHAR(9),2),1) ),N35)</f>
        <v>2726</v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f t="shared" si="0"/>
        <v>58.247863247863243</v>
      </c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</row>
    <row r="36" spans="1:123">
      <c r="A36" t="s">
        <v>254</v>
      </c>
      <c r="B36" s="54" t="str">
        <f>TRIM(MID(SUBSTITUTE(A36," ",REPT(" ",LEN(A36))), (4-1)*LEN(A36)+1, LEN(A36)))</f>
        <v>6240R</v>
      </c>
      <c r="C36">
        <f>IFERROR(VLOOKUP(A36,Processor_DB_Intel!$A$1:'Processor_DB_Intel'!$D$494,4,FALSE),"")</f>
        <v>24</v>
      </c>
      <c r="D36" t="str">
        <f>IFERROR(LEFT(VLOOKUP(A36,Processor_DB_Intel!$A$1:'Processor_DB_Intel'!$F$494,6,FALSE),3),"")</f>
        <v>2.4</v>
      </c>
      <c r="E36" s="73" t="str">
        <f>IF(O36 = 0,"",O36)</f>
        <v>2205.00</v>
      </c>
      <c r="F36" s="56">
        <f>IFERROR(E36/C36,"")</f>
        <v>91.875</v>
      </c>
      <c r="G36">
        <f>IFERROR(C36*D36,"")</f>
        <v>57.599999999999994</v>
      </c>
      <c r="H36">
        <f>IFERROR(G36*2,"")</f>
        <v>115.19999999999999</v>
      </c>
      <c r="I36" s="56">
        <f>IFERROR(E36/G36,"")</f>
        <v>38.281250000000007</v>
      </c>
      <c r="J36" s="57">
        <f>IFERROR(1-(I36/$AC$3),"")</f>
        <v>0.91704091816367261</v>
      </c>
      <c r="K36" t="s">
        <v>334</v>
      </c>
      <c r="L36">
        <f>MIN(SEARCH({0,1,2,3,4,5,6,7,8,9},K36&amp;"0123456789"))</f>
        <v>54</v>
      </c>
      <c r="M36" t="str">
        <f>LEFT(RIGHT(K36,LEN(K36)-L36+1),6)</f>
        <v>199343</v>
      </c>
      <c r="N36" s="69" t="s">
        <v>399</v>
      </c>
      <c r="O36" s="70" t="str">
        <f>IFERROR(RIGHT(SUBSTITUTE(N36,"$",CHAR(9),2),LEN(N36)-FIND(CHAR(9),SUBSTITUTE(N36,"$",CHAR(9),2),1) ),N36)</f>
        <v>2205.00</v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f t="shared" si="0"/>
        <v>38.281250000000007</v>
      </c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</row>
    <row r="37" spans="1:123">
      <c r="A37" t="s">
        <v>255</v>
      </c>
      <c r="B37" s="54" t="str">
        <f>TRIM(MID(SUBSTITUTE(A37," ",REPT(" ",LEN(A37))), (4-1)*LEN(A37)+1, LEN(A37)))</f>
        <v>6240L</v>
      </c>
      <c r="C37">
        <f>IFERROR(VLOOKUP(A37,Processor_DB_Intel!$A$1:'Processor_DB_Intel'!$D$494,4,FALSE),"")</f>
        <v>18</v>
      </c>
      <c r="D37" t="str">
        <f>IFERROR(LEFT(VLOOKUP(A37,Processor_DB_Intel!$A$1:'Processor_DB_Intel'!$F$494,6,FALSE),3),"")</f>
        <v>2.6</v>
      </c>
      <c r="E37" s="73" t="str">
        <f>IF(O37 = 0,"",O37)</f>
        <v>2451.00</v>
      </c>
      <c r="F37" s="56">
        <f>IFERROR(E37/C37,"")</f>
        <v>136.16666666666666</v>
      </c>
      <c r="G37">
        <f>IFERROR(C37*D37,"")</f>
        <v>46.800000000000004</v>
      </c>
      <c r="H37">
        <f>IFERROR(G37*2,"")</f>
        <v>93.600000000000009</v>
      </c>
      <c r="I37" s="56">
        <f>IFERROR(E37/G37,"")</f>
        <v>52.371794871794869</v>
      </c>
      <c r="J37" s="57">
        <f>IFERROR(1-(I37/$AC$3),"")</f>
        <v>0.88650537752334158</v>
      </c>
      <c r="K37" t="s">
        <v>335</v>
      </c>
      <c r="L37">
        <f>MIN(SEARCH({0,1,2,3,4,5,6,7,8,9},K37&amp;"0123456789"))</f>
        <v>54</v>
      </c>
      <c r="M37" t="str">
        <f>LEFT(RIGHT(K37,LEN(K37)-L37+1),6)</f>
        <v>192443</v>
      </c>
      <c r="N37" t="s">
        <v>400</v>
      </c>
      <c r="O37" s="70" t="str">
        <f>IFERROR(RIGHT(SUBSTITUTE(N37,"$",CHAR(9),2),LEN(N37)-FIND(CHAR(9),SUBSTITUTE(N37,"$",CHAR(9),2),1) ),N37)</f>
        <v>2451.00</v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>
        <f t="shared" si="0"/>
        <v>52.371794871794869</v>
      </c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</row>
    <row r="38" spans="1:123">
      <c r="A38" t="s">
        <v>256</v>
      </c>
      <c r="B38" s="54" t="str">
        <f>TRIM(MID(SUBSTITUTE(A38," ",REPT(" ",LEN(A38))), (4-1)*LEN(A38)+1, LEN(A38)))</f>
        <v>6240</v>
      </c>
      <c r="C38">
        <f>IFERROR(VLOOKUP(A38,Processor_DB_Intel!$A$1:'Processor_DB_Intel'!$D$494,4,FALSE),"")</f>
        <v>18</v>
      </c>
      <c r="D38" t="str">
        <f>IFERROR(LEFT(VLOOKUP(A38,Processor_DB_Intel!$A$1:'Processor_DB_Intel'!$F$494,6,FALSE),3),"")</f>
        <v>2.6</v>
      </c>
      <c r="E38" s="73" t="str">
        <f>IF(O38 = 0,"",O38)</f>
        <v>2451.00</v>
      </c>
      <c r="F38" s="56">
        <f>IFERROR(E38/C38,"")</f>
        <v>136.16666666666666</v>
      </c>
      <c r="G38">
        <f>IFERROR(C38*D38,"")</f>
        <v>46.800000000000004</v>
      </c>
      <c r="H38">
        <f>IFERROR(G38*2,"")</f>
        <v>93.600000000000009</v>
      </c>
      <c r="I38" s="56">
        <f>IFERROR(E38/G38,"")</f>
        <v>52.371794871794869</v>
      </c>
      <c r="J38" s="57">
        <f>IFERROR(1-(I38/$AC$3),"")</f>
        <v>0.88650537752334158</v>
      </c>
      <c r="K38" t="s">
        <v>335</v>
      </c>
      <c r="L38">
        <f>MIN(SEARCH({0,1,2,3,4,5,6,7,8,9},K38&amp;"0123456789"))</f>
        <v>54</v>
      </c>
      <c r="M38" t="str">
        <f>LEFT(RIGHT(K38,LEN(K38)-L38+1),6)</f>
        <v>192443</v>
      </c>
      <c r="N38" s="69" t="s">
        <v>400</v>
      </c>
      <c r="O38" s="70" t="str">
        <f>IFERROR(RIGHT(SUBSTITUTE(N38,"$",CHAR(9),2),LEN(N38)-FIND(CHAR(9),SUBSTITUTE(N38,"$",CHAR(9),2),1) ),N38)</f>
        <v>2451.00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>
        <f t="shared" si="0"/>
        <v>52.371794871794869</v>
      </c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</row>
    <row r="39" spans="1:123">
      <c r="A39" t="s">
        <v>257</v>
      </c>
      <c r="B39" s="54" t="str">
        <f>TRIM(MID(SUBSTITUTE(A39," ",REPT(" ",LEN(A39))), (4-1)*LEN(A39)+1, LEN(A39)))</f>
        <v>6238T</v>
      </c>
      <c r="C39">
        <f>IFERROR(VLOOKUP(A39,Processor_DB_Intel!$A$1:'Processor_DB_Intel'!$D$494,4,FALSE),"")</f>
        <v>22</v>
      </c>
      <c r="D39" t="str">
        <f>IFERROR(LEFT(VLOOKUP(A39,Processor_DB_Intel!$A$1:'Processor_DB_Intel'!$F$494,6,FALSE),3),"")</f>
        <v>1.9</v>
      </c>
      <c r="E39" s="73">
        <f>IF(O39 = 0,"",O39)</f>
        <v>2742</v>
      </c>
      <c r="F39" s="56">
        <f>IFERROR(E39/C39,"")</f>
        <v>124.63636363636364</v>
      </c>
      <c r="G39">
        <f>IFERROR(C39*D39,"")</f>
        <v>41.8</v>
      </c>
      <c r="H39">
        <f>IFERROR(G39*2,"")</f>
        <v>83.6</v>
      </c>
      <c r="I39" s="56">
        <f>IFERROR(E39/G39,"")</f>
        <v>65.598086124401917</v>
      </c>
      <c r="J39" s="57">
        <f>IFERROR(1-(I39/$AC$3),"")</f>
        <v>0.85784275604634885</v>
      </c>
      <c r="K39" t="s">
        <v>336</v>
      </c>
      <c r="L39">
        <f>MIN(SEARCH({0,1,2,3,4,5,6,7,8,9},K39&amp;"0123456789"))</f>
        <v>54</v>
      </c>
      <c r="M39" t="str">
        <f>LEFT(RIGHT(K39,LEN(K39)-L39+1),6)</f>
        <v>192439</v>
      </c>
      <c r="N39" s="69">
        <v>2742</v>
      </c>
      <c r="O39" s="70">
        <f>IFERROR(RIGHT(SUBSTITUTE(N39,"$",CHAR(9),2),LEN(N39)-FIND(CHAR(9),SUBSTITUTE(N39,"$",CHAR(9),2),1) ),N39)</f>
        <v>2742</v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>
        <f t="shared" si="0"/>
        <v>65.598086124401917</v>
      </c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</row>
    <row r="40" spans="1:123">
      <c r="A40" t="s">
        <v>259</v>
      </c>
      <c r="B40" s="54" t="str">
        <f>TRIM(MID(SUBSTITUTE(A40," ",REPT(" ",LEN(A40))), (4-1)*LEN(A40)+1, LEN(A40)))</f>
        <v>6238R</v>
      </c>
      <c r="C40">
        <f>IFERROR(VLOOKUP(A40,Processor_DB_Intel!$A$1:'Processor_DB_Intel'!$D$494,4,FALSE),"")</f>
        <v>28</v>
      </c>
      <c r="D40" t="str">
        <f>IFERROR(LEFT(VLOOKUP(A40,Processor_DB_Intel!$A$1:'Processor_DB_Intel'!$F$494,6,FALSE),3),"")</f>
        <v>2.2</v>
      </c>
      <c r="E40" s="73" t="str">
        <f>IF(O40 = 0,"",O40)</f>
        <v>2618.00</v>
      </c>
      <c r="F40" s="56">
        <f>IFERROR(E40/C40,"")</f>
        <v>93.5</v>
      </c>
      <c r="G40">
        <f>IFERROR(C40*D40,"")</f>
        <v>61.600000000000009</v>
      </c>
      <c r="H40">
        <f>IFERROR(G40*2,"")</f>
        <v>123.20000000000002</v>
      </c>
      <c r="I40" s="56">
        <f>IFERROR(E40/G40,"")</f>
        <v>42.499999999999993</v>
      </c>
      <c r="J40" s="57">
        <f>IFERROR(1-(I40/$AC$3),"")</f>
        <v>0.90789848873681211</v>
      </c>
      <c r="K40" t="s">
        <v>337</v>
      </c>
      <c r="L40">
        <f>MIN(SEARCH({0,1,2,3,4,5,6,7,8,9},K40&amp;"0123456789"))</f>
        <v>54</v>
      </c>
      <c r="M40" t="str">
        <f>LEFT(RIGHT(K40,LEN(K40)-L40+1),6)</f>
        <v>199345</v>
      </c>
      <c r="N40" t="s">
        <v>401</v>
      </c>
      <c r="O40" s="70" t="str">
        <f>IFERROR(RIGHT(SUBSTITUTE(N40,"$",CHAR(9),2),LEN(N40)-FIND(CHAR(9),SUBSTITUTE(N40,"$",CHAR(9),2),1) ),N40)</f>
        <v>2618.00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f t="shared" si="0"/>
        <v>42.499999999999993</v>
      </c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</row>
    <row r="41" spans="1:123">
      <c r="A41" t="s">
        <v>260</v>
      </c>
      <c r="B41" s="54" t="str">
        <f>TRIM(MID(SUBSTITUTE(A41," ",REPT(" ",LEN(A41))), (4-1)*LEN(A41)+1, LEN(A41)))</f>
        <v>6238L</v>
      </c>
      <c r="C41">
        <f>IFERROR(VLOOKUP(A41,Processor_DB_Intel!$A$1:'Processor_DB_Intel'!$D$494,4,FALSE),"")</f>
        <v>22</v>
      </c>
      <c r="D41" t="str">
        <f>IFERROR(LEFT(VLOOKUP(A41,Processor_DB_Intel!$A$1:'Processor_DB_Intel'!$F$494,6,FALSE),3),"")</f>
        <v>2.1</v>
      </c>
      <c r="E41" s="73">
        <f>IF(O41 = 0,"",O41)</f>
        <v>5615</v>
      </c>
      <c r="F41" s="56">
        <f>IFERROR(E41/C41,"")</f>
        <v>255.22727272727272</v>
      </c>
      <c r="G41">
        <f>IFERROR(C41*D41,"")</f>
        <v>46.2</v>
      </c>
      <c r="H41">
        <f>IFERROR(G41*2,"")</f>
        <v>92.4</v>
      </c>
      <c r="I41" s="56">
        <f>IFERROR(E41/G41,"")</f>
        <v>121.53679653679653</v>
      </c>
      <c r="J41" s="57">
        <f>IFERROR(1-(I41/$AC$3),"")</f>
        <v>0.73661829093822251</v>
      </c>
      <c r="K41" t="s">
        <v>338</v>
      </c>
      <c r="L41">
        <f>MIN(SEARCH({0,1,2,3,4,5,6,7,8,9},K41&amp;"0123456789"))</f>
        <v>54</v>
      </c>
      <c r="M41" t="str">
        <f>LEFT(RIGHT(K41,LEN(K41)-L41+1),6)</f>
        <v>193958</v>
      </c>
      <c r="N41" s="69">
        <v>5615</v>
      </c>
      <c r="O41" s="70">
        <f>IFERROR(RIGHT(SUBSTITUTE(N41,"$",CHAR(9),2),LEN(N41)-FIND(CHAR(9),SUBSTITUTE(N41,"$",CHAR(9),2),1) ),N41)</f>
        <v>5615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f t="shared" si="0"/>
        <v>121.53679653679653</v>
      </c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</row>
    <row r="42" spans="1:123">
      <c r="A42" t="s">
        <v>261</v>
      </c>
      <c r="B42" s="54" t="str">
        <f>TRIM(MID(SUBSTITUTE(A42," ",REPT(" ",LEN(A42))), (4-1)*LEN(A42)+1, LEN(A42)))</f>
        <v>6238</v>
      </c>
      <c r="C42">
        <f>IFERROR(VLOOKUP(A42,Processor_DB_Intel!$A$1:'Processor_DB_Intel'!$D$494,4,FALSE),"")</f>
        <v>22</v>
      </c>
      <c r="D42" t="str">
        <f>IFERROR(LEFT(VLOOKUP(A42,Processor_DB_Intel!$A$1:'Processor_DB_Intel'!$F$494,6,FALSE),3),"")</f>
        <v>2.1</v>
      </c>
      <c r="E42" s="73" t="str">
        <f>IF(O42 = 0,"",O42)</f>
        <v>2618.00</v>
      </c>
      <c r="F42" s="56">
        <f>IFERROR(E42/C42,"")</f>
        <v>119</v>
      </c>
      <c r="G42">
        <f>IFERROR(C42*D42,"")</f>
        <v>46.2</v>
      </c>
      <c r="H42">
        <f>IFERROR(G42*2,"")</f>
        <v>92.4</v>
      </c>
      <c r="I42" s="56">
        <f>IFERROR(E42/G42,"")</f>
        <v>56.666666666666664</v>
      </c>
      <c r="J42" s="57">
        <f>IFERROR(1-(I42/$AC$3),"")</f>
        <v>0.87719798498241608</v>
      </c>
      <c r="K42" t="s">
        <v>339</v>
      </c>
      <c r="L42">
        <f>MIN(SEARCH({0,1,2,3,4,5,6,7,8,9},K42&amp;"0123456789"))</f>
        <v>54</v>
      </c>
      <c r="M42" t="str">
        <f>LEFT(RIGHT(K42,LEN(K42)-L42+1),6)</f>
        <v>193949</v>
      </c>
      <c r="N42" t="s">
        <v>401</v>
      </c>
      <c r="O42" s="70" t="str">
        <f>IFERROR(RIGHT(SUBSTITUTE(N42,"$",CHAR(9),2),LEN(N42)-FIND(CHAR(9),SUBSTITUTE(N42,"$",CHAR(9),2),1) ),N42)</f>
        <v>2618.00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>
        <f t="shared" si="0"/>
        <v>56.666666666666664</v>
      </c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</row>
    <row r="43" spans="1:123">
      <c r="A43" t="s">
        <v>262</v>
      </c>
      <c r="B43" s="54" t="str">
        <f>TRIM(MID(SUBSTITUTE(A43," ",REPT(" ",LEN(A43))), (4-1)*LEN(A43)+1, LEN(A43)))</f>
        <v>6234</v>
      </c>
      <c r="C43">
        <f>IFERROR(VLOOKUP(A43,Processor_DB_Intel!$A$1:'Processor_DB_Intel'!$D$494,4,FALSE),"")</f>
        <v>8</v>
      </c>
      <c r="D43" t="str">
        <f>IFERROR(LEFT(VLOOKUP(A43,Processor_DB_Intel!$A$1:'Processor_DB_Intel'!$F$494,6,FALSE),3),"")</f>
        <v>3.3</v>
      </c>
      <c r="E43" s="73" t="str">
        <f>IF(O43 = 0,"",O43)</f>
        <v>2220.00</v>
      </c>
      <c r="F43" s="56">
        <f>IFERROR(E43/C43,"")</f>
        <v>277.5</v>
      </c>
      <c r="G43">
        <f>IFERROR(C43*D43,"")</f>
        <v>26.4</v>
      </c>
      <c r="H43">
        <f>IFERROR(G43*2,"")</f>
        <v>52.8</v>
      </c>
      <c r="I43" s="56">
        <f>IFERROR(E43/G43,"")</f>
        <v>84.090909090909093</v>
      </c>
      <c r="J43" s="57">
        <f>IFERROR(1-(I43/$AC$3),"")</f>
        <v>0.81776706327604531</v>
      </c>
      <c r="K43" t="s">
        <v>340</v>
      </c>
      <c r="L43">
        <f>MIN(SEARCH({0,1,2,3,4,5,6,7,8,9},K43&amp;"0123456789"))</f>
        <v>54</v>
      </c>
      <c r="M43" t="str">
        <f>LEFT(RIGHT(K43,LEN(K43)-L43+1),6)</f>
        <v>193954</v>
      </c>
      <c r="N43" s="69" t="s">
        <v>402</v>
      </c>
      <c r="O43" s="70" t="str">
        <f>IFERROR(RIGHT(SUBSTITUTE(N43,"$",CHAR(9),2),LEN(N43)-FIND(CHAR(9),SUBSTITUTE(N43,"$",CHAR(9),2),1) ),N43)</f>
        <v>2220.00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f t="shared" si="0"/>
        <v>84.090909090909093</v>
      </c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</row>
    <row r="44" spans="1:123">
      <c r="A44" t="s">
        <v>263</v>
      </c>
      <c r="B44" s="54" t="str">
        <f>TRIM(MID(SUBSTITUTE(A44," ",REPT(" ",LEN(A44))), (4-1)*LEN(A44)+1, LEN(A44)))</f>
        <v>6230T</v>
      </c>
      <c r="C44">
        <f>IFERROR(VLOOKUP(A44,Processor_DB_Intel!$A$1:'Processor_DB_Intel'!$D$494,4,FALSE),"")</f>
        <v>20</v>
      </c>
      <c r="D44" t="str">
        <f>IFERROR(LEFT(VLOOKUP(A44,Processor_DB_Intel!$A$1:'Processor_DB_Intel'!$F$494,6,FALSE),3),"")</f>
        <v>2.1</v>
      </c>
      <c r="E44" s="73" t="str">
        <f>IF(O44 = 0,"",O44)</f>
        <v>1900.00</v>
      </c>
      <c r="F44" s="56">
        <f>IFERROR(E44/C44,"")</f>
        <v>95</v>
      </c>
      <c r="G44">
        <f>IFERROR(C44*D44,"")</f>
        <v>42</v>
      </c>
      <c r="H44">
        <f>IFERROR(G44*2,"")</f>
        <v>84</v>
      </c>
      <c r="I44" s="56">
        <f>IFERROR(E44/G44,"")</f>
        <v>45.238095238095241</v>
      </c>
      <c r="J44" s="57">
        <f>IFERROR(1-(I44/$AC$3),"")</f>
        <v>0.90196477792713892</v>
      </c>
      <c r="K44" t="s">
        <v>341</v>
      </c>
      <c r="L44">
        <f>MIN(SEARCH({0,1,2,3,4,5,6,7,8,9},K44&amp;"0123456789"))</f>
        <v>54</v>
      </c>
      <c r="M44" t="str">
        <f>LEFT(RIGHT(K44,LEN(K44)-L44+1),6)</f>
        <v>192437</v>
      </c>
      <c r="N44" t="s">
        <v>403</v>
      </c>
      <c r="O44" s="70" t="str">
        <f>IFERROR(RIGHT(SUBSTITUTE(N44,"$",CHAR(9),2),LEN(N44)-FIND(CHAR(9),SUBSTITUTE(N44,"$",CHAR(9),2),1) ),N44)</f>
        <v>1900.00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f t="shared" si="0"/>
        <v>45.238095238095241</v>
      </c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</row>
    <row r="45" spans="1:123">
      <c r="A45" t="s">
        <v>266</v>
      </c>
      <c r="B45" s="54" t="str">
        <f>TRIM(MID(SUBSTITUTE(A45," ",REPT(" ",LEN(A45))), (4-1)*LEN(A45)+1, LEN(A45)))</f>
        <v>6230R</v>
      </c>
      <c r="C45">
        <f>IFERROR(VLOOKUP(A45,Processor_DB_Intel!$A$1:'Processor_DB_Intel'!$D$494,4,FALSE),"")</f>
        <v>26</v>
      </c>
      <c r="D45" t="str">
        <f>IFERROR(LEFT(VLOOKUP(A45,Processor_DB_Intel!$A$1:'Processor_DB_Intel'!$F$494,6,FALSE),3),"")</f>
        <v>2.1</v>
      </c>
      <c r="E45" s="73" t="str">
        <f>IF(O45 = 0,"",O45)</f>
        <v>1900.00</v>
      </c>
      <c r="F45" s="56">
        <f>IFERROR(E45/C45,"")</f>
        <v>73.07692307692308</v>
      </c>
      <c r="G45">
        <f>IFERROR(C45*D45,"")</f>
        <v>54.6</v>
      </c>
      <c r="H45">
        <f>IFERROR(G45*2,"")</f>
        <v>109.2</v>
      </c>
      <c r="I45" s="56">
        <f>IFERROR(E45/G45,"")</f>
        <v>34.798534798534796</v>
      </c>
      <c r="J45" s="57">
        <f>IFERROR(1-(I45/$AC$3),"")</f>
        <v>0.92458829071318382</v>
      </c>
      <c r="K45" t="s">
        <v>343</v>
      </c>
      <c r="L45">
        <f>MIN(SEARCH({0,1,2,3,4,5,6,7,8,9},K45&amp;"0123456789"))</f>
        <v>54</v>
      </c>
      <c r="M45" t="str">
        <f>LEFT(RIGHT(K45,LEN(K45)-L45+1),6)</f>
        <v>199346</v>
      </c>
      <c r="N45" s="69" t="s">
        <v>403</v>
      </c>
      <c r="O45" s="70" t="str">
        <f>IFERROR(RIGHT(SUBSTITUTE(N45,"$",CHAR(9),2),LEN(N45)-FIND(CHAR(9),SUBSTITUTE(N45,"$",CHAR(9),2),1) ),N45)</f>
        <v>1900.00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f t="shared" si="0"/>
        <v>34.798534798534796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</row>
    <row r="46" spans="1:123">
      <c r="A46" t="s">
        <v>264</v>
      </c>
      <c r="B46" s="54" t="str">
        <f>TRIM(MID(SUBSTITUTE(A46," ",REPT(" ",LEN(A46))), (4-1)*LEN(A46)+1, LEN(A46)))</f>
        <v>6230N</v>
      </c>
      <c r="C46">
        <f>IFERROR(VLOOKUP(A46,Processor_DB_Intel!$A$1:'Processor_DB_Intel'!$D$494,4,FALSE),"")</f>
        <v>20</v>
      </c>
      <c r="D46" t="str">
        <f>IFERROR(LEFT(VLOOKUP(A46,Processor_DB_Intel!$A$1:'Processor_DB_Intel'!$F$494,6,FALSE),3),"")</f>
        <v>2.3</v>
      </c>
      <c r="E46" s="73">
        <f>IF(O46 = 0,"",O46)</f>
        <v>1452</v>
      </c>
      <c r="F46" s="56">
        <f>IFERROR(E46/C46,"")</f>
        <v>72.599999999999994</v>
      </c>
      <c r="G46">
        <f>IFERROR(C46*D46,"")</f>
        <v>46</v>
      </c>
      <c r="H46">
        <f>IFERROR(G46*2,"")</f>
        <v>92</v>
      </c>
      <c r="I46" s="56">
        <f>IFERROR(E46/G46,"")</f>
        <v>31.565217391304348</v>
      </c>
      <c r="J46" s="57">
        <f>IFERROR(1-(I46/$AC$3),"")</f>
        <v>0.93159519470376018</v>
      </c>
      <c r="K46" t="s">
        <v>342</v>
      </c>
      <c r="L46">
        <f>MIN(SEARCH({0,1,2,3,4,5,6,7,8,9},K46&amp;"0123456789"))</f>
        <v>54</v>
      </c>
      <c r="M46" t="str">
        <f>LEFT(RIGHT(K46,LEN(K46)-L46+1),6)</f>
        <v>192450</v>
      </c>
      <c r="N46" s="69">
        <v>1452</v>
      </c>
      <c r="O46" s="70">
        <f>IFERROR(RIGHT(SUBSTITUTE(N46,"$",CHAR(9),2),LEN(N46)-FIND(CHAR(9),SUBSTITUTE(N46,"$",CHAR(9),2),1) ),N46)</f>
        <v>1452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f t="shared" si="0"/>
        <v>31.565217391304348</v>
      </c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</row>
    <row r="47" spans="1:123">
      <c r="A47" t="s">
        <v>267</v>
      </c>
      <c r="B47" s="54" t="str">
        <f>TRIM(MID(SUBSTITUTE(A47," ",REPT(" ",LEN(A47))), (4-1)*LEN(A47)+1, LEN(A47)))</f>
        <v>6230</v>
      </c>
      <c r="C47">
        <f>IFERROR(VLOOKUP(A47,Processor_DB_Intel!$A$1:'Processor_DB_Intel'!$D$494,4,FALSE),"")</f>
        <v>20</v>
      </c>
      <c r="D47" t="str">
        <f>IFERROR(LEFT(VLOOKUP(A47,Processor_DB_Intel!$A$1:'Processor_DB_Intel'!$F$494,6,FALSE),3),"")</f>
        <v>2.1</v>
      </c>
      <c r="E47" s="73" t="str">
        <f>IF(O47 = 0,"",O47)</f>
        <v>1900.00</v>
      </c>
      <c r="F47" s="56">
        <f>IFERROR(E47/C47,"")</f>
        <v>95</v>
      </c>
      <c r="G47">
        <f>IFERROR(C47*D47,"")</f>
        <v>42</v>
      </c>
      <c r="H47">
        <f>IFERROR(G47*2,"")</f>
        <v>84</v>
      </c>
      <c r="I47" s="56">
        <f>IFERROR(E47/G47,"")</f>
        <v>45.238095238095241</v>
      </c>
      <c r="J47" s="57">
        <f>IFERROR(1-(I47/$AC$3),"")</f>
        <v>0.90196477792713892</v>
      </c>
      <c r="K47" t="s">
        <v>341</v>
      </c>
      <c r="L47">
        <f>MIN(SEARCH({0,1,2,3,4,5,6,7,8,9},K47&amp;"0123456789"))</f>
        <v>54</v>
      </c>
      <c r="M47" t="str">
        <f>LEFT(RIGHT(K47,LEN(K47)-L47+1),6)</f>
        <v>192437</v>
      </c>
      <c r="N47" t="s">
        <v>403</v>
      </c>
      <c r="O47" s="70" t="str">
        <f>IFERROR(RIGHT(SUBSTITUTE(N47,"$",CHAR(9),2),LEN(N47)-FIND(CHAR(9),SUBSTITUTE(N47,"$",CHAR(9),2),1) ),N47)</f>
        <v>1900.00</v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f t="shared" si="0"/>
        <v>45.238095238095241</v>
      </c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</row>
    <row r="48" spans="1:123">
      <c r="A48" t="s">
        <v>268</v>
      </c>
      <c r="B48" s="54" t="str">
        <f>TRIM(MID(SUBSTITUTE(A48," ",REPT(" ",LEN(A48))), (4-1)*LEN(A48)+1, LEN(A48)))</f>
        <v>6226R</v>
      </c>
      <c r="C48">
        <f>IFERROR(VLOOKUP(A48,Processor_DB_Intel!$A$1:'Processor_DB_Intel'!$D$494,4,FALSE),"")</f>
        <v>16</v>
      </c>
      <c r="D48" t="str">
        <f>IFERROR(LEFT(VLOOKUP(A48,Processor_DB_Intel!$A$1:'Processor_DB_Intel'!$F$494,6,FALSE),3),"")</f>
        <v>2.9</v>
      </c>
      <c r="E48" s="73" t="str">
        <f>IF(O48 = 0,"",O48)</f>
        <v>1306.00</v>
      </c>
      <c r="F48" s="56">
        <f>IFERROR(E48/C48,"")</f>
        <v>81.625</v>
      </c>
      <c r="G48">
        <f>IFERROR(C48*D48,"")</f>
        <v>46.4</v>
      </c>
      <c r="H48">
        <f>IFERROR(G48*2,"")</f>
        <v>92.8</v>
      </c>
      <c r="I48" s="56">
        <f>IFERROR(E48/G48,"")</f>
        <v>28.146551724137932</v>
      </c>
      <c r="J48" s="57">
        <f>IFERROR(1-(I48/$AC$3),"")</f>
        <v>0.93900376586728018</v>
      </c>
      <c r="K48" t="s">
        <v>344</v>
      </c>
      <c r="L48">
        <f>MIN(SEARCH({0,1,2,3,4,5,6,7,8,9},K48&amp;"0123456789"))</f>
        <v>54</v>
      </c>
      <c r="M48" t="str">
        <f>LEFT(RIGHT(K48,LEN(K48)-L48+1),6)</f>
        <v>199347</v>
      </c>
      <c r="N48" t="s">
        <v>404</v>
      </c>
      <c r="O48" s="70" t="str">
        <f>IFERROR(RIGHT(SUBSTITUTE(N48,"$",CHAR(9),2),LEN(N48)-FIND(CHAR(9),SUBSTITUTE(N48,"$",CHAR(9),2),1) ),N48)</f>
        <v>1306.00</v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f t="shared" si="0"/>
        <v>28.146551724137932</v>
      </c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</row>
    <row r="49" spans="1:123">
      <c r="A49" t="s">
        <v>269</v>
      </c>
      <c r="B49" s="54" t="str">
        <f>TRIM(MID(SUBSTITUTE(A49," ",REPT(" ",LEN(A49))), (4-1)*LEN(A49)+1, LEN(A49)))</f>
        <v>6226</v>
      </c>
      <c r="C49">
        <f>IFERROR(VLOOKUP(A49,Processor_DB_Intel!$A$1:'Processor_DB_Intel'!$D$494,4,FALSE),"")</f>
        <v>12</v>
      </c>
      <c r="D49" t="str">
        <f>IFERROR(LEFT(VLOOKUP(A49,Processor_DB_Intel!$A$1:'Processor_DB_Intel'!$F$494,6,FALSE),3),"")</f>
        <v>2.7</v>
      </c>
      <c r="E49" s="73">
        <f>IF(O49 = 0,"",O49)</f>
        <v>1776</v>
      </c>
      <c r="F49" s="56">
        <f>IFERROR(E49/C49,"")</f>
        <v>148</v>
      </c>
      <c r="G49">
        <f>IFERROR(C49*D49,"")</f>
        <v>32.400000000000006</v>
      </c>
      <c r="H49">
        <f>IFERROR(G49*2,"")</f>
        <v>64.800000000000011</v>
      </c>
      <c r="I49" s="56">
        <f>IFERROR(E49/G49,"")</f>
        <v>54.814814814814802</v>
      </c>
      <c r="J49" s="57">
        <f>IFERROR(1-(I49/$AC$3),"")</f>
        <v>0.88121112272808877</v>
      </c>
      <c r="K49" t="s">
        <v>345</v>
      </c>
      <c r="L49">
        <f>MIN(SEARCH({0,1,2,3,4,5,6,7,8,9},K49&amp;"0123456789"))</f>
        <v>54</v>
      </c>
      <c r="M49" t="str">
        <f>LEFT(RIGHT(K49,LEN(K49)-L49+1),6)</f>
        <v>193957</v>
      </c>
      <c r="N49" s="69">
        <v>1776</v>
      </c>
      <c r="O49" s="70">
        <f>IFERROR(RIGHT(SUBSTITUTE(N49,"$",CHAR(9),2),LEN(N49)-FIND(CHAR(9),SUBSTITUTE(N49,"$",CHAR(9),2),1) ),N49)</f>
        <v>1776</v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>
        <f t="shared" si="0"/>
        <v>54.814814814814802</v>
      </c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</row>
    <row r="50" spans="1:123">
      <c r="A50" t="s">
        <v>271</v>
      </c>
      <c r="B50" s="54" t="str">
        <f>TRIM(MID(SUBSTITUTE(A50," ",REPT(" ",LEN(A50))), (4-1)*LEN(A50)+1, LEN(A50)))</f>
        <v>6222V</v>
      </c>
      <c r="C50">
        <f>IFERROR(VLOOKUP(A50,Processor_DB_Intel!$A$1:'Processor_DB_Intel'!$D$494,4,FALSE),"")</f>
        <v>20</v>
      </c>
      <c r="D50" t="str">
        <f>IFERROR(LEFT(VLOOKUP(A50,Processor_DB_Intel!$A$1:'Processor_DB_Intel'!$F$494,6,FALSE),3),"")</f>
        <v>1.8</v>
      </c>
      <c r="E50" s="73">
        <f>IF(O50 = 0,"",O50)</f>
        <v>1600</v>
      </c>
      <c r="F50" s="56">
        <f>IFERROR(E50/C50,"")</f>
        <v>80</v>
      </c>
      <c r="G50">
        <f>IFERROR(C50*D50,"")</f>
        <v>36</v>
      </c>
      <c r="H50">
        <f>IFERROR(G50*2,"")</f>
        <v>72</v>
      </c>
      <c r="I50" s="56">
        <f>IFERROR(E50/G50,"")</f>
        <v>44.444444444444443</v>
      </c>
      <c r="J50" s="57">
        <f>IFERROR(1-(I50/$AC$3),"")</f>
        <v>0.90368469410385577</v>
      </c>
      <c r="K50" t="s">
        <v>346</v>
      </c>
      <c r="L50">
        <f>MIN(SEARCH({0,1,2,3,4,5,6,7,8,9},K50&amp;"0123456789"))</f>
        <v>54</v>
      </c>
      <c r="M50" t="str">
        <f>LEFT(RIGHT(K50,LEN(K50)-L50+1),6)</f>
        <v>193962</v>
      </c>
      <c r="N50" s="69">
        <v>1600</v>
      </c>
      <c r="O50" s="70">
        <f>IFERROR(RIGHT(SUBSTITUTE(N50,"$",CHAR(9),2),LEN(N50)-FIND(CHAR(9),SUBSTITUTE(N50,"$",CHAR(9),2),1) ),N50)</f>
        <v>1600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>
        <f t="shared" si="0"/>
        <v>44.444444444444443</v>
      </c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</row>
    <row r="51" spans="1:123">
      <c r="A51" t="s">
        <v>273</v>
      </c>
      <c r="B51" s="54" t="str">
        <f>TRIM(MID(SUBSTITUTE(A51," ",REPT(" ",LEN(A51))), (4-1)*LEN(A51)+1, LEN(A51)))</f>
        <v>6208U</v>
      </c>
      <c r="C51">
        <f>IFERROR(VLOOKUP(A51,Processor_DB_Intel!$A$1:'Processor_DB_Intel'!$D$494,4,FALSE),"")</f>
        <v>16</v>
      </c>
      <c r="D51" t="str">
        <f>IFERROR(LEFT(VLOOKUP(A51,Processor_DB_Intel!$A$1:'Processor_DB_Intel'!$F$494,6,FALSE),3),"")</f>
        <v>2.9</v>
      </c>
      <c r="E51" s="73">
        <f>IF(O51 = 0,"",O51)</f>
        <v>989</v>
      </c>
      <c r="F51" s="56">
        <f>IFERROR(E51/C51,"")</f>
        <v>61.8125</v>
      </c>
      <c r="G51">
        <f>IFERROR(C51*D51,"")</f>
        <v>46.4</v>
      </c>
      <c r="H51">
        <f>IFERROR(G51*2,"")</f>
        <v>92.8</v>
      </c>
      <c r="I51" s="56">
        <f>IFERROR(E51/G51,"")</f>
        <v>21.314655172413794</v>
      </c>
      <c r="J51" s="57">
        <f>IFERROR(1-(I51/$AC$3),"")</f>
        <v>0.95380913050745797</v>
      </c>
      <c r="K51" t="s">
        <v>347</v>
      </c>
      <c r="L51">
        <f>MIN(SEARCH({0,1,2,3,4,5,6,7,8,9},K51&amp;"0123456789"))</f>
        <v>54</v>
      </c>
      <c r="M51" t="str">
        <f>LEFT(RIGHT(K51,LEN(K51)-L51+1),6)</f>
        <v>199348</v>
      </c>
      <c r="N51" s="69">
        <v>989</v>
      </c>
      <c r="O51" s="70">
        <f>IFERROR(RIGHT(SUBSTITUTE(N51,"$",CHAR(9),2),LEN(N51)-FIND(CHAR(9),SUBSTITUTE(N51,"$",CHAR(9),2),1) ),N51)</f>
        <v>989</v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>
        <f t="shared" si="0"/>
        <v>21.314655172413794</v>
      </c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</row>
    <row r="52" spans="1:123">
      <c r="A52" t="s">
        <v>274</v>
      </c>
      <c r="B52" s="54" t="str">
        <f>TRIM(MID(SUBSTITUTE(A52," ",REPT(" ",LEN(A52))), (4-1)*LEN(A52)+1, LEN(A52)))</f>
        <v>5222</v>
      </c>
      <c r="C52">
        <f>IFERROR(VLOOKUP(A52,Processor_DB_Intel!$A$1:'Processor_DB_Intel'!$D$494,4,FALSE),"")</f>
        <v>4</v>
      </c>
      <c r="D52" t="str">
        <f>IFERROR(LEFT(VLOOKUP(A52,Processor_DB_Intel!$A$1:'Processor_DB_Intel'!$F$494,6,FALSE),3),"")</f>
        <v>3.8</v>
      </c>
      <c r="E52" s="73">
        <f>IF(O52 = 0,"",O52)</f>
        <v>1221</v>
      </c>
      <c r="F52" s="56">
        <f>IFERROR(E52/C52,"")</f>
        <v>305.25</v>
      </c>
      <c r="G52">
        <f>IFERROR(C52*D52,"")</f>
        <v>15.2</v>
      </c>
      <c r="H52">
        <f>IFERROR(G52*2,"")</f>
        <v>30.4</v>
      </c>
      <c r="I52" s="56">
        <f>IFERROR(E52/G52,"")</f>
        <v>80.328947368421055</v>
      </c>
      <c r="J52" s="57">
        <f>IFERROR(1-(I52/$AC$3),"")</f>
        <v>0.82591958939264332</v>
      </c>
      <c r="K52" t="s">
        <v>348</v>
      </c>
      <c r="L52">
        <f>MIN(SEARCH({0,1,2,3,4,5,6,7,8,9},K52&amp;"0123456789"))</f>
        <v>54</v>
      </c>
      <c r="M52" t="str">
        <f>LEFT(RIGHT(K52,LEN(K52)-L52+1),6)</f>
        <v>192445</v>
      </c>
      <c r="N52" s="69">
        <v>1221</v>
      </c>
      <c r="O52" s="70">
        <f>IFERROR(RIGHT(SUBSTITUTE(N52,"$",CHAR(9),2),LEN(N52)-FIND(CHAR(9),SUBSTITUTE(N52,"$",CHAR(9),2),1) ),N52)</f>
        <v>1221</v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>
        <f t="shared" si="0"/>
        <v>80.328947368421055</v>
      </c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</row>
    <row r="53" spans="1:123">
      <c r="A53" t="s">
        <v>275</v>
      </c>
      <c r="B53" s="54" t="str">
        <f>TRIM(MID(SUBSTITUTE(A53," ",REPT(" ",LEN(A53))), (4-1)*LEN(A53)+1, LEN(A53)))</f>
        <v>5220T</v>
      </c>
      <c r="C53">
        <f>IFERROR(VLOOKUP(A53,Processor_DB_Intel!$A$1:'Processor_DB_Intel'!$D$494,4,FALSE),"")</f>
        <v>18</v>
      </c>
      <c r="D53" t="str">
        <f>IFERROR(LEFT(VLOOKUP(A53,Processor_DB_Intel!$A$1:'Processor_DB_Intel'!$F$494,6,FALSE),3),"")</f>
        <v>1.9</v>
      </c>
      <c r="E53" s="73" t="str">
        <f>IF(O53 = 0,"",O53)</f>
        <v>1561.00</v>
      </c>
      <c r="F53" s="56">
        <f>IFERROR(E53/C53,"")</f>
        <v>86.722222222222229</v>
      </c>
      <c r="G53">
        <f>IFERROR(C53*D53,"")</f>
        <v>34.199999999999996</v>
      </c>
      <c r="H53">
        <f>IFERROR(G53*2,"")</f>
        <v>68.399999999999991</v>
      </c>
      <c r="I53" s="56">
        <f>IFERROR(E53/G53,"")</f>
        <v>45.643274853801174</v>
      </c>
      <c r="J53" s="57">
        <f>IFERROR(1-(I53/$AC$3),"")</f>
        <v>0.90108671545797292</v>
      </c>
      <c r="K53" t="s">
        <v>349</v>
      </c>
      <c r="L53">
        <f>MIN(SEARCH({0,1,2,3,4,5,6,7,8,9},K53&amp;"0123456789"))</f>
        <v>54</v>
      </c>
      <c r="M53" t="str">
        <f>LEFT(RIGHT(K53,LEN(K53)-L53+1),6)</f>
        <v>193388</v>
      </c>
      <c r="N53" t="s">
        <v>405</v>
      </c>
      <c r="O53" s="70" t="str">
        <f>IFERROR(RIGHT(SUBSTITUTE(N53,"$",CHAR(9),2),LEN(N53)-FIND(CHAR(9),SUBSTITUTE(N53,"$",CHAR(9),2),1) ),N53)</f>
        <v>1561.00</v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>
        <f t="shared" si="0"/>
        <v>45.643274853801174</v>
      </c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</row>
    <row r="54" spans="1:123">
      <c r="A54" t="s">
        <v>276</v>
      </c>
      <c r="B54" s="54" t="str">
        <f>TRIM(MID(SUBSTITUTE(A54," ",REPT(" ",LEN(A54))), (4-1)*LEN(A54)+1, LEN(A54)))</f>
        <v>5220S</v>
      </c>
      <c r="C54">
        <f>IFERROR(VLOOKUP(A54,Processor_DB_Intel!$A$1:'Processor_DB_Intel'!$D$494,4,FALSE),"")</f>
        <v>18</v>
      </c>
      <c r="D54" t="str">
        <f>IFERROR(LEFT(VLOOKUP(A54,Processor_DB_Intel!$A$1:'Processor_DB_Intel'!$F$494,6,FALSE),3),"")</f>
        <v>2.7</v>
      </c>
      <c r="E54" s="73">
        <f>IF(O54 = 0,"",O54)</f>
        <v>2000</v>
      </c>
      <c r="F54" s="56">
        <f>IFERROR(E54/C54,"")</f>
        <v>111.11111111111111</v>
      </c>
      <c r="G54">
        <f>IFERROR(C54*D54,"")</f>
        <v>48.6</v>
      </c>
      <c r="H54">
        <f>IFERROR(G54*2,"")</f>
        <v>97.2</v>
      </c>
      <c r="I54" s="56">
        <f>IFERROR(E54/G54,"")</f>
        <v>41.152263374485592</v>
      </c>
      <c r="J54" s="57">
        <f>IFERROR(1-(I54/$AC$3),"")</f>
        <v>0.91081916120727391</v>
      </c>
      <c r="K54" t="s">
        <v>350</v>
      </c>
      <c r="L54">
        <f>MIN(SEARCH({0,1,2,3,4,5,6,7,8,9},K54&amp;"0123456789"))</f>
        <v>54</v>
      </c>
      <c r="M54" t="str">
        <f>LEFT(RIGHT(K54,LEN(K54)-L54+1),6)</f>
        <v>193950</v>
      </c>
      <c r="N54" s="69">
        <v>2000</v>
      </c>
      <c r="O54" s="70">
        <f>IFERROR(RIGHT(SUBSTITUTE(N54,"$",CHAR(9),2),LEN(N54)-FIND(CHAR(9),SUBSTITUTE(N54,"$",CHAR(9),2),1) ),N54)</f>
        <v>2000</v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>
        <f t="shared" si="0"/>
        <v>41.152263374485592</v>
      </c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</row>
    <row r="55" spans="1:123">
      <c r="A55" t="s">
        <v>277</v>
      </c>
      <c r="B55" s="54" t="str">
        <f>TRIM(MID(SUBSTITUTE(A55," ",REPT(" ",LEN(A55))), (4-1)*LEN(A55)+1, LEN(A55)))</f>
        <v>5220R</v>
      </c>
      <c r="C55">
        <f>IFERROR(VLOOKUP(A55,Processor_DB_Intel!$A$1:'Processor_DB_Intel'!$D$494,4,FALSE),"")</f>
        <v>24</v>
      </c>
      <c r="D55" t="str">
        <f>IFERROR(LEFT(VLOOKUP(A55,Processor_DB_Intel!$A$1:'Processor_DB_Intel'!$F$494,6,FALSE),3),"")</f>
        <v>2.2</v>
      </c>
      <c r="E55" s="73" t="str">
        <f>IF(O55 = 0,"",O55)</f>
        <v>1561.00</v>
      </c>
      <c r="F55" s="56">
        <f>IFERROR(E55/C55,"")</f>
        <v>65.041666666666671</v>
      </c>
      <c r="G55">
        <f>IFERROR(C55*D55,"")</f>
        <v>52.800000000000004</v>
      </c>
      <c r="H55">
        <f>IFERROR(G55*2,"")</f>
        <v>105.60000000000001</v>
      </c>
      <c r="I55" s="56">
        <f>IFERROR(E55/G55,"")</f>
        <v>29.564393939393938</v>
      </c>
      <c r="J55" s="57">
        <f>IFERROR(1-(I55/$AC$3),"")</f>
        <v>0.93593116796709608</v>
      </c>
      <c r="K55" t="s">
        <v>351</v>
      </c>
      <c r="L55">
        <f>MIN(SEARCH({0,1,2,3,4,5,6,7,8,9},K55&amp;"0123456789"))</f>
        <v>54</v>
      </c>
      <c r="M55" t="str">
        <f>LEFT(RIGHT(K55,LEN(K55)-L55+1),6)</f>
        <v>199354</v>
      </c>
      <c r="N55" s="69" t="s">
        <v>405</v>
      </c>
      <c r="O55" s="70" t="str">
        <f>IFERROR(RIGHT(SUBSTITUTE(N55,"$",CHAR(9),2),LEN(N55)-FIND(CHAR(9),SUBSTITUTE(N55,"$",CHAR(9),2),1) ),N55)</f>
        <v>1561.00</v>
      </c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>
        <f t="shared" si="0"/>
        <v>29.564393939393938</v>
      </c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</row>
    <row r="56" spans="1:123">
      <c r="A56" t="s">
        <v>278</v>
      </c>
      <c r="B56" s="54" t="str">
        <f>TRIM(MID(SUBSTITUTE(A56," ",REPT(" ",LEN(A56))), (4-1)*LEN(A56)+1, LEN(A56)))</f>
        <v>5220</v>
      </c>
      <c r="C56">
        <f>IFERROR(VLOOKUP(A56,Processor_DB_Intel!$A$1:'Processor_DB_Intel'!$D$494,4,FALSE),"")</f>
        <v>18</v>
      </c>
      <c r="D56" t="str">
        <f>IFERROR(LEFT(VLOOKUP(A56,Processor_DB_Intel!$A$1:'Processor_DB_Intel'!$F$494,6,FALSE),3),"")</f>
        <v>2.2</v>
      </c>
      <c r="E56" s="73" t="str">
        <f>IF(O56 = 0,"",O56)</f>
        <v>1561.00</v>
      </c>
      <c r="F56" s="56">
        <f>IFERROR(E56/C56,"")</f>
        <v>86.722222222222229</v>
      </c>
      <c r="G56">
        <f>IFERROR(C56*D56,"")</f>
        <v>39.6</v>
      </c>
      <c r="H56">
        <f>IFERROR(G56*2,"")</f>
        <v>79.2</v>
      </c>
      <c r="I56" s="56">
        <f>IFERROR(E56/G56,"")</f>
        <v>39.419191919191917</v>
      </c>
      <c r="J56" s="57">
        <f>IFERROR(1-(I56/$AC$3),"")</f>
        <v>0.91457489062279484</v>
      </c>
      <c r="K56" t="s">
        <v>349</v>
      </c>
      <c r="L56">
        <f>MIN(SEARCH({0,1,2,3,4,5,6,7,8,9},K56&amp;"0123456789"))</f>
        <v>54</v>
      </c>
      <c r="M56" t="str">
        <f>LEFT(RIGHT(K56,LEN(K56)-L56+1),6)</f>
        <v>193388</v>
      </c>
      <c r="N56" s="69" t="s">
        <v>405</v>
      </c>
      <c r="O56" s="70" t="str">
        <f>IFERROR(RIGHT(SUBSTITUTE(N56,"$",CHAR(9),2),LEN(N56)-FIND(CHAR(9),SUBSTITUTE(N56,"$",CHAR(9),2),1) ),N56)</f>
        <v>1561.00</v>
      </c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>
        <f t="shared" si="0"/>
        <v>39.419191919191917</v>
      </c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</row>
    <row r="57" spans="1:123">
      <c r="A57" t="s">
        <v>279</v>
      </c>
      <c r="B57" s="54" t="str">
        <f>TRIM(MID(SUBSTITUTE(A57," ",REPT(" ",LEN(A57))), (4-1)*LEN(A57)+1, LEN(A57)))</f>
        <v>5218T</v>
      </c>
      <c r="C57">
        <f>IFERROR(VLOOKUP(A57,Processor_DB_Intel!$A$1:'Processor_DB_Intel'!$D$494,4,FALSE),"")</f>
        <v>16</v>
      </c>
      <c r="D57" t="str">
        <f>IFERROR(LEFT(VLOOKUP(A57,Processor_DB_Intel!$A$1:'Processor_DB_Intel'!$F$494,6,FALSE),3),"")</f>
        <v>2.1</v>
      </c>
      <c r="E57" s="73" t="str">
        <f>IF(O57 = 0,"",O57)</f>
        <v>1280.00</v>
      </c>
      <c r="F57" s="56">
        <f>IFERROR(E57/C57,"")</f>
        <v>80</v>
      </c>
      <c r="G57">
        <f>IFERROR(C57*D57,"")</f>
        <v>33.6</v>
      </c>
      <c r="H57">
        <f>IFERROR(G57*2,"")</f>
        <v>67.2</v>
      </c>
      <c r="I57" s="56">
        <f>IFERROR(E57/G57,"")</f>
        <v>38.095238095238095</v>
      </c>
      <c r="J57" s="57">
        <f>IFERROR(1-(I57/$AC$3),"")</f>
        <v>0.91744402351759069</v>
      </c>
      <c r="K57" t="s">
        <v>352</v>
      </c>
      <c r="L57">
        <f>MIN(SEARCH({0,1,2,3,4,5,6,7,8,9},K57&amp;"0123456789"))</f>
        <v>54</v>
      </c>
      <c r="M57" t="str">
        <f>LEFT(RIGHT(K57,LEN(K57)-L57+1),6)</f>
        <v>192444</v>
      </c>
      <c r="N57" s="69" t="s">
        <v>406</v>
      </c>
      <c r="O57" s="70" t="str">
        <f>IFERROR(RIGHT(SUBSTITUTE(N57,"$",CHAR(9),2),LEN(N57)-FIND(CHAR(9),SUBSTITUTE(N57,"$",CHAR(9),2),1) ),N57)</f>
        <v>1280.00</v>
      </c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>
        <f t="shared" si="0"/>
        <v>38.095238095238095</v>
      </c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</row>
    <row r="58" spans="1:123">
      <c r="A58" t="s">
        <v>280</v>
      </c>
      <c r="B58" s="54" t="str">
        <f>TRIM(MID(SUBSTITUTE(A58," ",REPT(" ",LEN(A58))), (4-1)*LEN(A58)+1, LEN(A58)))</f>
        <v>5218R</v>
      </c>
      <c r="C58">
        <f>IFERROR(VLOOKUP(A58,Processor_DB_Intel!$A$1:'Processor_DB_Intel'!$D$494,4,FALSE),"")</f>
        <v>20</v>
      </c>
      <c r="D58" t="str">
        <f>IFERROR(LEFT(VLOOKUP(A58,Processor_DB_Intel!$A$1:'Processor_DB_Intel'!$F$494,6,FALSE),3),"")</f>
        <v>2.1</v>
      </c>
      <c r="E58" s="73" t="str">
        <f>IF(O58 = 0,"",O58)</f>
        <v>1280.00</v>
      </c>
      <c r="F58" s="56">
        <f>IFERROR(E58/C58,"")</f>
        <v>64</v>
      </c>
      <c r="G58">
        <f>IFERROR(C58*D58,"")</f>
        <v>42</v>
      </c>
      <c r="H58">
        <f>IFERROR(G58*2,"")</f>
        <v>84</v>
      </c>
      <c r="I58" s="56">
        <f>IFERROR(E58/G58,"")</f>
        <v>30.476190476190474</v>
      </c>
      <c r="J58" s="57">
        <f>IFERROR(1-(I58/$AC$3),"")</f>
        <v>0.93395521881407251</v>
      </c>
      <c r="K58" t="s">
        <v>353</v>
      </c>
      <c r="L58">
        <f>MIN(SEARCH({0,1,2,3,4,5,6,7,8,9},K58&amp;"0123456789"))</f>
        <v>54</v>
      </c>
      <c r="M58" t="str">
        <f>LEFT(RIGHT(K58,LEN(K58)-L58+1),6)</f>
        <v>199342</v>
      </c>
      <c r="N58" t="s">
        <v>406</v>
      </c>
      <c r="O58" s="70" t="str">
        <f>IFERROR(RIGHT(SUBSTITUTE(N58,"$",CHAR(9),2),LEN(N58)-FIND(CHAR(9),SUBSTITUTE(N58,"$",CHAR(9),2),1) ),N58)</f>
        <v>1280.00</v>
      </c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>
        <f t="shared" si="0"/>
        <v>30.476190476190474</v>
      </c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</row>
    <row r="59" spans="1:123">
      <c r="A59" t="s">
        <v>281</v>
      </c>
      <c r="B59" s="54" t="str">
        <f>TRIM(MID(SUBSTITUTE(A59," ",REPT(" ",LEN(A59))), (4-1)*LEN(A59)+1, LEN(A59)))</f>
        <v>5218N</v>
      </c>
      <c r="C59">
        <f>IFERROR(VLOOKUP(A59,Processor_DB_Intel!$A$1:'Processor_DB_Intel'!$D$494,4,FALSE),"")</f>
        <v>16</v>
      </c>
      <c r="D59" t="str">
        <f>IFERROR(LEFT(VLOOKUP(A59,Processor_DB_Intel!$A$1:'Processor_DB_Intel'!$F$494,6,FALSE),3),"")</f>
        <v>2.3</v>
      </c>
      <c r="E59" s="73">
        <f>IF(O59 = 0,"",O59)</f>
        <v>1218</v>
      </c>
      <c r="F59" s="56">
        <f>IFERROR(E59/C59,"")</f>
        <v>76.125</v>
      </c>
      <c r="G59">
        <f>IFERROR(C59*D59,"")</f>
        <v>36.799999999999997</v>
      </c>
      <c r="H59">
        <f>IFERROR(G59*2,"")</f>
        <v>73.599999999999994</v>
      </c>
      <c r="I59" s="56">
        <f>IFERROR(E59/G59,"")</f>
        <v>33.097826086956523</v>
      </c>
      <c r="J59" s="57">
        <f>IFERROR(1-(I59/$AC$3),"")</f>
        <v>0.92827388700859148</v>
      </c>
      <c r="K59" t="s">
        <v>354</v>
      </c>
      <c r="L59">
        <f>MIN(SEARCH({0,1,2,3,4,5,6,7,8,9},K59&amp;"0123456789"))</f>
        <v>54</v>
      </c>
      <c r="M59" t="str">
        <f>LEFT(RIGHT(K59,LEN(K59)-L59+1),6)</f>
        <v>193397</v>
      </c>
      <c r="N59" s="69">
        <v>1218</v>
      </c>
      <c r="O59" s="70">
        <f>IFERROR(RIGHT(SUBSTITUTE(N59,"$",CHAR(9),2),LEN(N59)-FIND(CHAR(9),SUBSTITUTE(N59,"$",CHAR(9),2),1) ),N59)</f>
        <v>1218</v>
      </c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>
        <f t="shared" si="0"/>
        <v>33.097826086956523</v>
      </c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</row>
    <row r="60" spans="1:123">
      <c r="A60" t="s">
        <v>282</v>
      </c>
      <c r="B60" s="54" t="str">
        <f>TRIM(MID(SUBSTITUTE(A60," ",REPT(" ",LEN(A60))), (4-1)*LEN(A60)+1, LEN(A60)))</f>
        <v>5218B</v>
      </c>
      <c r="C60">
        <f>IFERROR(VLOOKUP(A60,Processor_DB_Intel!$A$1:'Processor_DB_Intel'!$D$494,4,FALSE),"")</f>
        <v>16</v>
      </c>
      <c r="D60" t="str">
        <f>IFERROR(LEFT(VLOOKUP(A60,Processor_DB_Intel!$A$1:'Processor_DB_Intel'!$F$494,6,FALSE),3),"")</f>
        <v>2.3</v>
      </c>
      <c r="E60" s="73">
        <f>IF(O60 = 0,"",O60)</f>
        <v>1273</v>
      </c>
      <c r="F60" s="56">
        <f>IFERROR(E60/C60,"")</f>
        <v>79.5625</v>
      </c>
      <c r="G60">
        <f>IFERROR(C60*D60,"")</f>
        <v>36.799999999999997</v>
      </c>
      <c r="H60">
        <f>IFERROR(G60*2,"")</f>
        <v>73.599999999999994</v>
      </c>
      <c r="I60" s="56">
        <f>IFERROR(E60/G60,"")</f>
        <v>34.592391304347828</v>
      </c>
      <c r="J60" s="57">
        <f>IFERROR(1-(I60/$AC$3),"")</f>
        <v>0.92503502312145891</v>
      </c>
      <c r="K60" t="s">
        <v>355</v>
      </c>
      <c r="L60">
        <f>MIN(SEARCH({0,1,2,3,4,5,6,7,8,9},K60&amp;"0123456789"))</f>
        <v>54</v>
      </c>
      <c r="M60" t="str">
        <f>LEFT(RIGHT(K60,LEN(K60)-L60+1),6)</f>
        <v>193564</v>
      </c>
      <c r="N60" s="69">
        <v>1273</v>
      </c>
      <c r="O60" s="70">
        <f>IFERROR(RIGHT(SUBSTITUTE(N60,"$",CHAR(9),2),LEN(N60)-FIND(CHAR(9),SUBSTITUTE(N60,"$",CHAR(9),2),1) ),N60)</f>
        <v>1273</v>
      </c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>
        <f t="shared" si="0"/>
        <v>34.592391304347828</v>
      </c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</row>
    <row r="61" spans="1:123">
      <c r="A61" t="s">
        <v>283</v>
      </c>
      <c r="B61" s="54" t="str">
        <f>TRIM(MID(SUBSTITUTE(A61," ",REPT(" ",LEN(A61))), (4-1)*LEN(A61)+1, LEN(A61)))</f>
        <v>5218</v>
      </c>
      <c r="C61">
        <f>IFERROR(VLOOKUP(A61,Processor_DB_Intel!$A$1:'Processor_DB_Intel'!$D$494,4,FALSE),"")</f>
        <v>16</v>
      </c>
      <c r="D61" t="str">
        <f>IFERROR(LEFT(VLOOKUP(A61,Processor_DB_Intel!$A$1:'Processor_DB_Intel'!$F$494,6,FALSE),3),"")</f>
        <v>2.3</v>
      </c>
      <c r="E61" s="73" t="str">
        <f>IF(O61 = 0,"",O61)</f>
        <v>1280.00</v>
      </c>
      <c r="F61" s="56">
        <f>IFERROR(E61/C61,"")</f>
        <v>80</v>
      </c>
      <c r="G61">
        <f>IFERROR(C61*D61,"")</f>
        <v>36.799999999999997</v>
      </c>
      <c r="H61">
        <f>IFERROR(G61*2,"")</f>
        <v>73.599999999999994</v>
      </c>
      <c r="I61" s="56">
        <f>IFERROR(E61/G61,"")</f>
        <v>34.782608695652179</v>
      </c>
      <c r="J61" s="57">
        <f>IFERROR(1-(I61/$AC$3),"")</f>
        <v>0.92462280408127839</v>
      </c>
      <c r="K61" t="s">
        <v>352</v>
      </c>
      <c r="L61">
        <f>MIN(SEARCH({0,1,2,3,4,5,6,7,8,9},K61&amp;"0123456789"))</f>
        <v>54</v>
      </c>
      <c r="M61" t="str">
        <f>LEFT(RIGHT(K61,LEN(K61)-L61+1),6)</f>
        <v>192444</v>
      </c>
      <c r="N61" t="s">
        <v>406</v>
      </c>
      <c r="O61" s="70" t="str">
        <f>IFERROR(RIGHT(SUBSTITUTE(N61,"$",CHAR(9),2),LEN(N61)-FIND(CHAR(9),SUBSTITUTE(N61,"$",CHAR(9),2),1) ),N61)</f>
        <v>1280.00</v>
      </c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>
        <f t="shared" si="0"/>
        <v>34.782608695652179</v>
      </c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</row>
    <row r="62" spans="1:123">
      <c r="A62" t="s">
        <v>284</v>
      </c>
      <c r="B62" s="54" t="str">
        <f>TRIM(MID(SUBSTITUTE(A62," ",REPT(" ",LEN(A62))), (4-1)*LEN(A62)+1, LEN(A62)))</f>
        <v>5217</v>
      </c>
      <c r="C62">
        <f>IFERROR(VLOOKUP(A62,Processor_DB_Intel!$A$1:'Processor_DB_Intel'!$D$494,4,FALSE),"")</f>
        <v>8</v>
      </c>
      <c r="D62" t="str">
        <f>IFERROR(LEFT(VLOOKUP(A62,Processor_DB_Intel!$A$1:'Processor_DB_Intel'!$F$494,6,FALSE),3),"")</f>
        <v>3.0</v>
      </c>
      <c r="E62" s="73">
        <f>IF(O62 = 0,"",O62)</f>
        <v>1522</v>
      </c>
      <c r="F62" s="56">
        <f>IFERROR(E62/C62,"")</f>
        <v>190.25</v>
      </c>
      <c r="G62">
        <f>IFERROR(C62*D62,"")</f>
        <v>24</v>
      </c>
      <c r="H62">
        <f>IFERROR(G62*2,"")</f>
        <v>48</v>
      </c>
      <c r="I62" s="56">
        <f>IFERROR(E62/G62,"")</f>
        <v>63.416666666666664</v>
      </c>
      <c r="J62" s="57">
        <f>IFERROR(1-(I62/$AC$3),"")</f>
        <v>0.86257009789943928</v>
      </c>
      <c r="K62" t="s">
        <v>356</v>
      </c>
      <c r="L62">
        <f>MIN(SEARCH({0,1,2,3,4,5,6,7,8,9},K62&amp;"0123456789"))</f>
        <v>54</v>
      </c>
      <c r="M62" t="str">
        <f>LEFT(RIGHT(K62,LEN(K62)-L62+1),6)</f>
        <v>193396</v>
      </c>
      <c r="N62" s="69">
        <v>1522</v>
      </c>
      <c r="O62" s="70">
        <f>IFERROR(RIGHT(SUBSTITUTE(N62,"$",CHAR(9),2),LEN(N62)-FIND(CHAR(9),SUBSTITUTE(N62,"$",CHAR(9),2),1) ),N62)</f>
        <v>1522</v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>
        <f t="shared" si="0"/>
        <v>63.416666666666664</v>
      </c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</row>
    <row r="63" spans="1:123">
      <c r="A63" t="s">
        <v>287</v>
      </c>
      <c r="B63" s="54" t="str">
        <f>TRIM(MID(SUBSTITUTE(A63," ",REPT(" ",LEN(A63))), (4-1)*LEN(A63)+1, LEN(A63)))</f>
        <v>5215L</v>
      </c>
      <c r="C63">
        <f>IFERROR(VLOOKUP(A63,Processor_DB_Intel!$A$1:'Processor_DB_Intel'!$D$494,4,FALSE),"")</f>
        <v>10</v>
      </c>
      <c r="D63" t="str">
        <f>IFERROR(LEFT(VLOOKUP(A63,Processor_DB_Intel!$A$1:'Processor_DB_Intel'!$F$494,6,FALSE),3),"")</f>
        <v>2.5</v>
      </c>
      <c r="E63" s="73">
        <f>IF(O63 = 0,"",O63)</f>
        <v>4224</v>
      </c>
      <c r="F63" s="56">
        <f>IFERROR(E63/C63,"")</f>
        <v>422.4</v>
      </c>
      <c r="G63">
        <f>IFERROR(C63*D63,"")</f>
        <v>25</v>
      </c>
      <c r="H63">
        <f>IFERROR(G63*2,"")</f>
        <v>50</v>
      </c>
      <c r="I63" s="56">
        <f>IFERROR(E63/G63,"")</f>
        <v>168.96</v>
      </c>
      <c r="J63" s="57">
        <f>IFERROR(1-(I63/$AC$3),"")</f>
        <v>0.63384773310521814</v>
      </c>
      <c r="K63" t="s">
        <v>357</v>
      </c>
      <c r="L63">
        <f>MIN(SEARCH({0,1,2,3,4,5,6,7,8,9},K63&amp;"0123456789"))</f>
        <v>54</v>
      </c>
      <c r="M63" t="str">
        <f>LEFT(RIGHT(K63,LEN(K63)-L63+1),6)</f>
        <v>193393</v>
      </c>
      <c r="N63" s="69">
        <v>4224</v>
      </c>
      <c r="O63" s="70">
        <f>IFERROR(RIGHT(SUBSTITUTE(N63,"$",CHAR(9),2),LEN(N63)-FIND(CHAR(9),SUBSTITUTE(N63,"$",CHAR(9),2),1) ),N63)</f>
        <v>4224</v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>
        <f t="shared" si="0"/>
        <v>168.96</v>
      </c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</row>
    <row r="64" spans="1:123">
      <c r="A64" t="s">
        <v>288</v>
      </c>
      <c r="B64" s="54" t="str">
        <f>TRIM(MID(SUBSTITUTE(A64," ",REPT(" ",LEN(A64))), (4-1)*LEN(A64)+1, LEN(A64)))</f>
        <v>5215</v>
      </c>
      <c r="C64">
        <f>IFERROR(VLOOKUP(A64,Processor_DB_Intel!$A$1:'Processor_DB_Intel'!$D$494,4,FALSE),"")</f>
        <v>10</v>
      </c>
      <c r="D64" t="str">
        <f>IFERROR(LEFT(VLOOKUP(A64,Processor_DB_Intel!$A$1:'Processor_DB_Intel'!$F$494,6,FALSE),3),"")</f>
        <v>2.5</v>
      </c>
      <c r="E64" s="73">
        <f>IF(O64 = 0,"",O64)</f>
        <v>1221</v>
      </c>
      <c r="F64" s="56">
        <f>IFERROR(E64/C64,"")</f>
        <v>122.1</v>
      </c>
      <c r="G64">
        <f>IFERROR(C64*D64,"")</f>
        <v>25</v>
      </c>
      <c r="H64">
        <f>IFERROR(G64*2,"")</f>
        <v>50</v>
      </c>
      <c r="I64" s="56">
        <f>IFERROR(E64/G64,"")</f>
        <v>48.84</v>
      </c>
      <c r="J64" s="57">
        <f>IFERROR(1-(I64/$AC$3),"")</f>
        <v>0.89415911035072715</v>
      </c>
      <c r="K64" t="s">
        <v>358</v>
      </c>
      <c r="L64">
        <f>MIN(SEARCH({0,1,2,3,4,5,6,7,8,9},K64&amp;"0123456789"))</f>
        <v>54</v>
      </c>
      <c r="M64" t="str">
        <f>LEFT(RIGHT(K64,LEN(K64)-L64+1),6)</f>
        <v>193391</v>
      </c>
      <c r="N64" s="69">
        <v>1221</v>
      </c>
      <c r="O64" s="70">
        <f>IFERROR(RIGHT(SUBSTITUTE(N64,"$",CHAR(9),2),LEN(N64)-FIND(CHAR(9),SUBSTITUTE(N64,"$",CHAR(9),2),1) ),N64)</f>
        <v>1221</v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>
        <f t="shared" si="0"/>
        <v>48.84</v>
      </c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</row>
    <row r="65" spans="1:123">
      <c r="A65" t="s">
        <v>289</v>
      </c>
      <c r="B65" s="54" t="str">
        <f>TRIM(MID(SUBSTITUTE(A65," ",REPT(" ",LEN(A65))), (4-1)*LEN(A65)+1, LEN(A65)))</f>
        <v>4216</v>
      </c>
      <c r="C65">
        <f>IFERROR(VLOOKUP(A65,Processor_DB_Intel!$A$1:'Processor_DB_Intel'!$D$494,4,FALSE),"")</f>
        <v>16</v>
      </c>
      <c r="D65" t="str">
        <f>IFERROR(LEFT(VLOOKUP(A65,Processor_DB_Intel!$A$1:'Processor_DB_Intel'!$F$494,6,FALSE),3),"")</f>
        <v>2.1</v>
      </c>
      <c r="E65" s="73">
        <f>IF(O65 = 0,"",O65)</f>
        <v>900</v>
      </c>
      <c r="F65" s="56">
        <f>IFERROR(E65/C65,"")</f>
        <v>56.25</v>
      </c>
      <c r="G65">
        <f>IFERROR(C65*D65,"")</f>
        <v>33.6</v>
      </c>
      <c r="H65">
        <f>IFERROR(G65*2,"")</f>
        <v>67.2</v>
      </c>
      <c r="I65" s="56">
        <f>IFERROR(E65/G65,"")</f>
        <v>26.785714285714285</v>
      </c>
      <c r="J65" s="57">
        <f>IFERROR(1-(I65/$AC$3),"")</f>
        <v>0.94195282903580591</v>
      </c>
      <c r="K65" t="s">
        <v>359</v>
      </c>
      <c r="L65">
        <f>MIN(SEARCH({0,1,2,3,4,5,6,7,8,9},K65&amp;"0123456789"))</f>
        <v>54</v>
      </c>
      <c r="M65" t="str">
        <f>LEFT(RIGHT(K65,LEN(K65)-L65+1),6)</f>
        <v>193394</v>
      </c>
      <c r="N65" s="69">
        <v>900</v>
      </c>
      <c r="O65" s="70">
        <f>IFERROR(RIGHT(SUBSTITUTE(N65,"$",CHAR(9),2),LEN(N65)-FIND(CHAR(9),SUBSTITUTE(N65,"$",CHAR(9),2),1) ),N65)</f>
        <v>900</v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>
        <f t="shared" si="0"/>
        <v>26.785714285714285</v>
      </c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</row>
    <row r="66" spans="1:123">
      <c r="A66" t="s">
        <v>291</v>
      </c>
      <c r="B66" s="54" t="str">
        <f>TRIM(MID(SUBSTITUTE(A66," ",REPT(" ",LEN(A66))), (4-1)*LEN(A66)+1, LEN(A66)))</f>
        <v>4215R</v>
      </c>
      <c r="C66">
        <f>IFERROR(VLOOKUP(A66,Processor_DB_Intel!$A$1:'Processor_DB_Intel'!$D$494,4,FALSE),"")</f>
        <v>8</v>
      </c>
      <c r="D66" t="str">
        <f>IFERROR(LEFT(VLOOKUP(A66,Processor_DB_Intel!$A$1:'Processor_DB_Intel'!$F$494,6,FALSE),3),"")</f>
        <v>3.2</v>
      </c>
      <c r="E66" s="73">
        <f>IF(O66 = 0,"",O66)</f>
        <v>794</v>
      </c>
      <c r="F66" s="56">
        <f>IFERROR(E66/C66,"")</f>
        <v>99.25</v>
      </c>
      <c r="G66">
        <f>IFERROR(C66*D66,"")</f>
        <v>25.6</v>
      </c>
      <c r="H66">
        <f>IFERROR(G66*2,"")</f>
        <v>51.2</v>
      </c>
      <c r="I66" s="56">
        <f>IFERROR(E66/G66,"")</f>
        <v>31.015625</v>
      </c>
      <c r="J66" s="57">
        <f>IFERROR(1-(I66/$AC$3),"")</f>
        <v>0.93278621328771028</v>
      </c>
      <c r="K66" t="s">
        <v>360</v>
      </c>
      <c r="L66">
        <f>MIN(SEARCH({0,1,2,3,4,5,6,7,8,9},K66&amp;"0123456789"))</f>
        <v>54</v>
      </c>
      <c r="M66" t="str">
        <f>LEFT(RIGHT(K66,LEN(K66)-L66+1),6)</f>
        <v>199349</v>
      </c>
      <c r="N66" s="69">
        <v>794</v>
      </c>
      <c r="O66" s="70">
        <f>IFERROR(RIGHT(SUBSTITUTE(N66,"$",CHAR(9),2),LEN(N66)-FIND(CHAR(9),SUBSTITUTE(N66,"$",CHAR(9),2),1) ),N66)</f>
        <v>794</v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>
        <f t="shared" si="0"/>
        <v>31.015625</v>
      </c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</row>
    <row r="67" spans="1:123">
      <c r="A67" t="s">
        <v>292</v>
      </c>
      <c r="B67" s="54" t="str">
        <f>TRIM(MID(SUBSTITUTE(A67," ",REPT(" ",LEN(A67))), (4-1)*LEN(A67)+1, LEN(A67)))</f>
        <v>4215</v>
      </c>
      <c r="C67">
        <f>IFERROR(VLOOKUP(A67,Processor_DB_Intel!$A$1:'Processor_DB_Intel'!$D$494,4,FALSE),"")</f>
        <v>8</v>
      </c>
      <c r="D67" t="str">
        <f>IFERROR(LEFT(VLOOKUP(A67,Processor_DB_Intel!$A$1:'Processor_DB_Intel'!$F$494,6,FALSE),3),"")</f>
        <v>2.5</v>
      </c>
      <c r="E67" s="73">
        <f>IF(O67 = 0,"",O67)</f>
        <v>562</v>
      </c>
      <c r="F67" s="56">
        <f>IFERROR(E67/C67,"")</f>
        <v>70.25</v>
      </c>
      <c r="G67">
        <f>IFERROR(C67*D67,"")</f>
        <v>20</v>
      </c>
      <c r="H67">
        <f>IFERROR(G67*2,"")</f>
        <v>40</v>
      </c>
      <c r="I67" s="56">
        <f>IFERROR(E67/G67,"")</f>
        <v>28.1</v>
      </c>
      <c r="J67" s="57">
        <f>IFERROR(1-(I67/$AC$3),"")</f>
        <v>0.93910464784716285</v>
      </c>
      <c r="K67" t="s">
        <v>361</v>
      </c>
      <c r="L67">
        <f>MIN(SEARCH({0,1,2,3,4,5,6,7,8,9},K67&amp;"0123456789"))</f>
        <v>54</v>
      </c>
      <c r="M67" t="str">
        <f>LEFT(RIGHT(K67,LEN(K67)-L67+1),6)</f>
        <v>193389</v>
      </c>
      <c r="N67" s="69">
        <v>562</v>
      </c>
      <c r="O67" s="70">
        <f>IFERROR(RIGHT(SUBSTITUTE(N67,"$",CHAR(9),2),LEN(N67)-FIND(CHAR(9),SUBSTITUTE(N67,"$",CHAR(9),2),1) ),N67)</f>
        <v>562</v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>
        <f t="shared" si="0"/>
        <v>28.1</v>
      </c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</row>
    <row r="68" spans="1:123">
      <c r="A68" t="s">
        <v>293</v>
      </c>
      <c r="B68" s="54" t="str">
        <f>TRIM(MID(SUBSTITUTE(A68," ",REPT(" ",LEN(A68))), (4-1)*LEN(A68)+1, LEN(A68)))</f>
        <v>4214Y</v>
      </c>
      <c r="C68">
        <f>IFERROR(VLOOKUP(A68,Processor_DB_Intel!$A$1:'Processor_DB_Intel'!$D$494,4,FALSE),"")</f>
        <v>12</v>
      </c>
      <c r="D68" t="str">
        <f>IFERROR(LEFT(VLOOKUP(A68,Processor_DB_Intel!$A$1:'Processor_DB_Intel'!$F$494,6,FALSE),3),"")</f>
        <v>2.2</v>
      </c>
      <c r="E68" s="73">
        <f>IF(O68 = 0,"",O68)</f>
        <v>768</v>
      </c>
      <c r="F68" s="56">
        <f>IFERROR(E68/C68,"")</f>
        <v>64</v>
      </c>
      <c r="G68">
        <f>IFERROR(C68*D68,"")</f>
        <v>26.400000000000002</v>
      </c>
      <c r="H68">
        <f>IFERROR(G68*2,"")</f>
        <v>52.800000000000004</v>
      </c>
      <c r="I68" s="56">
        <f>IFERROR(E68/G68,"")</f>
        <v>29.09090909090909</v>
      </c>
      <c r="J68" s="57">
        <f>IFERROR(1-(I68/$AC$3),"")</f>
        <v>0.93695725432252375</v>
      </c>
      <c r="K68" t="s">
        <v>362</v>
      </c>
      <c r="L68">
        <f>MIN(SEARCH({0,1,2,3,4,5,6,7,8,9},K68&amp;"0123456789"))</f>
        <v>54</v>
      </c>
      <c r="M68" t="str">
        <f>LEFT(RIGHT(K68,LEN(K68)-L68+1),6)</f>
        <v>193553</v>
      </c>
      <c r="N68" s="69">
        <v>768</v>
      </c>
      <c r="O68" s="70">
        <f>IFERROR(RIGHT(SUBSTITUTE(N68,"$",CHAR(9),2),LEN(N68)-FIND(CHAR(9),SUBSTITUTE(N68,"$",CHAR(9),2),1) ),N68)</f>
        <v>768</v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>
        <f t="shared" si="0"/>
        <v>29.09090909090909</v>
      </c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</row>
    <row r="69" spans="1:123">
      <c r="A69" t="s">
        <v>294</v>
      </c>
      <c r="B69" s="54" t="str">
        <f>TRIM(MID(SUBSTITUTE(A69," ",REPT(" ",LEN(A69))), (4-1)*LEN(A69)+1, LEN(A69)))</f>
        <v>4214R</v>
      </c>
      <c r="C69">
        <f>IFERROR(VLOOKUP(A69,Processor_DB_Intel!$A$1:'Processor_DB_Intel'!$D$494,4,FALSE),"")</f>
        <v>12</v>
      </c>
      <c r="D69" t="str">
        <f>IFERROR(LEFT(VLOOKUP(A69,Processor_DB_Intel!$A$1:'Processor_DB_Intel'!$F$494,6,FALSE),3),"")</f>
        <v>2.4</v>
      </c>
      <c r="E69" s="73" t="str">
        <f>IF(O69 = 0,"",O69)</f>
        <v>705.00</v>
      </c>
      <c r="F69" s="56">
        <f>IFERROR(E69/C69,"")</f>
        <v>58.75</v>
      </c>
      <c r="G69">
        <f>IFERROR(C69*D69,"")</f>
        <v>28.799999999999997</v>
      </c>
      <c r="H69">
        <f>IFERROR(G69*2,"")</f>
        <v>57.599999999999994</v>
      </c>
      <c r="I69" s="56">
        <f>IFERROR(E69/G69,"")</f>
        <v>24.479166666666668</v>
      </c>
      <c r="J69" s="57">
        <f>IFERROR(1-(I69/$AC$3),"")</f>
        <v>0.94695133542438936</v>
      </c>
      <c r="K69" t="s">
        <v>416</v>
      </c>
      <c r="L69">
        <f>MIN(SEARCH({0,1,2,3,4,5,6,7,8,9},K69&amp;"0123456789"))</f>
        <v>54</v>
      </c>
      <c r="M69" t="str">
        <f>LEFT(RIGHT(K69,LEN(K69)-L69+1),6)</f>
        <v>197100</v>
      </c>
      <c r="N69" s="69" t="s">
        <v>417</v>
      </c>
      <c r="O69" s="70" t="str">
        <f>IFERROR(RIGHT(SUBSTITUTE(N69,"$",CHAR(9),2),LEN(N69)-FIND(CHAR(9),SUBSTITUTE(N69,"$",CHAR(9),2),1) ),N69)</f>
        <v>705.00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>
        <f t="shared" si="0"/>
        <v>24.479166666666668</v>
      </c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</row>
    <row r="70" spans="1:123">
      <c r="A70" t="s">
        <v>295</v>
      </c>
      <c r="B70" s="54" t="str">
        <f>TRIM(MID(SUBSTITUTE(A70," ",REPT(" ",LEN(A70))), (4-1)*LEN(A70)+1, LEN(A70)))</f>
        <v>4214</v>
      </c>
      <c r="C70">
        <f>IFERROR(VLOOKUP(A70,Processor_DB_Intel!$A$1:'Processor_DB_Intel'!$D$494,4,FALSE),"")</f>
        <v>12</v>
      </c>
      <c r="D70" t="str">
        <f>IFERROR(LEFT(VLOOKUP(A70,Processor_DB_Intel!$A$1:'Processor_DB_Intel'!$F$494,6,FALSE),3),"")</f>
        <v>2.2</v>
      </c>
      <c r="E70" s="73" t="str">
        <f>IF(O70 = 0,"",O70)</f>
        <v>704.00</v>
      </c>
      <c r="F70" s="56">
        <f>IFERROR(E70/C70,"")</f>
        <v>58.666666666666664</v>
      </c>
      <c r="G70">
        <f>IFERROR(C70*D70,"")</f>
        <v>26.400000000000002</v>
      </c>
      <c r="H70">
        <f>IFERROR(G70*2,"")</f>
        <v>52.800000000000004</v>
      </c>
      <c r="I70" s="56">
        <f>IFERROR(E70/G70,"")</f>
        <v>26.666666666666664</v>
      </c>
      <c r="J70" s="57">
        <f>IFERROR(1-(I70/$AC$3),"")</f>
        <v>0.94221081646231353</v>
      </c>
      <c r="K70" t="s">
        <v>363</v>
      </c>
      <c r="L70">
        <f>MIN(SEARCH({0,1,2,3,4,5,6,7,8,9},K70&amp;"0123456789"))</f>
        <v>54</v>
      </c>
      <c r="M70" t="str">
        <f>LEFT(RIGHT(K70,LEN(K70)-L70+1),6)</f>
        <v>193385</v>
      </c>
      <c r="N70" s="69" t="s">
        <v>407</v>
      </c>
      <c r="O70" s="70" t="str">
        <f>IFERROR(RIGHT(SUBSTITUTE(N70,"$",CHAR(9),2),LEN(N70)-FIND(CHAR(9),SUBSTITUTE(N70,"$",CHAR(9),2),1) ),N70)</f>
        <v>704.00</v>
      </c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>
        <f t="shared" ref="AA70:AA133" si="1">_xlfn.IFNA(I70,0)</f>
        <v>26.666666666666664</v>
      </c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</row>
    <row r="71" spans="1:123">
      <c r="A71" t="s">
        <v>296</v>
      </c>
      <c r="B71" s="54" t="str">
        <f>TRIM(MID(SUBSTITUTE(A71," ",REPT(" ",LEN(A71))), (4-1)*LEN(A71)+1, LEN(A71)))</f>
        <v>4210T</v>
      </c>
      <c r="C71">
        <f>IFERROR(VLOOKUP(A71,Processor_DB_Intel!$A$1:'Processor_DB_Intel'!$D$494,4,FALSE),"")</f>
        <v>10</v>
      </c>
      <c r="D71" t="str">
        <f>IFERROR(LEFT(VLOOKUP(A71,Processor_DB_Intel!$A$1:'Processor_DB_Intel'!$F$494,6,FALSE),3),"")</f>
        <v>2.3</v>
      </c>
      <c r="E71" s="73" t="str">
        <f>IF(O71 = 0,"",O71)</f>
        <v>511.00</v>
      </c>
      <c r="F71" s="56">
        <f>IFERROR(E71/C71,"")</f>
        <v>51.1</v>
      </c>
      <c r="G71">
        <f>IFERROR(C71*D71,"")</f>
        <v>23</v>
      </c>
      <c r="H71">
        <f>IFERROR(G71*2,"")</f>
        <v>46</v>
      </c>
      <c r="I71" s="56">
        <f>IFERROR(E71/G71,"")</f>
        <v>22.217391304347824</v>
      </c>
      <c r="J71" s="57">
        <f>IFERROR(1-(I71/$AC$3),"")</f>
        <v>0.95185281610691663</v>
      </c>
      <c r="K71" t="s">
        <v>364</v>
      </c>
      <c r="L71">
        <f>MIN(SEARCH({0,1,2,3,4,5,6,7,8,9},K71&amp;"0123456789"))</f>
        <v>54</v>
      </c>
      <c r="M71" t="str">
        <f>LEFT(RIGHT(K71,LEN(K71)-L71+1),6)</f>
        <v>193384</v>
      </c>
      <c r="N71" s="69" t="s">
        <v>408</v>
      </c>
      <c r="O71" s="70" t="str">
        <f>IFERROR(RIGHT(SUBSTITUTE(N71,"$",CHAR(9),2),LEN(N71)-FIND(CHAR(9),SUBSTITUTE(N71,"$",CHAR(9),2),1) ),N71)</f>
        <v>511.00</v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>
        <f t="shared" si="1"/>
        <v>22.217391304347824</v>
      </c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</row>
    <row r="72" spans="1:123">
      <c r="A72" t="s">
        <v>297</v>
      </c>
      <c r="B72" s="54" t="str">
        <f>TRIM(MID(SUBSTITUTE(A72," ",REPT(" ",LEN(A72))), (4-1)*LEN(A72)+1, LEN(A72)))</f>
        <v>4210R</v>
      </c>
      <c r="C72">
        <f>IFERROR(VLOOKUP(A72,Processor_DB_Intel!$A$1:'Processor_DB_Intel'!$D$494,4,FALSE),"")</f>
        <v>10</v>
      </c>
      <c r="D72" t="str">
        <f>IFERROR(LEFT(VLOOKUP(A72,Processor_DB_Intel!$A$1:'Processor_DB_Intel'!$F$494,6,FALSE),3),"")</f>
        <v>2.4</v>
      </c>
      <c r="E72" s="73" t="str">
        <f>IF(O72 = 0,"",O72)</f>
        <v>511.00</v>
      </c>
      <c r="F72" s="56">
        <f>IFERROR(E72/C72,"")</f>
        <v>51.1</v>
      </c>
      <c r="G72">
        <f>IFERROR(C72*D72,"")</f>
        <v>24</v>
      </c>
      <c r="H72">
        <f>IFERROR(G72*2,"")</f>
        <v>48</v>
      </c>
      <c r="I72" s="56">
        <f>IFERROR(E72/G72,"")</f>
        <v>21.291666666666668</v>
      </c>
      <c r="J72" s="57">
        <f>IFERROR(1-(I72/$AC$3),"")</f>
        <v>0.95385894876912847</v>
      </c>
      <c r="K72" t="s">
        <v>364</v>
      </c>
      <c r="L72">
        <f>MIN(SEARCH({0,1,2,3,4,5,6,7,8,9},K72&amp;"0123456789"))</f>
        <v>54</v>
      </c>
      <c r="M72" t="str">
        <f>LEFT(RIGHT(K72,LEN(K72)-L72+1),6)</f>
        <v>193384</v>
      </c>
      <c r="N72" s="69" t="s">
        <v>408</v>
      </c>
      <c r="O72" s="70" t="str">
        <f>IFERROR(RIGHT(SUBSTITUTE(N72,"$",CHAR(9),2),LEN(N72)-FIND(CHAR(9),SUBSTITUTE(N72,"$",CHAR(9),2),1) ),N72)</f>
        <v>511.00</v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>
        <f t="shared" si="1"/>
        <v>21.291666666666668</v>
      </c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</row>
    <row r="73" spans="1:123">
      <c r="A73" t="s">
        <v>298</v>
      </c>
      <c r="B73" s="54" t="str">
        <f>TRIM(MID(SUBSTITUTE(A73," ",REPT(" ",LEN(A73))), (4-1)*LEN(A73)+1, LEN(A73)))</f>
        <v>4210</v>
      </c>
      <c r="C73">
        <f>IFERROR(VLOOKUP(A73,Processor_DB_Intel!$A$1:'Processor_DB_Intel'!$D$494,4,FALSE),"")</f>
        <v>10</v>
      </c>
      <c r="D73" t="str">
        <f>IFERROR(LEFT(VLOOKUP(A73,Processor_DB_Intel!$A$1:'Processor_DB_Intel'!$F$494,6,FALSE),3),"")</f>
        <v>2.2</v>
      </c>
      <c r="E73" s="73" t="str">
        <f>IF(O73 = 0,"",O73)</f>
        <v>511.00</v>
      </c>
      <c r="F73" s="56">
        <f>IFERROR(E73/C73,"")</f>
        <v>51.1</v>
      </c>
      <c r="G73">
        <f>IFERROR(C73*D73,"")</f>
        <v>22</v>
      </c>
      <c r="H73">
        <f>IFERROR(G73*2,"")</f>
        <v>44</v>
      </c>
      <c r="I73" s="56">
        <f>IFERROR(E73/G73,"")</f>
        <v>23.227272727272727</v>
      </c>
      <c r="J73" s="57">
        <f>IFERROR(1-(I73/$AC$3),"")</f>
        <v>0.94966430774814015</v>
      </c>
      <c r="K73" t="s">
        <v>364</v>
      </c>
      <c r="L73">
        <f>MIN(SEARCH({0,1,2,3,4,5,6,7,8,9},K73&amp;"0123456789"))</f>
        <v>54</v>
      </c>
      <c r="M73" t="str">
        <f>LEFT(RIGHT(K73,LEN(K73)-L73+1),6)</f>
        <v>193384</v>
      </c>
      <c r="N73" s="69" t="s">
        <v>408</v>
      </c>
      <c r="O73" s="70" t="str">
        <f>IFERROR(RIGHT(SUBSTITUTE(N73,"$",CHAR(9),2),LEN(N73)-FIND(CHAR(9),SUBSTITUTE(N73,"$",CHAR(9),2),1) ),N73)</f>
        <v>511.00</v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>
        <f t="shared" si="1"/>
        <v>23.227272727272727</v>
      </c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</row>
    <row r="74" spans="1:123">
      <c r="A74" t="s">
        <v>299</v>
      </c>
      <c r="B74" s="54" t="str">
        <f>TRIM(MID(SUBSTITUTE(A74," ",REPT(" ",LEN(A74))), (4-1)*LEN(A74)+1, LEN(A74)))</f>
        <v>4209T</v>
      </c>
      <c r="C74">
        <f>IFERROR(VLOOKUP(A74,Processor_DB_Intel!$A$1:'Processor_DB_Intel'!$D$494,4,FALSE),"")</f>
        <v>8</v>
      </c>
      <c r="D74" t="str">
        <f>IFERROR(LEFT(VLOOKUP(A74,Processor_DB_Intel!$A$1:'Processor_DB_Intel'!$F$494,6,FALSE),3),"")</f>
        <v>2.2</v>
      </c>
      <c r="E74" s="73">
        <f>IF(O74 = 0,"",O74)</f>
        <v>501</v>
      </c>
      <c r="F74" s="56">
        <f>IFERROR(E74/C74,"")</f>
        <v>62.625</v>
      </c>
      <c r="G74">
        <f>IFERROR(C74*D74,"")</f>
        <v>17.600000000000001</v>
      </c>
      <c r="H74">
        <f>IFERROR(G74*2,"")</f>
        <v>35.200000000000003</v>
      </c>
      <c r="I74" s="56">
        <f>IFERROR(E74/G74,"")</f>
        <v>28.46590909090909</v>
      </c>
      <c r="J74" s="57">
        <f>IFERROR(1-(I74/$AC$3),"")</f>
        <v>0.93831168831168832</v>
      </c>
      <c r="K74" t="s">
        <v>365</v>
      </c>
      <c r="L74">
        <f>MIN(SEARCH({0,1,2,3,4,5,6,7,8,9},K74&amp;"0123456789"))</f>
        <v>54</v>
      </c>
      <c r="M74" t="str">
        <f>LEFT(RIGHT(K74,LEN(K74)-L74+1),6)</f>
        <v>193382</v>
      </c>
      <c r="N74" s="69">
        <v>501</v>
      </c>
      <c r="O74" s="70">
        <f>IFERROR(RIGHT(SUBSTITUTE(N74,"$",CHAR(9),2),LEN(N74)-FIND(CHAR(9),SUBSTITUTE(N74,"$",CHAR(9),2),1) ),N74)</f>
        <v>501</v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>
        <f t="shared" si="1"/>
        <v>28.46590909090909</v>
      </c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</row>
    <row r="75" spans="1:123">
      <c r="A75" t="s">
        <v>300</v>
      </c>
      <c r="B75" s="54" t="str">
        <f>TRIM(MID(SUBSTITUTE(A75," ",REPT(" ",LEN(A75))), (4-1)*LEN(A75)+1, LEN(A75)))</f>
        <v>4208</v>
      </c>
      <c r="C75">
        <f>IFERROR(VLOOKUP(A75,Processor_DB_Intel!$A$1:'Processor_DB_Intel'!$D$494,4,FALSE),"")</f>
        <v>8</v>
      </c>
      <c r="D75" t="str">
        <f>IFERROR(LEFT(VLOOKUP(A75,Processor_DB_Intel!$A$1:'Processor_DB_Intel'!$F$494,6,FALSE),3),"")</f>
        <v>2.1</v>
      </c>
      <c r="E75" s="73" t="str">
        <f>IF(O75 = 0,"",O75)</f>
        <v>428.00</v>
      </c>
      <c r="F75" s="56">
        <f>IFERROR(E75/C75,"")</f>
        <v>53.5</v>
      </c>
      <c r="G75">
        <f>IFERROR(C75*D75,"")</f>
        <v>16.8</v>
      </c>
      <c r="H75">
        <f>IFERROR(G75*2,"")</f>
        <v>33.6</v>
      </c>
      <c r="I75" s="56">
        <f>IFERROR(E75/G75,"")</f>
        <v>25.476190476190474</v>
      </c>
      <c r="J75" s="57">
        <f>IFERROR(1-(I75/$AC$3),"")</f>
        <v>0.94479069072738875</v>
      </c>
      <c r="K75" t="s">
        <v>366</v>
      </c>
      <c r="L75">
        <f>MIN(SEARCH({0,1,2,3,4,5,6,7,8,9},K75&amp;"0123456789"))</f>
        <v>54</v>
      </c>
      <c r="M75" t="str">
        <f>LEFT(RIGHT(K75,LEN(K75)-L75+1),6)</f>
        <v>193390</v>
      </c>
      <c r="N75" t="s">
        <v>409</v>
      </c>
      <c r="O75" s="70" t="str">
        <f>IFERROR(RIGHT(SUBSTITUTE(N75,"$",CHAR(9),2),LEN(N75)-FIND(CHAR(9),SUBSTITUTE(N75,"$",CHAR(9),2),1) ),N75)</f>
        <v>428.00</v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>
        <f t="shared" si="1"/>
        <v>25.476190476190474</v>
      </c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</row>
    <row r="76" spans="1:123">
      <c r="A76" t="s">
        <v>301</v>
      </c>
      <c r="B76" s="54" t="str">
        <f>TRIM(MID(SUBSTITUTE(A76," ",REPT(" ",LEN(A76))), (4-1)*LEN(A76)+1, LEN(A76)))</f>
        <v>3206R</v>
      </c>
      <c r="C76">
        <f>IFERROR(VLOOKUP(A76,Processor_DB_Intel!$A$1:'Processor_DB_Intel'!$D$494,4,FALSE),"")</f>
        <v>8</v>
      </c>
      <c r="D76" t="str">
        <f>IFERROR(LEFT(VLOOKUP(A76,Processor_DB_Intel!$A$1:'Processor_DB_Intel'!$F$494,6,FALSE),3),"")</f>
        <v>1.9</v>
      </c>
      <c r="E76" s="73" t="str">
        <f>IF(O76 = 0,"",O76)</f>
        <v>317.00</v>
      </c>
      <c r="F76" s="56">
        <f>IFERROR(E76/C76,"")</f>
        <v>39.625</v>
      </c>
      <c r="G76">
        <f>IFERROR(C76*D76,"")</f>
        <v>15.2</v>
      </c>
      <c r="H76">
        <f>IFERROR(G76*2,"")</f>
        <v>30.4</v>
      </c>
      <c r="I76" s="56">
        <f>IFERROR(E76/G76,"")</f>
        <v>20.855263157894736</v>
      </c>
      <c r="J76" s="57">
        <f>IFERROR(1-(I76/$AC$3),"")</f>
        <v>0.95480467636156263</v>
      </c>
      <c r="K76" t="s">
        <v>367</v>
      </c>
      <c r="L76">
        <f>MIN(SEARCH({0,1,2,3,4,5,6,7,8,9},K76&amp;"0123456789"))</f>
        <v>54</v>
      </c>
      <c r="M76" t="str">
        <f>LEFT(RIGHT(K76,LEN(K76)-L76+1),6)</f>
        <v>197101</v>
      </c>
      <c r="N76" t="s">
        <v>410</v>
      </c>
      <c r="O76" s="70" t="str">
        <f>IFERROR(RIGHT(SUBSTITUTE(N76,"$",CHAR(9),2),LEN(N76)-FIND(CHAR(9),SUBSTITUTE(N76,"$",CHAR(9),2),1) ),N76)</f>
        <v>317.00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>
        <f t="shared" si="1"/>
        <v>20.855263157894736</v>
      </c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</row>
    <row r="77" spans="1:123">
      <c r="A77" t="s">
        <v>302</v>
      </c>
      <c r="B77" s="54" t="str">
        <f>TRIM(MID(SUBSTITUTE(A77," ",REPT(" ",LEN(A77))), (4-1)*LEN(A77)+1, LEN(A77)))</f>
        <v>3204</v>
      </c>
      <c r="C77">
        <f>IFERROR(VLOOKUP(A77,Processor_DB_Intel!$A$1:'Processor_DB_Intel'!$D$494,4,FALSE),"")</f>
        <v>6</v>
      </c>
      <c r="D77" t="str">
        <f>IFERROR(LEFT(VLOOKUP(A77,Processor_DB_Intel!$A$1:'Processor_DB_Intel'!$F$494,6,FALSE),3),"")</f>
        <v>1.9</v>
      </c>
      <c r="E77" s="73" t="str">
        <f>IF(O77 = 0,"",O77)</f>
        <v>224.00</v>
      </c>
      <c r="F77" s="56">
        <f>IFERROR(E77/C77,"")</f>
        <v>37.333333333333336</v>
      </c>
      <c r="G77">
        <f>IFERROR(C77*D77,"")</f>
        <v>11.399999999999999</v>
      </c>
      <c r="H77">
        <f>IFERROR(G77*2,"")</f>
        <v>22.799999999999997</v>
      </c>
      <c r="I77" s="56">
        <f>IFERROR(E77/G77,"")</f>
        <v>19.649122807017545</v>
      </c>
      <c r="J77" s="57">
        <f>IFERROR(1-(I77/$AC$3),"")</f>
        <v>0.95741849634065201</v>
      </c>
      <c r="K77" t="s">
        <v>368</v>
      </c>
      <c r="L77">
        <f>MIN(SEARCH({0,1,2,3,4,5,6,7,8,9},K77&amp;"0123456789"))</f>
        <v>54</v>
      </c>
      <c r="M77" t="str">
        <f>LEFT(RIGHT(K77,LEN(K77)-L77+1),6)</f>
        <v>193381</v>
      </c>
      <c r="N77" t="s">
        <v>411</v>
      </c>
      <c r="O77" s="70" t="str">
        <f>IFERROR(RIGHT(SUBSTITUTE(N77,"$",CHAR(9),2),LEN(N77)-FIND(CHAR(9),SUBSTITUTE(N77,"$",CHAR(9),2),1) ),N77)</f>
        <v>224.00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>
        <f t="shared" si="1"/>
        <v>19.649122807017545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</row>
    <row r="78" spans="1:123" hidden="1">
      <c r="B78" s="54" t="str">
        <f>TRIM(MID(SUBSTITUTE(A78," ",REPT(" ",LEN(A78))), (4-1)*LEN(A78)+1, LEN(A78)))</f>
        <v/>
      </c>
      <c r="C78" t="str">
        <f>IFERROR(VLOOKUP(A78,Processor_DB_Intel!$A$1:'Processor_DB_Intel'!$D$494,4,FALSE),"")</f>
        <v/>
      </c>
      <c r="D78" t="str">
        <f>IFERROR(LEFT(VLOOKUP(A78,Processor_DB_Intel!$A$1:'Processor_DB_Intel'!$F$494,6,FALSE),3),"")</f>
        <v/>
      </c>
      <c r="E78" s="73" t="str">
        <f>IF(O78 = 0,"",O78)</f>
        <v>511.00</v>
      </c>
      <c r="F78" s="56" t="str">
        <f>IFERROR(E78/C78,"")</f>
        <v/>
      </c>
      <c r="G78" t="str">
        <f t="shared" ref="G72:G135" si="2">IFERROR(C78*D78,"")</f>
        <v/>
      </c>
      <c r="H78" t="str">
        <f t="shared" ref="H71:H134" si="3">IFERROR(G78*2,"")</f>
        <v/>
      </c>
      <c r="I78" s="56" t="str">
        <f>IFERROR(E78/G78,"")</f>
        <v/>
      </c>
      <c r="J78" s="57" t="str">
        <f>IFERROR(1-(I78/$AC$3),"")</f>
        <v/>
      </c>
      <c r="L78">
        <f>MIN(SEARCH({0,1,2,3,4,5,6,7,8,9},K78&amp;"0123456789"))</f>
        <v>1</v>
      </c>
      <c r="M78" t="str">
        <f>LEFT(RIGHT(K78,LEN(K78)-L78+1),6)</f>
        <v/>
      </c>
      <c r="N78" t="s">
        <v>408</v>
      </c>
      <c r="O78" s="70" t="str">
        <f>IFERROR(RIGHT(SUBSTITUTE(N78,"$",CHAR(9),2),LEN(N78)-FIND(CHAR(9),SUBSTITUTE(N78,"$",CHAR(9),2),1) ),N78)</f>
        <v>511.00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 t="str">
        <f t="shared" si="1"/>
        <v/>
      </c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</row>
    <row r="79" spans="1:123" hidden="1">
      <c r="B79" s="54" t="str">
        <f>TRIM(MID(SUBSTITUTE(A79," ",REPT(" ",LEN(A79))), (4-1)*LEN(A79)+1, LEN(A79)))</f>
        <v/>
      </c>
      <c r="C79" t="str">
        <f>IFERROR(VLOOKUP(A79,Processor_DB_Intel!$A$1:'Processor_DB_Intel'!$D$494,4,FALSE),"")</f>
        <v/>
      </c>
      <c r="D79" t="str">
        <f>IFERROR(LEFT(VLOOKUP(A79,Processor_DB_Intel!$A$1:'Processor_DB_Intel'!$F$494,6,FALSE),3),"")</f>
        <v/>
      </c>
      <c r="E79" s="73" t="str">
        <f>IF(O79 = 0,"",O79)</f>
        <v>511.00</v>
      </c>
      <c r="F79" s="56" t="str">
        <f>IFERROR(E79/C79,"")</f>
        <v/>
      </c>
      <c r="G79" t="str">
        <f t="shared" si="2"/>
        <v/>
      </c>
      <c r="H79" t="str">
        <f t="shared" si="3"/>
        <v/>
      </c>
      <c r="I79" s="56" t="str">
        <f>IFERROR(E79/G79,"")</f>
        <v/>
      </c>
      <c r="J79" s="57" t="str">
        <f>IFERROR(1-(I79/$AC$3),"")</f>
        <v/>
      </c>
      <c r="L79">
        <f>MIN(SEARCH({0,1,2,3,4,5,6,7,8,9},K79&amp;"0123456789"))</f>
        <v>1</v>
      </c>
      <c r="M79" t="str">
        <f>LEFT(RIGHT(K79,LEN(K79)-L79+1),6)</f>
        <v/>
      </c>
      <c r="N79" t="s">
        <v>408</v>
      </c>
      <c r="O79" s="70" t="str">
        <f>IFERROR(RIGHT(SUBSTITUTE(N79,"$",CHAR(9),2),LEN(N79)-FIND(CHAR(9),SUBSTITUTE(N79,"$",CHAR(9),2),1) ),N79)</f>
        <v>511.00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 t="str">
        <f t="shared" si="1"/>
        <v/>
      </c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</row>
    <row r="80" spans="1:123" hidden="1">
      <c r="B80" s="54" t="str">
        <f>TRIM(MID(SUBSTITUTE(A80," ",REPT(" ",LEN(A80))), (4-1)*LEN(A80)+1, LEN(A80)))</f>
        <v/>
      </c>
      <c r="C80" t="str">
        <f>IFERROR(VLOOKUP(A80,Processor_DB_Intel!$A$1:'Processor_DB_Intel'!$D$494,4,FALSE),"")</f>
        <v/>
      </c>
      <c r="D80" t="str">
        <f>IFERROR(LEFT(VLOOKUP(A80,Processor_DB_Intel!$A$1:'Processor_DB_Intel'!$F$494,6,FALSE),3),"")</f>
        <v/>
      </c>
      <c r="E80" s="73">
        <f>IF(O80 = 0,"",O80)</f>
        <v>501</v>
      </c>
      <c r="F80" s="56" t="str">
        <f>IFERROR(E80/C80,"")</f>
        <v/>
      </c>
      <c r="G80" t="str">
        <f t="shared" si="2"/>
        <v/>
      </c>
      <c r="H80" t="str">
        <f t="shared" si="3"/>
        <v/>
      </c>
      <c r="I80" s="56" t="str">
        <f>IFERROR(E80/G80,"")</f>
        <v/>
      </c>
      <c r="J80" s="57" t="str">
        <f>IFERROR(1-(I80/$AC$3),"")</f>
        <v/>
      </c>
      <c r="L80">
        <f>MIN(SEARCH({0,1,2,3,4,5,6,7,8,9},K80&amp;"0123456789"))</f>
        <v>1</v>
      </c>
      <c r="M80" t="str">
        <f>LEFT(RIGHT(K80,LEN(K80)-L80+1),6)</f>
        <v/>
      </c>
      <c r="N80" s="69">
        <v>501</v>
      </c>
      <c r="O80" s="70">
        <f>IFERROR(RIGHT(SUBSTITUTE(N80,"$",CHAR(9),2),LEN(N80)-FIND(CHAR(9),SUBSTITUTE(N80,"$",CHAR(9),2),1) ),N80)</f>
        <v>501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 t="str">
        <f t="shared" si="1"/>
        <v/>
      </c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</row>
    <row r="81" spans="2:123" hidden="1">
      <c r="B81" s="54" t="str">
        <f>TRIM(MID(SUBSTITUTE(A81," ",REPT(" ",LEN(A81))), (4-1)*LEN(A81)+1, LEN(A81)))</f>
        <v/>
      </c>
      <c r="C81" t="str">
        <f>IFERROR(VLOOKUP(A81,Processor_DB_Intel!$A$1:'Processor_DB_Intel'!$D$494,4,FALSE),"")</f>
        <v/>
      </c>
      <c r="D81" t="str">
        <f>IFERROR(LEFT(VLOOKUP(A81,Processor_DB_Intel!$A$1:'Processor_DB_Intel'!$F$494,6,FALSE),3),"")</f>
        <v/>
      </c>
      <c r="E81" s="73" t="str">
        <f>IF(O81 = 0,"",O81)</f>
        <v>428.00</v>
      </c>
      <c r="F81" s="56" t="str">
        <f>IFERROR(E81/C81,"")</f>
        <v/>
      </c>
      <c r="G81" t="str">
        <f t="shared" si="2"/>
        <v/>
      </c>
      <c r="H81" t="str">
        <f t="shared" si="3"/>
        <v/>
      </c>
      <c r="I81" s="56" t="str">
        <f>IFERROR(E81/G81,"")</f>
        <v/>
      </c>
      <c r="J81" s="57" t="str">
        <f>IFERROR(1-(I81/$AC$3),"")</f>
        <v/>
      </c>
      <c r="L81">
        <f>MIN(SEARCH({0,1,2,3,4,5,6,7,8,9},K81&amp;"0123456789"))</f>
        <v>1</v>
      </c>
      <c r="M81" t="str">
        <f>LEFT(RIGHT(K81,LEN(K81)-L81+1),6)</f>
        <v/>
      </c>
      <c r="N81" t="s">
        <v>409</v>
      </c>
      <c r="O81" s="70" t="str">
        <f>IFERROR(RIGHT(SUBSTITUTE(N81,"$",CHAR(9),2),LEN(N81)-FIND(CHAR(9),SUBSTITUTE(N81,"$",CHAR(9),2),1) ),N81)</f>
        <v>428.00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 t="str">
        <f t="shared" si="1"/>
        <v/>
      </c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</row>
    <row r="82" spans="2:123" hidden="1">
      <c r="B82" s="54" t="str">
        <f>TRIM(MID(SUBSTITUTE(A82," ",REPT(" ",LEN(A82))), (4-1)*LEN(A82)+1, LEN(A82)))</f>
        <v/>
      </c>
      <c r="C82" t="str">
        <f>IFERROR(VLOOKUP(A82,Processor_DB_Intel!$A$1:'Processor_DB_Intel'!$D$494,4,FALSE),"")</f>
        <v/>
      </c>
      <c r="D82" t="str">
        <f>IFERROR(LEFT(VLOOKUP(A82,Processor_DB_Intel!$A$1:'Processor_DB_Intel'!$F$494,6,FALSE),3),"")</f>
        <v/>
      </c>
      <c r="E82" s="73" t="str">
        <f>IF(O82 = 0,"",O82)</f>
        <v>317.00</v>
      </c>
      <c r="F82" s="56" t="str">
        <f>IFERROR(E82/C82,"")</f>
        <v/>
      </c>
      <c r="G82" t="str">
        <f t="shared" si="2"/>
        <v/>
      </c>
      <c r="H82" t="str">
        <f t="shared" si="3"/>
        <v/>
      </c>
      <c r="I82" s="56" t="str">
        <f>IFERROR(E82/G82,"")</f>
        <v/>
      </c>
      <c r="J82" s="57" t="str">
        <f>IFERROR(1-(I82/$AC$3),"")</f>
        <v/>
      </c>
      <c r="L82">
        <f>MIN(SEARCH({0,1,2,3,4,5,6,7,8,9},K82&amp;"0123456789"))</f>
        <v>1</v>
      </c>
      <c r="M82" t="str">
        <f>LEFT(RIGHT(K82,LEN(K82)-L82+1),6)</f>
        <v/>
      </c>
      <c r="N82" t="s">
        <v>410</v>
      </c>
      <c r="O82" s="70" t="str">
        <f>IFERROR(RIGHT(SUBSTITUTE(N82,"$",CHAR(9),2),LEN(N82)-FIND(CHAR(9),SUBSTITUTE(N82,"$",CHAR(9),2),1) ),N82)</f>
        <v>317.00</v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 t="str">
        <f t="shared" si="1"/>
        <v/>
      </c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</row>
    <row r="83" spans="2:123" hidden="1">
      <c r="B83" s="54" t="str">
        <f>TRIM(MID(SUBSTITUTE(A83," ",REPT(" ",LEN(A83))), (4-1)*LEN(A83)+1, LEN(A83)))</f>
        <v/>
      </c>
      <c r="C83" t="str">
        <f>IFERROR(VLOOKUP(A83,Processor_DB_Intel!$A$1:'Processor_DB_Intel'!$D$494,4,FALSE),"")</f>
        <v/>
      </c>
      <c r="D83" t="str">
        <f>IFERROR(LEFT(VLOOKUP(A83,Processor_DB_Intel!$A$1:'Processor_DB_Intel'!$F$494,6,FALSE),3),"")</f>
        <v/>
      </c>
      <c r="E83" s="73" t="str">
        <f>IF(O83 = 0,"",O83)</f>
        <v>224.00</v>
      </c>
      <c r="F83" s="56" t="str">
        <f>IFERROR(E83/C83,"")</f>
        <v/>
      </c>
      <c r="G83" t="str">
        <f t="shared" si="2"/>
        <v/>
      </c>
      <c r="H83" t="str">
        <f t="shared" si="3"/>
        <v/>
      </c>
      <c r="I83" s="56" t="str">
        <f>IFERROR(E83/G83,"")</f>
        <v/>
      </c>
      <c r="J83" s="57" t="str">
        <f>IFERROR(1-(I83/$AC$3),"")</f>
        <v/>
      </c>
      <c r="L83">
        <f>MIN(SEARCH({0,1,2,3,4,5,6,7,8,9},K83&amp;"0123456789"))</f>
        <v>1</v>
      </c>
      <c r="M83" t="str">
        <f>LEFT(RIGHT(K83,LEN(K83)-L83+1),6)</f>
        <v/>
      </c>
      <c r="N83" t="s">
        <v>411</v>
      </c>
      <c r="O83" s="70" t="str">
        <f>IFERROR(RIGHT(SUBSTITUTE(N83,"$",CHAR(9),2),LEN(N83)-FIND(CHAR(9),SUBSTITUTE(N83,"$",CHAR(9),2),1) ),N83)</f>
        <v>224.00</v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 t="str">
        <f t="shared" si="1"/>
        <v/>
      </c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</row>
    <row r="84" spans="2:123" hidden="1">
      <c r="B84" s="54" t="str">
        <f>TRIM(MID(SUBSTITUTE(A84," ",REPT(" ",LEN(A84))), (4-1)*LEN(A84)+1, LEN(A84)))</f>
        <v/>
      </c>
      <c r="C84" t="str">
        <f>IFERROR(VLOOKUP(A84,Processor_DB_Intel!$A$1:'Processor_DB_Intel'!$D$494,4,FALSE),"")</f>
        <v/>
      </c>
      <c r="D84" t="str">
        <f>IFERROR(LEFT(VLOOKUP(A84,Processor_DB_Intel!$A$1:'Processor_DB_Intel'!$F$494,6,FALSE),3),"")</f>
        <v/>
      </c>
      <c r="E84" s="73" t="str">
        <f>IF(O84 = 0,"",O84)</f>
        <v/>
      </c>
      <c r="F84" s="56" t="str">
        <f>IFERROR(E84/C84,"")</f>
        <v/>
      </c>
      <c r="G84" t="str">
        <f t="shared" si="2"/>
        <v/>
      </c>
      <c r="H84" t="str">
        <f t="shared" si="3"/>
        <v/>
      </c>
      <c r="I84" s="56" t="str">
        <f>IFERROR(E84/G84,"")</f>
        <v/>
      </c>
      <c r="J84" s="57" t="str">
        <f>IFERROR(1-(I84/$AC$3),"")</f>
        <v/>
      </c>
      <c r="L84">
        <f>MIN(SEARCH({0,1,2,3,4,5,6,7,8,9},K84&amp;"0123456789"))</f>
        <v>1</v>
      </c>
      <c r="M84" t="str">
        <f>LEFT(RIGHT(K84,LEN(K84)-L84+1),6)</f>
        <v/>
      </c>
      <c r="O84" s="70">
        <f>IFERROR(RIGHT(SUBSTITUTE(N84,"$",CHAR(9),2),LEN(N84)-FIND(CHAR(9),SUBSTITUTE(N84,"$",CHAR(9),2),1) ),N84)</f>
        <v>0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 t="str">
        <f t="shared" si="1"/>
        <v/>
      </c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</row>
    <row r="85" spans="2:123" hidden="1">
      <c r="B85" s="54" t="str">
        <f>TRIM(MID(SUBSTITUTE(A85," ",REPT(" ",LEN(A85))), (4-1)*LEN(A85)+1, LEN(A85)))</f>
        <v/>
      </c>
      <c r="C85" t="str">
        <f>IFERROR(VLOOKUP(A85,Processor_DB_Intel!$A$1:'Processor_DB_Intel'!$D$494,4,FALSE),"")</f>
        <v/>
      </c>
      <c r="D85" t="str">
        <f>IFERROR(LEFT(VLOOKUP(A85,Processor_DB_Intel!$A$1:'Processor_DB_Intel'!$F$494,6,FALSE),3),"")</f>
        <v/>
      </c>
      <c r="E85" s="73" t="str">
        <f>IF(O85 = 0,"",O85)</f>
        <v/>
      </c>
      <c r="F85" s="56" t="str">
        <f>IFERROR(E85/C85,"")</f>
        <v/>
      </c>
      <c r="G85" t="str">
        <f t="shared" si="2"/>
        <v/>
      </c>
      <c r="H85" t="str">
        <f t="shared" si="3"/>
        <v/>
      </c>
      <c r="I85" s="56" t="str">
        <f>IFERROR(E85/G85,"")</f>
        <v/>
      </c>
      <c r="J85" s="57" t="str">
        <f>IFERROR(1-(I85/$AC$3),"")</f>
        <v/>
      </c>
      <c r="L85">
        <f>MIN(SEARCH({0,1,2,3,4,5,6,7,8,9},K85&amp;"0123456789"))</f>
        <v>1</v>
      </c>
      <c r="M85" t="str">
        <f>LEFT(RIGHT(K85,LEN(K85)-L85+1),6)</f>
        <v/>
      </c>
      <c r="O85" s="70">
        <f>IFERROR(RIGHT(SUBSTITUTE(N85,"$",CHAR(9),2),LEN(N85)-FIND(CHAR(9),SUBSTITUTE(N85,"$",CHAR(9),2),1) ),N85)</f>
        <v>0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 t="str">
        <f t="shared" si="1"/>
        <v/>
      </c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</row>
    <row r="86" spans="2:123" hidden="1">
      <c r="B86" s="54" t="str">
        <f>TRIM(MID(SUBSTITUTE(A86," ",REPT(" ",LEN(A86))), (4-1)*LEN(A86)+1, LEN(A86)))</f>
        <v/>
      </c>
      <c r="C86" t="str">
        <f>IFERROR(VLOOKUP(A86,Processor_DB_Intel!$A$1:'Processor_DB_Intel'!$D$494,4,FALSE),"")</f>
        <v/>
      </c>
      <c r="D86" t="str">
        <f>IFERROR(LEFT(VLOOKUP(A86,Processor_DB_Intel!$A$1:'Processor_DB_Intel'!$F$494,6,FALSE),3),"")</f>
        <v/>
      </c>
      <c r="E86" s="73" t="str">
        <f>IF(O86 = 0,"",O86)</f>
        <v/>
      </c>
      <c r="F86" s="56" t="str">
        <f>IFERROR(E86/C86,"")</f>
        <v/>
      </c>
      <c r="G86" t="str">
        <f t="shared" si="2"/>
        <v/>
      </c>
      <c r="H86" t="str">
        <f t="shared" si="3"/>
        <v/>
      </c>
      <c r="I86" s="56" t="str">
        <f>IFERROR(E86/G86,"")</f>
        <v/>
      </c>
      <c r="J86" s="57" t="str">
        <f>IFERROR(1-(I86/$AC$3),"")</f>
        <v/>
      </c>
      <c r="L86">
        <f>MIN(SEARCH({0,1,2,3,4,5,6,7,8,9},K86&amp;"0123456789"))</f>
        <v>1</v>
      </c>
      <c r="M86" t="str">
        <f>LEFT(RIGHT(K86,LEN(K86)-L86+1),6)</f>
        <v/>
      </c>
      <c r="O86" s="70">
        <f>IFERROR(RIGHT(SUBSTITUTE(N86,"$",CHAR(9),2),LEN(N86)-FIND(CHAR(9),SUBSTITUTE(N86,"$",CHAR(9),2),1) ),N86)</f>
        <v>0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 t="str">
        <f t="shared" si="1"/>
        <v/>
      </c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</row>
    <row r="87" spans="2:123" hidden="1">
      <c r="B87" s="54" t="str">
        <f>TRIM(MID(SUBSTITUTE(A87," ",REPT(" ",LEN(A87))), (4-1)*LEN(A87)+1, LEN(A87)))</f>
        <v/>
      </c>
      <c r="C87" t="str">
        <f>IFERROR(VLOOKUP(A87,Processor_DB_Intel!$A$1:'Processor_DB_Intel'!$D$494,4,FALSE),"")</f>
        <v/>
      </c>
      <c r="D87" t="str">
        <f>IFERROR(LEFT(VLOOKUP(A87,Processor_DB_Intel!$A$1:'Processor_DB_Intel'!$F$494,6,FALSE),3),"")</f>
        <v/>
      </c>
      <c r="E87" s="73" t="str">
        <f>IF(O87 = 0,"",O87)</f>
        <v/>
      </c>
      <c r="F87" s="56" t="str">
        <f>IFERROR(E87/C87,"")</f>
        <v/>
      </c>
      <c r="G87" t="str">
        <f t="shared" si="2"/>
        <v/>
      </c>
      <c r="H87" t="str">
        <f t="shared" si="3"/>
        <v/>
      </c>
      <c r="I87" s="56" t="str">
        <f>IFERROR(E87/G87,"")</f>
        <v/>
      </c>
      <c r="J87" s="57" t="str">
        <f>IFERROR(1-(I87/$AC$3),"")</f>
        <v/>
      </c>
      <c r="L87">
        <f>MIN(SEARCH({0,1,2,3,4,5,6,7,8,9},K87&amp;"0123456789"))</f>
        <v>1</v>
      </c>
      <c r="M87" t="str">
        <f>LEFT(RIGHT(K87,LEN(K87)-L87+1),6)</f>
        <v/>
      </c>
      <c r="O87" s="70">
        <f>IFERROR(RIGHT(SUBSTITUTE(N87,"$",CHAR(9),2),LEN(N87)-FIND(CHAR(9),SUBSTITUTE(N87,"$",CHAR(9),2),1) ),N87)</f>
        <v>0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 t="str">
        <f t="shared" si="1"/>
        <v/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</row>
    <row r="88" spans="2:123" hidden="1">
      <c r="B88" s="54" t="str">
        <f>TRIM(MID(SUBSTITUTE(A88," ",REPT(" ",LEN(A88))), (4-1)*LEN(A88)+1, LEN(A88)))</f>
        <v/>
      </c>
      <c r="C88" t="str">
        <f>IFERROR(VLOOKUP(A88,Processor_DB_Intel!$A$1:'Processor_DB_Intel'!$D$494,4,FALSE),"")</f>
        <v/>
      </c>
      <c r="D88" t="str">
        <f>IFERROR(LEFT(VLOOKUP(A88,Processor_DB_Intel!$A$1:'Processor_DB_Intel'!$F$494,6,FALSE),3),"")</f>
        <v/>
      </c>
      <c r="E88" s="73" t="str">
        <f>IF(O88 = 0,"",O88)</f>
        <v/>
      </c>
      <c r="F88" s="56" t="str">
        <f>IFERROR(E88/C88,"")</f>
        <v/>
      </c>
      <c r="G88" t="str">
        <f t="shared" si="2"/>
        <v/>
      </c>
      <c r="H88" t="str">
        <f t="shared" si="3"/>
        <v/>
      </c>
      <c r="I88" s="56" t="str">
        <f>IFERROR(E88/G88,"")</f>
        <v/>
      </c>
      <c r="J88" s="57" t="str">
        <f>IFERROR(1-(I88/$AC$3),"")</f>
        <v/>
      </c>
      <c r="L88">
        <f>MIN(SEARCH({0,1,2,3,4,5,6,7,8,9},K88&amp;"0123456789"))</f>
        <v>1</v>
      </c>
      <c r="M88" t="str">
        <f>LEFT(RIGHT(K88,LEN(K88)-L88+1),6)</f>
        <v/>
      </c>
      <c r="O88" s="70">
        <f>IFERROR(RIGHT(SUBSTITUTE(N88,"$",CHAR(9),2),LEN(N88)-FIND(CHAR(9),SUBSTITUTE(N88,"$",CHAR(9),2),1) ),N88)</f>
        <v>0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 t="str">
        <f t="shared" si="1"/>
        <v/>
      </c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</row>
    <row r="89" spans="2:123" hidden="1">
      <c r="B89" s="54" t="str">
        <f>TRIM(MID(SUBSTITUTE(A89," ",REPT(" ",LEN(A89))), (4-1)*LEN(A89)+1, LEN(A89)))</f>
        <v/>
      </c>
      <c r="C89" t="str">
        <f>IFERROR(VLOOKUP(A89,Processor_DB_Intel!$A$1:'Processor_DB_Intel'!$D$494,4,FALSE),"")</f>
        <v/>
      </c>
      <c r="D89" t="str">
        <f>IFERROR(LEFT(VLOOKUP(A89,Processor_DB_Intel!$A$1:'Processor_DB_Intel'!$F$494,6,FALSE),3),"")</f>
        <v/>
      </c>
      <c r="E89" s="73" t="str">
        <f>IF(O89 = 0,"",O89)</f>
        <v/>
      </c>
      <c r="F89" s="56" t="str">
        <f>IFERROR(E89/C89,"")</f>
        <v/>
      </c>
      <c r="G89" t="str">
        <f t="shared" si="2"/>
        <v/>
      </c>
      <c r="H89" t="str">
        <f t="shared" si="3"/>
        <v/>
      </c>
      <c r="I89" s="56" t="str">
        <f>IFERROR(E89/G89,"")</f>
        <v/>
      </c>
      <c r="J89" s="57" t="str">
        <f>IFERROR(1-(I89/$AC$3),"")</f>
        <v/>
      </c>
      <c r="L89">
        <f>MIN(SEARCH({0,1,2,3,4,5,6,7,8,9},K89&amp;"0123456789"))</f>
        <v>1</v>
      </c>
      <c r="M89" t="str">
        <f>LEFT(RIGHT(K89,LEN(K89)-L89+1),6)</f>
        <v/>
      </c>
      <c r="O89" s="70">
        <f>IFERROR(RIGHT(SUBSTITUTE(N89,"$",CHAR(9),2),LEN(N89)-FIND(CHAR(9),SUBSTITUTE(N89,"$",CHAR(9),2),1) ),N89)</f>
        <v>0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 t="str">
        <f t="shared" si="1"/>
        <v/>
      </c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</row>
    <row r="90" spans="2:123" hidden="1">
      <c r="B90" s="54" t="str">
        <f>TRIM(MID(SUBSTITUTE(A90," ",REPT(" ",LEN(A90))), (4-1)*LEN(A90)+1, LEN(A90)))</f>
        <v/>
      </c>
      <c r="C90" t="str">
        <f>IFERROR(VLOOKUP(A90,Processor_DB_Intel!$A$1:'Processor_DB_Intel'!$D$494,4,FALSE),"")</f>
        <v/>
      </c>
      <c r="D90" t="str">
        <f>IFERROR(LEFT(VLOOKUP(A90,Processor_DB_Intel!$A$1:'Processor_DB_Intel'!$F$494,6,FALSE),3),"")</f>
        <v/>
      </c>
      <c r="E90" s="73" t="str">
        <f>IF(O90 = 0,"",O90)</f>
        <v/>
      </c>
      <c r="F90" s="56" t="str">
        <f>IFERROR(E90/C90,"")</f>
        <v/>
      </c>
      <c r="G90" t="str">
        <f t="shared" si="2"/>
        <v/>
      </c>
      <c r="H90" t="str">
        <f t="shared" si="3"/>
        <v/>
      </c>
      <c r="I90" s="56" t="str">
        <f>IFERROR(E90/G90,"")</f>
        <v/>
      </c>
      <c r="J90" s="57" t="str">
        <f>IFERROR(1-(I90/$AC$3),"")</f>
        <v/>
      </c>
      <c r="L90">
        <f>MIN(SEARCH({0,1,2,3,4,5,6,7,8,9},K90&amp;"0123456789"))</f>
        <v>1</v>
      </c>
      <c r="M90" t="str">
        <f>LEFT(RIGHT(K90,LEN(K90)-L90+1),6)</f>
        <v/>
      </c>
      <c r="O90" s="70">
        <f>IFERROR(RIGHT(SUBSTITUTE(N90,"$",CHAR(9),2),LEN(N90)-FIND(CHAR(9),SUBSTITUTE(N90,"$",CHAR(9),2),1) ),N90)</f>
        <v>0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 t="str">
        <f t="shared" si="1"/>
        <v/>
      </c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</row>
    <row r="91" spans="2:123" hidden="1">
      <c r="B91" s="54" t="str">
        <f>TRIM(MID(SUBSTITUTE(A91," ",REPT(" ",LEN(A91))), (4-1)*LEN(A91)+1, LEN(A91)))</f>
        <v/>
      </c>
      <c r="C91" t="str">
        <f>IFERROR(VLOOKUP(A91,Processor_DB_Intel!$A$1:'Processor_DB_Intel'!$D$494,4,FALSE),"")</f>
        <v/>
      </c>
      <c r="D91" t="str">
        <f>IFERROR(LEFT(VLOOKUP(A91,Processor_DB_Intel!$A$1:'Processor_DB_Intel'!$F$494,6,FALSE),3),"")</f>
        <v/>
      </c>
      <c r="E91" s="73" t="str">
        <f>IF(O91 = 0,"",O91)</f>
        <v/>
      </c>
      <c r="F91" s="56" t="str">
        <f>IFERROR(E91/C91,"")</f>
        <v/>
      </c>
      <c r="G91" t="str">
        <f t="shared" si="2"/>
        <v/>
      </c>
      <c r="H91" t="str">
        <f t="shared" si="3"/>
        <v/>
      </c>
      <c r="I91" s="56" t="str">
        <f>IFERROR(E91/G91,"")</f>
        <v/>
      </c>
      <c r="J91" s="57" t="str">
        <f>IFERROR(1-(I91/$AC$3),"")</f>
        <v/>
      </c>
      <c r="L91">
        <f>MIN(SEARCH({0,1,2,3,4,5,6,7,8,9},K91&amp;"0123456789"))</f>
        <v>1</v>
      </c>
      <c r="M91" t="str">
        <f>LEFT(RIGHT(K91,LEN(K91)-L91+1),6)</f>
        <v/>
      </c>
      <c r="O91" s="70">
        <f>IFERROR(RIGHT(SUBSTITUTE(N91,"$",CHAR(9),2),LEN(N91)-FIND(CHAR(9),SUBSTITUTE(N91,"$",CHAR(9),2),1) ),N91)</f>
        <v>0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 t="str">
        <f t="shared" si="1"/>
        <v/>
      </c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</row>
    <row r="92" spans="2:123" hidden="1">
      <c r="B92" s="54" t="str">
        <f>TRIM(MID(SUBSTITUTE(A92," ",REPT(" ",LEN(A92))), (4-1)*LEN(A92)+1, LEN(A92)))</f>
        <v/>
      </c>
      <c r="C92" t="str">
        <f>IFERROR(VLOOKUP(A92,Processor_DB_Intel!$A$1:'Processor_DB_Intel'!$D$494,4,FALSE),"")</f>
        <v/>
      </c>
      <c r="D92" t="str">
        <f>IFERROR(LEFT(VLOOKUP(A92,Processor_DB_Intel!$A$1:'Processor_DB_Intel'!$F$494,6,FALSE),3),"")</f>
        <v/>
      </c>
      <c r="E92" s="73" t="str">
        <f>IF(O92 = 0,"",O92)</f>
        <v/>
      </c>
      <c r="F92" s="56" t="str">
        <f>IFERROR(E92/C92,"")</f>
        <v/>
      </c>
      <c r="G92" t="str">
        <f t="shared" si="2"/>
        <v/>
      </c>
      <c r="H92" t="str">
        <f t="shared" si="3"/>
        <v/>
      </c>
      <c r="I92" s="56" t="str">
        <f>IFERROR(E92/G92,"")</f>
        <v/>
      </c>
      <c r="J92" s="57" t="str">
        <f>IFERROR(1-(I92/$AC$3),"")</f>
        <v/>
      </c>
      <c r="L92">
        <f>MIN(SEARCH({0,1,2,3,4,5,6,7,8,9},K92&amp;"0123456789"))</f>
        <v>1</v>
      </c>
      <c r="M92" t="str">
        <f>LEFT(RIGHT(K92,LEN(K92)-L92+1),6)</f>
        <v/>
      </c>
      <c r="O92" s="70">
        <f>IFERROR(RIGHT(SUBSTITUTE(N92,"$",CHAR(9),2),LEN(N92)-FIND(CHAR(9),SUBSTITUTE(N92,"$",CHAR(9),2),1) ),N92)</f>
        <v>0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 t="str">
        <f t="shared" si="1"/>
        <v/>
      </c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</row>
    <row r="93" spans="2:123" hidden="1">
      <c r="B93" s="54" t="str">
        <f>TRIM(MID(SUBSTITUTE(A93," ",REPT(" ",LEN(A93))), (4-1)*LEN(A93)+1, LEN(A93)))</f>
        <v/>
      </c>
      <c r="C93" t="str">
        <f>IFERROR(VLOOKUP(A93,Processor_DB_Intel!$A$1:'Processor_DB_Intel'!$D$494,4,FALSE),"")</f>
        <v/>
      </c>
      <c r="D93" t="str">
        <f>IFERROR(LEFT(VLOOKUP(A93,Processor_DB_Intel!$A$1:'Processor_DB_Intel'!$F$494,6,FALSE),3),"")</f>
        <v/>
      </c>
      <c r="E93" s="73" t="str">
        <f>IF(O93 = 0,"",O93)</f>
        <v/>
      </c>
      <c r="F93" s="56" t="str">
        <f>IFERROR(E93/C93,"")</f>
        <v/>
      </c>
      <c r="G93" t="str">
        <f t="shared" si="2"/>
        <v/>
      </c>
      <c r="H93" t="str">
        <f t="shared" si="3"/>
        <v/>
      </c>
      <c r="I93" s="56" t="str">
        <f>IFERROR(E93/G93,"")</f>
        <v/>
      </c>
      <c r="J93" s="57" t="str">
        <f>IFERROR(1-(I93/$AC$3),"")</f>
        <v/>
      </c>
      <c r="L93">
        <f>MIN(SEARCH({0,1,2,3,4,5,6,7,8,9},K93&amp;"0123456789"))</f>
        <v>1</v>
      </c>
      <c r="M93" t="str">
        <f>LEFT(RIGHT(K93,LEN(K93)-L93+1),6)</f>
        <v/>
      </c>
      <c r="O93" s="70">
        <f>IFERROR(RIGHT(SUBSTITUTE(N93,"$",CHAR(9),2),LEN(N93)-FIND(CHAR(9),SUBSTITUTE(N93,"$",CHAR(9),2),1) ),N93)</f>
        <v>0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 t="str">
        <f t="shared" si="1"/>
        <v/>
      </c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</row>
    <row r="94" spans="2:123" hidden="1">
      <c r="B94" s="54" t="str">
        <f>TRIM(MID(SUBSTITUTE(A94," ",REPT(" ",LEN(A94))), (4-1)*LEN(A94)+1, LEN(A94)))</f>
        <v/>
      </c>
      <c r="C94" t="str">
        <f>IFERROR(VLOOKUP(A94,Processor_DB_Intel!$A$1:'Processor_DB_Intel'!$D$494,4,FALSE),"")</f>
        <v/>
      </c>
      <c r="D94" t="str">
        <f>IFERROR(LEFT(VLOOKUP(A94,Processor_DB_Intel!$A$1:'Processor_DB_Intel'!$F$494,6,FALSE),3),"")</f>
        <v/>
      </c>
      <c r="E94" s="73" t="str">
        <f>IF(O94 = 0,"",O94)</f>
        <v/>
      </c>
      <c r="F94" s="56" t="str">
        <f>IFERROR(E94/C94,"")</f>
        <v/>
      </c>
      <c r="G94" t="str">
        <f t="shared" si="2"/>
        <v/>
      </c>
      <c r="H94" t="str">
        <f t="shared" si="3"/>
        <v/>
      </c>
      <c r="I94" s="56" t="str">
        <f>IFERROR(E94/G94,"")</f>
        <v/>
      </c>
      <c r="J94" s="57" t="str">
        <f>IFERROR(1-(I94/$AC$3),"")</f>
        <v/>
      </c>
      <c r="L94">
        <f>MIN(SEARCH({0,1,2,3,4,5,6,7,8,9},K94&amp;"0123456789"))</f>
        <v>1</v>
      </c>
      <c r="M94" t="str">
        <f>LEFT(RIGHT(K94,LEN(K94)-L94+1),6)</f>
        <v/>
      </c>
      <c r="O94" s="70">
        <f>IFERROR(RIGHT(SUBSTITUTE(N94,"$",CHAR(9),2),LEN(N94)-FIND(CHAR(9),SUBSTITUTE(N94,"$",CHAR(9),2),1) ),N94)</f>
        <v>0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 t="str">
        <f t="shared" si="1"/>
        <v/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</row>
    <row r="95" spans="2:123" hidden="1">
      <c r="B95" s="54" t="str">
        <f>TRIM(MID(SUBSTITUTE(A95," ",REPT(" ",LEN(A95))), (4-1)*LEN(A95)+1, LEN(A95)))</f>
        <v/>
      </c>
      <c r="C95" t="str">
        <f>IFERROR(VLOOKUP(A95,Processor_DB_Intel!$A$1:'Processor_DB_Intel'!$D$494,4,FALSE),"")</f>
        <v/>
      </c>
      <c r="D95" t="str">
        <f>IFERROR(LEFT(VLOOKUP(A95,Processor_DB_Intel!$A$1:'Processor_DB_Intel'!$F$494,6,FALSE),3),"")</f>
        <v/>
      </c>
      <c r="E95" s="73" t="str">
        <f>IF(O95 = 0,"",O95)</f>
        <v/>
      </c>
      <c r="F95" s="56" t="str">
        <f>IFERROR(E95/C95,"")</f>
        <v/>
      </c>
      <c r="G95" t="str">
        <f t="shared" si="2"/>
        <v/>
      </c>
      <c r="H95" t="str">
        <f t="shared" si="3"/>
        <v/>
      </c>
      <c r="I95" s="56" t="str">
        <f>IFERROR(E95/G95,"")</f>
        <v/>
      </c>
      <c r="J95" s="57" t="str">
        <f>IFERROR(1-(I95/$AC$3),"")</f>
        <v/>
      </c>
      <c r="L95">
        <f>MIN(SEARCH({0,1,2,3,4,5,6,7,8,9},K95&amp;"0123456789"))</f>
        <v>1</v>
      </c>
      <c r="M95" t="str">
        <f>LEFT(RIGHT(K95,LEN(K95)-L95+1),6)</f>
        <v/>
      </c>
      <c r="O95" s="70">
        <f>IFERROR(RIGHT(SUBSTITUTE(N95,"$",CHAR(9),2),LEN(N95)-FIND(CHAR(9),SUBSTITUTE(N95,"$",CHAR(9),2),1) ),N95)</f>
        <v>0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 t="str">
        <f t="shared" si="1"/>
        <v/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</row>
    <row r="96" spans="2:123" hidden="1">
      <c r="B96" s="54" t="str">
        <f>TRIM(MID(SUBSTITUTE(A96," ",REPT(" ",LEN(A96))), (4-1)*LEN(A96)+1, LEN(A96)))</f>
        <v/>
      </c>
      <c r="C96" t="str">
        <f>IFERROR(VLOOKUP(A96,Processor_DB_Intel!$A$1:'Processor_DB_Intel'!$D$494,4,FALSE),"")</f>
        <v/>
      </c>
      <c r="D96" t="str">
        <f>IFERROR(LEFT(VLOOKUP(A96,Processor_DB_Intel!$A$1:'Processor_DB_Intel'!$F$494,6,FALSE),3),"")</f>
        <v/>
      </c>
      <c r="E96" s="73" t="str">
        <f>IF(O96 = 0,"",O96)</f>
        <v/>
      </c>
      <c r="F96" s="56" t="str">
        <f>IFERROR(E96/C96,"")</f>
        <v/>
      </c>
      <c r="G96" t="str">
        <f t="shared" si="2"/>
        <v/>
      </c>
      <c r="H96" t="str">
        <f t="shared" si="3"/>
        <v/>
      </c>
      <c r="I96" s="56" t="str">
        <f>IFERROR(E96/G96,"")</f>
        <v/>
      </c>
      <c r="J96" s="57" t="str">
        <f>IFERROR(1-(I96/$AC$3),"")</f>
        <v/>
      </c>
      <c r="L96">
        <f>MIN(SEARCH({0,1,2,3,4,5,6,7,8,9},K96&amp;"0123456789"))</f>
        <v>1</v>
      </c>
      <c r="M96" t="str">
        <f>LEFT(RIGHT(K96,LEN(K96)-L96+1),6)</f>
        <v/>
      </c>
      <c r="O96" s="70">
        <f>IFERROR(RIGHT(SUBSTITUTE(N96,"$",CHAR(9),2),LEN(N96)-FIND(CHAR(9),SUBSTITUTE(N96,"$",CHAR(9),2),1) ),N96)</f>
        <v>0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 t="str">
        <f t="shared" si="1"/>
        <v/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</row>
    <row r="97" spans="2:123" hidden="1">
      <c r="B97" s="54" t="str">
        <f>TRIM(MID(SUBSTITUTE(A97," ",REPT(" ",LEN(A97))), (4-1)*LEN(A97)+1, LEN(A97)))</f>
        <v/>
      </c>
      <c r="C97" t="str">
        <f>IFERROR(VLOOKUP(A97,Processor_DB_Intel!$A$1:'Processor_DB_Intel'!$D$494,4,FALSE),"")</f>
        <v/>
      </c>
      <c r="D97" t="str">
        <f>IFERROR(LEFT(VLOOKUP(A97,Processor_DB_Intel!$A$1:'Processor_DB_Intel'!$F$494,6,FALSE),3),"")</f>
        <v/>
      </c>
      <c r="E97" s="73" t="str">
        <f>IF(O97 = 0,"",O97)</f>
        <v/>
      </c>
      <c r="F97" s="56" t="str">
        <f>IFERROR(E97/C97,"")</f>
        <v/>
      </c>
      <c r="G97" t="str">
        <f t="shared" si="2"/>
        <v/>
      </c>
      <c r="H97" t="str">
        <f t="shared" si="3"/>
        <v/>
      </c>
      <c r="I97" s="56" t="str">
        <f>IFERROR(E97/G97,"")</f>
        <v/>
      </c>
      <c r="J97" s="57" t="str">
        <f>IFERROR(1-(I97/$AC$3),"")</f>
        <v/>
      </c>
      <c r="L97">
        <f>MIN(SEARCH({0,1,2,3,4,5,6,7,8,9},K97&amp;"0123456789"))</f>
        <v>1</v>
      </c>
      <c r="M97" t="str">
        <f>LEFT(RIGHT(K97,LEN(K97)-L97+1),6)</f>
        <v/>
      </c>
      <c r="O97" s="70">
        <f>IFERROR(RIGHT(SUBSTITUTE(N97,"$",CHAR(9),2),LEN(N97)-FIND(CHAR(9),SUBSTITUTE(N97,"$",CHAR(9),2),1) ),N97)</f>
        <v>0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 t="str">
        <f t="shared" si="1"/>
        <v/>
      </c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</row>
    <row r="98" spans="2:123" hidden="1">
      <c r="B98" s="54" t="str">
        <f>TRIM(MID(SUBSTITUTE(A98," ",REPT(" ",LEN(A98))), (4-1)*LEN(A98)+1, LEN(A98)))</f>
        <v/>
      </c>
      <c r="C98" t="str">
        <f>IFERROR(VLOOKUP(A98,Processor_DB_Intel!$A$1:'Processor_DB_Intel'!$D$494,4,FALSE),"")</f>
        <v/>
      </c>
      <c r="D98" t="str">
        <f>IFERROR(LEFT(VLOOKUP(A98,Processor_DB_Intel!$A$1:'Processor_DB_Intel'!$F$494,6,FALSE),3),"")</f>
        <v/>
      </c>
      <c r="E98" s="73" t="str">
        <f>IF(O98 = 0,"",O98)</f>
        <v/>
      </c>
      <c r="F98" s="56" t="str">
        <f>IFERROR(E98/C98,"")</f>
        <v/>
      </c>
      <c r="G98" t="str">
        <f t="shared" si="2"/>
        <v/>
      </c>
      <c r="H98" t="str">
        <f t="shared" si="3"/>
        <v/>
      </c>
      <c r="I98" s="56" t="str">
        <f>IFERROR(E98/G98,"")</f>
        <v/>
      </c>
      <c r="J98" s="57" t="str">
        <f>IFERROR(1-(I98/$AC$3),"")</f>
        <v/>
      </c>
      <c r="L98">
        <f>MIN(SEARCH({0,1,2,3,4,5,6,7,8,9},K98&amp;"0123456789"))</f>
        <v>1</v>
      </c>
      <c r="M98" t="str">
        <f>LEFT(RIGHT(K98,LEN(K98)-L98+1),6)</f>
        <v/>
      </c>
      <c r="O98" s="70">
        <f>IFERROR(RIGHT(SUBSTITUTE(N98,"$",CHAR(9),2),LEN(N98)-FIND(CHAR(9),SUBSTITUTE(N98,"$",CHAR(9),2),1) ),N98)</f>
        <v>0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 t="str">
        <f t="shared" si="1"/>
        <v/>
      </c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</row>
    <row r="99" spans="2:123" hidden="1">
      <c r="B99" s="54" t="str">
        <f>TRIM(MID(SUBSTITUTE(A99," ",REPT(" ",LEN(A99))), (4-1)*LEN(A99)+1, LEN(A99)))</f>
        <v/>
      </c>
      <c r="C99" t="str">
        <f>IFERROR(VLOOKUP(A99,Processor_DB_Intel!$A$1:'Processor_DB_Intel'!$D$494,4,FALSE),"")</f>
        <v/>
      </c>
      <c r="D99" t="str">
        <f>IFERROR(LEFT(VLOOKUP(A99,Processor_DB_Intel!$A$1:'Processor_DB_Intel'!$F$494,6,FALSE),3),"")</f>
        <v/>
      </c>
      <c r="E99" s="73" t="str">
        <f>IF(O99 = 0,"",O99)</f>
        <v/>
      </c>
      <c r="F99" s="56" t="str">
        <f>IFERROR(E99/C99,"")</f>
        <v/>
      </c>
      <c r="G99" t="str">
        <f t="shared" si="2"/>
        <v/>
      </c>
      <c r="H99" t="str">
        <f t="shared" si="3"/>
        <v/>
      </c>
      <c r="I99" s="56" t="str">
        <f>IFERROR(E99/G99,"")</f>
        <v/>
      </c>
      <c r="J99" s="57" t="str">
        <f>IFERROR(1-(I99/$AC$3),"")</f>
        <v/>
      </c>
      <c r="L99">
        <f>MIN(SEARCH({0,1,2,3,4,5,6,7,8,9},K99&amp;"0123456789"))</f>
        <v>1</v>
      </c>
      <c r="M99" t="str">
        <f>LEFT(RIGHT(K99,LEN(K99)-L99+1),6)</f>
        <v/>
      </c>
      <c r="O99" s="70">
        <f>IFERROR(RIGHT(SUBSTITUTE(N99,"$",CHAR(9),2),LEN(N99)-FIND(CHAR(9),SUBSTITUTE(N99,"$",CHAR(9),2),1) ),N99)</f>
        <v>0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 t="str">
        <f t="shared" si="1"/>
        <v/>
      </c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</row>
    <row r="100" spans="2:123" hidden="1">
      <c r="B100" s="54" t="str">
        <f>TRIM(MID(SUBSTITUTE(A100," ",REPT(" ",LEN(A100))), (4-1)*LEN(A100)+1, LEN(A100)))</f>
        <v/>
      </c>
      <c r="C100" t="str">
        <f>IFERROR(VLOOKUP(A100,Processor_DB_Intel!$A$1:'Processor_DB_Intel'!$D$494,4,FALSE),"")</f>
        <v/>
      </c>
      <c r="D100" t="str">
        <f>IFERROR(LEFT(VLOOKUP(A100,Processor_DB_Intel!$A$1:'Processor_DB_Intel'!$F$494,6,FALSE),3),"")</f>
        <v/>
      </c>
      <c r="E100" s="73" t="str">
        <f>IF(O100 = 0,"",O100)</f>
        <v/>
      </c>
      <c r="F100" s="56" t="str">
        <f>IFERROR(E100/C100,"")</f>
        <v/>
      </c>
      <c r="G100" t="str">
        <f t="shared" si="2"/>
        <v/>
      </c>
      <c r="H100" t="str">
        <f t="shared" si="3"/>
        <v/>
      </c>
      <c r="I100" s="56" t="str">
        <f>IFERROR(E100/G100,"")</f>
        <v/>
      </c>
      <c r="J100" s="57" t="str">
        <f>IFERROR(1-(I100/$AC$3),"")</f>
        <v/>
      </c>
      <c r="L100">
        <f>MIN(SEARCH({0,1,2,3,4,5,6,7,8,9},K100&amp;"0123456789"))</f>
        <v>1</v>
      </c>
      <c r="M100" t="str">
        <f>LEFT(RIGHT(K100,LEN(K100)-L100+1),6)</f>
        <v/>
      </c>
      <c r="O100" s="70">
        <f>IFERROR(RIGHT(SUBSTITUTE(N100,"$",CHAR(9),2),LEN(N100)-FIND(CHAR(9),SUBSTITUTE(N100,"$",CHAR(9),2),1) ),N100)</f>
        <v>0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 t="str">
        <f t="shared" si="1"/>
        <v/>
      </c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</row>
    <row r="101" spans="2:123" hidden="1">
      <c r="B101" s="54" t="str">
        <f>TRIM(MID(SUBSTITUTE(A101," ",REPT(" ",LEN(A101))), (4-1)*LEN(A101)+1, LEN(A101)))</f>
        <v/>
      </c>
      <c r="C101" t="str">
        <f>IFERROR(VLOOKUP(A101,Processor_DB_Intel!$A$1:'Processor_DB_Intel'!$D$494,4,FALSE),"")</f>
        <v/>
      </c>
      <c r="D101" t="str">
        <f>IFERROR(LEFT(VLOOKUP(A101,Processor_DB_Intel!$A$1:'Processor_DB_Intel'!$F$494,6,FALSE),3),"")</f>
        <v/>
      </c>
      <c r="E101" s="73" t="str">
        <f>IF(O101 = 0,"",O101)</f>
        <v/>
      </c>
      <c r="F101" s="56" t="str">
        <f>IFERROR(E101/C101,"")</f>
        <v/>
      </c>
      <c r="G101" t="str">
        <f t="shared" si="2"/>
        <v/>
      </c>
      <c r="H101" t="str">
        <f t="shared" si="3"/>
        <v/>
      </c>
      <c r="I101" s="56" t="str">
        <f>IFERROR(E101/G101,"")</f>
        <v/>
      </c>
      <c r="J101" s="57" t="str">
        <f>IFERROR(1-(I101/$AC$3),"")</f>
        <v/>
      </c>
      <c r="L101">
        <f>MIN(SEARCH({0,1,2,3,4,5,6,7,8,9},K101&amp;"0123456789"))</f>
        <v>1</v>
      </c>
      <c r="M101" t="str">
        <f>LEFT(RIGHT(K101,LEN(K101)-L101+1),6)</f>
        <v/>
      </c>
      <c r="O101" s="70">
        <f>IFERROR(RIGHT(SUBSTITUTE(N101,"$",CHAR(9),2),LEN(N101)-FIND(CHAR(9),SUBSTITUTE(N101,"$",CHAR(9),2),1) ),N101)</f>
        <v>0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 t="str">
        <f t="shared" si="1"/>
        <v/>
      </c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</row>
    <row r="102" spans="2:123" hidden="1">
      <c r="B102" s="54" t="str">
        <f>TRIM(MID(SUBSTITUTE(A102," ",REPT(" ",LEN(A102))), (4-1)*LEN(A102)+1, LEN(A102)))</f>
        <v/>
      </c>
      <c r="C102" t="str">
        <f>IFERROR(VLOOKUP(A102,Processor_DB_Intel!$A$1:'Processor_DB_Intel'!$D$494,4,FALSE),"")</f>
        <v/>
      </c>
      <c r="D102" t="str">
        <f>IFERROR(LEFT(VLOOKUP(A102,Processor_DB_Intel!$A$1:'Processor_DB_Intel'!$F$494,6,FALSE),3),"")</f>
        <v/>
      </c>
      <c r="E102" s="73" t="str">
        <f>IF(O102 = 0,"",O102)</f>
        <v/>
      </c>
      <c r="F102" s="56" t="str">
        <f>IFERROR(E102/C102,"")</f>
        <v/>
      </c>
      <c r="G102" t="str">
        <f t="shared" si="2"/>
        <v/>
      </c>
      <c r="H102" t="str">
        <f t="shared" si="3"/>
        <v/>
      </c>
      <c r="I102" s="56" t="str">
        <f>IFERROR(E102/G102,"")</f>
        <v/>
      </c>
      <c r="J102" s="57" t="str">
        <f>IFERROR(1-(I102/$AC$3),"")</f>
        <v/>
      </c>
      <c r="L102">
        <f>MIN(SEARCH({0,1,2,3,4,5,6,7,8,9},K102&amp;"0123456789"))</f>
        <v>1</v>
      </c>
      <c r="M102" t="str">
        <f>LEFT(RIGHT(K102,LEN(K102)-L102+1),6)</f>
        <v/>
      </c>
      <c r="O102" s="70">
        <f>IFERROR(RIGHT(SUBSTITUTE(N102,"$",CHAR(9),2),LEN(N102)-FIND(CHAR(9),SUBSTITUTE(N102,"$",CHAR(9),2),1) ),N102)</f>
        <v>0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 t="str">
        <f t="shared" si="1"/>
        <v/>
      </c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</row>
    <row r="103" spans="2:123" hidden="1">
      <c r="B103" s="54" t="str">
        <f>TRIM(MID(SUBSTITUTE(A103," ",REPT(" ",LEN(A103))), (4-1)*LEN(A103)+1, LEN(A103)))</f>
        <v/>
      </c>
      <c r="C103" t="str">
        <f>IFERROR(VLOOKUP(A103,Processor_DB_Intel!$A$1:'Processor_DB_Intel'!$D$494,4,FALSE),"")</f>
        <v/>
      </c>
      <c r="D103" t="str">
        <f>IFERROR(LEFT(VLOOKUP(A103,Processor_DB_Intel!$A$1:'Processor_DB_Intel'!$F$494,6,FALSE),3),"")</f>
        <v/>
      </c>
      <c r="E103" s="73" t="str">
        <f>IF(O103 = 0,"",O103)</f>
        <v/>
      </c>
      <c r="F103" s="56" t="str">
        <f>IFERROR(E103/C103,"")</f>
        <v/>
      </c>
      <c r="G103" t="str">
        <f t="shared" si="2"/>
        <v/>
      </c>
      <c r="H103" t="str">
        <f t="shared" si="3"/>
        <v/>
      </c>
      <c r="I103" s="56" t="str">
        <f>IFERROR(E103/G103,"")</f>
        <v/>
      </c>
      <c r="J103" s="57" t="str">
        <f>IFERROR(1-(I103/$AC$3),"")</f>
        <v/>
      </c>
      <c r="L103">
        <f>MIN(SEARCH({0,1,2,3,4,5,6,7,8,9},K103&amp;"0123456789"))</f>
        <v>1</v>
      </c>
      <c r="M103" t="str">
        <f>LEFT(RIGHT(K103,LEN(K103)-L103+1),6)</f>
        <v/>
      </c>
      <c r="O103" s="70">
        <f>IFERROR(RIGHT(SUBSTITUTE(N103,"$",CHAR(9),2),LEN(N103)-FIND(CHAR(9),SUBSTITUTE(N103,"$",CHAR(9),2),1) ),N103)</f>
        <v>0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 t="str">
        <f t="shared" si="1"/>
        <v/>
      </c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</row>
    <row r="104" spans="2:123" hidden="1">
      <c r="B104" s="54" t="str">
        <f>TRIM(MID(SUBSTITUTE(A104," ",REPT(" ",LEN(A104))), (4-1)*LEN(A104)+1, LEN(A104)))</f>
        <v/>
      </c>
      <c r="C104" t="str">
        <f>IFERROR(VLOOKUP(A104,Processor_DB_Intel!$A$1:'Processor_DB_Intel'!$D$494,4,FALSE),"")</f>
        <v/>
      </c>
      <c r="D104" t="str">
        <f>IFERROR(LEFT(VLOOKUP(A104,Processor_DB_Intel!$A$1:'Processor_DB_Intel'!$F$494,6,FALSE),3),"")</f>
        <v/>
      </c>
      <c r="E104" s="73" t="str">
        <f>IF(O104 = 0,"",O104)</f>
        <v/>
      </c>
      <c r="F104" s="56" t="str">
        <f>IFERROR(E104/C104,"")</f>
        <v/>
      </c>
      <c r="G104" t="str">
        <f t="shared" si="2"/>
        <v/>
      </c>
      <c r="H104" t="str">
        <f t="shared" si="3"/>
        <v/>
      </c>
      <c r="I104" s="56" t="str">
        <f>IFERROR(E104/G104,"")</f>
        <v/>
      </c>
      <c r="J104" s="57" t="str">
        <f>IFERROR(1-(I104/$AC$3),"")</f>
        <v/>
      </c>
      <c r="L104">
        <f>MIN(SEARCH({0,1,2,3,4,5,6,7,8,9},K104&amp;"0123456789"))</f>
        <v>1</v>
      </c>
      <c r="M104" t="str">
        <f>LEFT(RIGHT(K104,LEN(K104)-L104+1),6)</f>
        <v/>
      </c>
      <c r="O104" s="70">
        <f>IFERROR(RIGHT(SUBSTITUTE(N104,"$",CHAR(9),2),LEN(N104)-FIND(CHAR(9),SUBSTITUTE(N104,"$",CHAR(9),2),1) ),N104)</f>
        <v>0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 t="str">
        <f t="shared" si="1"/>
        <v/>
      </c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</row>
    <row r="105" spans="2:123" hidden="1">
      <c r="B105" s="54" t="str">
        <f>TRIM(MID(SUBSTITUTE(A105," ",REPT(" ",LEN(A105))), (4-1)*LEN(A105)+1, LEN(A105)))</f>
        <v/>
      </c>
      <c r="C105" t="str">
        <f>IFERROR(VLOOKUP(A105,Processor_DB_Intel!$A$1:'Processor_DB_Intel'!$D$494,4,FALSE),"")</f>
        <v/>
      </c>
      <c r="D105" t="str">
        <f>IFERROR(LEFT(VLOOKUP(A105,Processor_DB_Intel!$A$1:'Processor_DB_Intel'!$F$494,6,FALSE),3),"")</f>
        <v/>
      </c>
      <c r="E105" s="73" t="str">
        <f>IF(O105 = 0,"",O105)</f>
        <v/>
      </c>
      <c r="F105" s="56" t="str">
        <f>IFERROR(E105/C105,"")</f>
        <v/>
      </c>
      <c r="G105" t="str">
        <f t="shared" si="2"/>
        <v/>
      </c>
      <c r="H105" t="str">
        <f t="shared" si="3"/>
        <v/>
      </c>
      <c r="I105" s="56" t="str">
        <f>IFERROR(E105/G105,"")</f>
        <v/>
      </c>
      <c r="J105" s="57" t="str">
        <f>IFERROR(1-(I105/$AC$3),"")</f>
        <v/>
      </c>
      <c r="L105">
        <f>MIN(SEARCH({0,1,2,3,4,5,6,7,8,9},K105&amp;"0123456789"))</f>
        <v>1</v>
      </c>
      <c r="M105" t="str">
        <f>LEFT(RIGHT(K105,LEN(K105)-L105+1),6)</f>
        <v/>
      </c>
      <c r="O105" s="70">
        <f>IFERROR(RIGHT(SUBSTITUTE(N105,"$",CHAR(9),2),LEN(N105)-FIND(CHAR(9),SUBSTITUTE(N105,"$",CHAR(9),2),1) ),N105)</f>
        <v>0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 t="str">
        <f t="shared" si="1"/>
        <v/>
      </c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</row>
    <row r="106" spans="2:123" hidden="1">
      <c r="B106" s="54" t="str">
        <f>TRIM(MID(SUBSTITUTE(A106," ",REPT(" ",LEN(A106))), (4-1)*LEN(A106)+1, LEN(A106)))</f>
        <v/>
      </c>
      <c r="C106" t="str">
        <f>IFERROR(VLOOKUP(A106,Processor_DB_Intel!$A$1:'Processor_DB_Intel'!$D$494,4,FALSE),"")</f>
        <v/>
      </c>
      <c r="D106" t="str">
        <f>IFERROR(LEFT(VLOOKUP(A106,Processor_DB_Intel!$A$1:'Processor_DB_Intel'!$F$494,6,FALSE),3),"")</f>
        <v/>
      </c>
      <c r="E106" s="73" t="str">
        <f>IF(O106 = 0,"",O106)</f>
        <v/>
      </c>
      <c r="F106" s="56" t="str">
        <f>IFERROR(E106/C106,"")</f>
        <v/>
      </c>
      <c r="G106" t="str">
        <f t="shared" si="2"/>
        <v/>
      </c>
      <c r="H106" t="str">
        <f t="shared" si="3"/>
        <v/>
      </c>
      <c r="I106" s="56" t="str">
        <f>IFERROR(E106/G106,"")</f>
        <v/>
      </c>
      <c r="J106" s="57" t="str">
        <f>IFERROR(1-(I106/$AC$3),"")</f>
        <v/>
      </c>
      <c r="L106">
        <f>MIN(SEARCH({0,1,2,3,4,5,6,7,8,9},K106&amp;"0123456789"))</f>
        <v>1</v>
      </c>
      <c r="M106" t="str">
        <f>LEFT(RIGHT(K106,LEN(K106)-L106+1),6)</f>
        <v/>
      </c>
      <c r="O106" s="70">
        <f>IFERROR(RIGHT(SUBSTITUTE(N106,"$",CHAR(9),2),LEN(N106)-FIND(CHAR(9),SUBSTITUTE(N106,"$",CHAR(9),2),1) ),N106)</f>
        <v>0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 t="str">
        <f t="shared" si="1"/>
        <v/>
      </c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</row>
    <row r="107" spans="2:123" hidden="1">
      <c r="B107" s="54" t="str">
        <f>TRIM(MID(SUBSTITUTE(A107," ",REPT(" ",LEN(A107))), (4-1)*LEN(A107)+1, LEN(A107)))</f>
        <v/>
      </c>
      <c r="C107" t="str">
        <f>IFERROR(VLOOKUP(A107,Processor_DB_Intel!$A$1:'Processor_DB_Intel'!$D$494,4,FALSE),"")</f>
        <v/>
      </c>
      <c r="D107" t="str">
        <f>IFERROR(LEFT(VLOOKUP(A107,Processor_DB_Intel!$A$1:'Processor_DB_Intel'!$F$494,6,FALSE),3),"")</f>
        <v/>
      </c>
      <c r="E107" s="73" t="str">
        <f>IF(O107 = 0,"",O107)</f>
        <v/>
      </c>
      <c r="F107" s="56" t="str">
        <f>IFERROR(E107/C107,"")</f>
        <v/>
      </c>
      <c r="G107" t="str">
        <f t="shared" si="2"/>
        <v/>
      </c>
      <c r="H107" t="str">
        <f t="shared" si="3"/>
        <v/>
      </c>
      <c r="I107" s="56" t="str">
        <f>IFERROR(E107/G107,"")</f>
        <v/>
      </c>
      <c r="J107" s="57" t="str">
        <f>IFERROR(1-(I107/$AC$3),"")</f>
        <v/>
      </c>
      <c r="L107">
        <f>MIN(SEARCH({0,1,2,3,4,5,6,7,8,9},K107&amp;"0123456789"))</f>
        <v>1</v>
      </c>
      <c r="M107" t="str">
        <f>LEFT(RIGHT(K107,LEN(K107)-L107+1),6)</f>
        <v/>
      </c>
      <c r="O107" s="70">
        <f>IFERROR(RIGHT(SUBSTITUTE(N107,"$",CHAR(9),2),LEN(N107)-FIND(CHAR(9),SUBSTITUTE(N107,"$",CHAR(9),2),1) ),N107)</f>
        <v>0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 t="str">
        <f t="shared" si="1"/>
        <v/>
      </c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</row>
    <row r="108" spans="2:123" hidden="1">
      <c r="B108" s="54" t="str">
        <f>TRIM(MID(SUBSTITUTE(A108," ",REPT(" ",LEN(A108))), (4-1)*LEN(A108)+1, LEN(A108)))</f>
        <v/>
      </c>
      <c r="C108" t="str">
        <f>IFERROR(VLOOKUP(A108,Processor_DB_Intel!$A$1:'Processor_DB_Intel'!$D$494,4,FALSE),"")</f>
        <v/>
      </c>
      <c r="D108" t="str">
        <f>IFERROR(LEFT(VLOOKUP(A108,Processor_DB_Intel!$A$1:'Processor_DB_Intel'!$F$494,6,FALSE),3),"")</f>
        <v/>
      </c>
      <c r="E108" s="73" t="str">
        <f>IF(O108 = 0,"",O108)</f>
        <v/>
      </c>
      <c r="F108" s="56" t="str">
        <f>IFERROR(E108/C108,"")</f>
        <v/>
      </c>
      <c r="G108" t="str">
        <f t="shared" si="2"/>
        <v/>
      </c>
      <c r="H108" t="str">
        <f t="shared" si="3"/>
        <v/>
      </c>
      <c r="I108" s="56" t="str">
        <f>IFERROR(E108/G108,"")</f>
        <v/>
      </c>
      <c r="J108" s="57" t="str">
        <f>IFERROR(1-(I108/$AC$3),"")</f>
        <v/>
      </c>
      <c r="L108">
        <f>MIN(SEARCH({0,1,2,3,4,5,6,7,8,9},K108&amp;"0123456789"))</f>
        <v>1</v>
      </c>
      <c r="M108" t="str">
        <f>LEFT(RIGHT(K108,LEN(K108)-L108+1),6)</f>
        <v/>
      </c>
      <c r="O108" s="70">
        <f>IFERROR(RIGHT(SUBSTITUTE(N108,"$",CHAR(9),2),LEN(N108)-FIND(CHAR(9),SUBSTITUTE(N108,"$",CHAR(9),2),1) ),N108)</f>
        <v>0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 t="str">
        <f t="shared" si="1"/>
        <v/>
      </c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</row>
    <row r="109" spans="2:123" hidden="1">
      <c r="B109" s="54" t="str">
        <f>TRIM(MID(SUBSTITUTE(A109," ",REPT(" ",LEN(A109))), (4-1)*LEN(A109)+1, LEN(A109)))</f>
        <v/>
      </c>
      <c r="C109" t="str">
        <f>IFERROR(VLOOKUP(A109,Processor_DB_Intel!$A$1:'Processor_DB_Intel'!$D$494,4,FALSE),"")</f>
        <v/>
      </c>
      <c r="D109" t="str">
        <f>IFERROR(LEFT(VLOOKUP(A109,Processor_DB_Intel!$A$1:'Processor_DB_Intel'!$F$494,6,FALSE),3),"")</f>
        <v/>
      </c>
      <c r="E109" s="73" t="str">
        <f>IF(O109 = 0,"",O109)</f>
        <v/>
      </c>
      <c r="F109" s="56" t="str">
        <f>IFERROR(E109/C109,"")</f>
        <v/>
      </c>
      <c r="G109" t="str">
        <f t="shared" si="2"/>
        <v/>
      </c>
      <c r="H109" t="str">
        <f t="shared" si="3"/>
        <v/>
      </c>
      <c r="I109" s="56" t="str">
        <f>IFERROR(E109/G109,"")</f>
        <v/>
      </c>
      <c r="J109" s="57" t="str">
        <f>IFERROR(1-(I109/$AC$3),"")</f>
        <v/>
      </c>
      <c r="L109">
        <f>MIN(SEARCH({0,1,2,3,4,5,6,7,8,9},K109&amp;"0123456789"))</f>
        <v>1</v>
      </c>
      <c r="M109" t="str">
        <f>LEFT(RIGHT(K109,LEN(K109)-L109+1),6)</f>
        <v/>
      </c>
      <c r="O109" s="70">
        <f>IFERROR(RIGHT(SUBSTITUTE(N109,"$",CHAR(9),2),LEN(N109)-FIND(CHAR(9),SUBSTITUTE(N109,"$",CHAR(9),2),1) ),N109)</f>
        <v>0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 t="str">
        <f t="shared" si="1"/>
        <v/>
      </c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</row>
    <row r="110" spans="2:123" hidden="1">
      <c r="B110" s="54" t="str">
        <f>TRIM(MID(SUBSTITUTE(A110," ",REPT(" ",LEN(A110))), (4-1)*LEN(A110)+1, LEN(A110)))</f>
        <v/>
      </c>
      <c r="C110" t="str">
        <f>IFERROR(VLOOKUP(A110,Processor_DB_Intel!$A$1:'Processor_DB_Intel'!$D$494,4,FALSE),"")</f>
        <v/>
      </c>
      <c r="D110" t="str">
        <f>IFERROR(LEFT(VLOOKUP(A110,Processor_DB_Intel!$A$1:'Processor_DB_Intel'!$F$494,6,FALSE),3),"")</f>
        <v/>
      </c>
      <c r="E110" s="73" t="str">
        <f>IF(O110 = 0,"",O110)</f>
        <v/>
      </c>
      <c r="F110" s="56" t="str">
        <f>IFERROR(E110/C110,"")</f>
        <v/>
      </c>
      <c r="G110" t="str">
        <f t="shared" si="2"/>
        <v/>
      </c>
      <c r="H110" t="str">
        <f t="shared" si="3"/>
        <v/>
      </c>
      <c r="I110" s="56" t="str">
        <f>IFERROR(E110/G110,"")</f>
        <v/>
      </c>
      <c r="J110" s="57" t="str">
        <f>IFERROR(1-(I110/$AC$3),"")</f>
        <v/>
      </c>
      <c r="L110">
        <f>MIN(SEARCH({0,1,2,3,4,5,6,7,8,9},K110&amp;"0123456789"))</f>
        <v>1</v>
      </c>
      <c r="M110" t="str">
        <f>LEFT(RIGHT(K110,LEN(K110)-L110+1),6)</f>
        <v/>
      </c>
      <c r="O110" s="70">
        <f>IFERROR(RIGHT(SUBSTITUTE(N110,"$",CHAR(9),2),LEN(N110)-FIND(CHAR(9),SUBSTITUTE(N110,"$",CHAR(9),2),1) ),N110)</f>
        <v>0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 t="str">
        <f t="shared" si="1"/>
        <v/>
      </c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</row>
    <row r="111" spans="2:123" hidden="1">
      <c r="B111" s="54" t="str">
        <f>TRIM(MID(SUBSTITUTE(A111," ",REPT(" ",LEN(A111))), (4-1)*LEN(A111)+1, LEN(A111)))</f>
        <v/>
      </c>
      <c r="C111" t="str">
        <f>IFERROR(VLOOKUP(A111,Processor_DB_Intel!$A$1:'Processor_DB_Intel'!$D$494,4,FALSE),"")</f>
        <v/>
      </c>
      <c r="D111" t="str">
        <f>IFERROR(LEFT(VLOOKUP(A111,Processor_DB_Intel!$A$1:'Processor_DB_Intel'!$F$494,6,FALSE),3),"")</f>
        <v/>
      </c>
      <c r="E111" s="73" t="str">
        <f>IF(O111 = 0,"",O111)</f>
        <v/>
      </c>
      <c r="F111" s="56" t="str">
        <f>IFERROR(E111/C111,"")</f>
        <v/>
      </c>
      <c r="G111" t="str">
        <f t="shared" si="2"/>
        <v/>
      </c>
      <c r="H111" t="str">
        <f t="shared" si="3"/>
        <v/>
      </c>
      <c r="I111" s="56" t="str">
        <f>IFERROR(E111/G111,"")</f>
        <v/>
      </c>
      <c r="J111" s="57" t="str">
        <f>IFERROR(1-(I111/$AC$3),"")</f>
        <v/>
      </c>
      <c r="L111">
        <f>MIN(SEARCH({0,1,2,3,4,5,6,7,8,9},K111&amp;"0123456789"))</f>
        <v>1</v>
      </c>
      <c r="M111" t="str">
        <f>LEFT(RIGHT(K111,LEN(K111)-L111+1),6)</f>
        <v/>
      </c>
      <c r="O111" s="70">
        <f>IFERROR(RIGHT(SUBSTITUTE(N111,"$",CHAR(9),2),LEN(N111)-FIND(CHAR(9),SUBSTITUTE(N111,"$",CHAR(9),2),1) ),N111)</f>
        <v>0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 t="str">
        <f t="shared" si="1"/>
        <v/>
      </c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</row>
    <row r="112" spans="2:123" hidden="1">
      <c r="B112" s="54" t="str">
        <f>TRIM(MID(SUBSTITUTE(A112," ",REPT(" ",LEN(A112))), (4-1)*LEN(A112)+1, LEN(A112)))</f>
        <v/>
      </c>
      <c r="C112" t="str">
        <f>IFERROR(VLOOKUP(A112,Processor_DB_Intel!$A$1:'Processor_DB_Intel'!$D$494,4,FALSE),"")</f>
        <v/>
      </c>
      <c r="D112" t="str">
        <f>IFERROR(LEFT(VLOOKUP(A112,Processor_DB_Intel!$A$1:'Processor_DB_Intel'!$F$494,6,FALSE),3),"")</f>
        <v/>
      </c>
      <c r="E112" s="73" t="str">
        <f>IF(O112 = 0,"",O112)</f>
        <v/>
      </c>
      <c r="F112" s="56" t="str">
        <f>IFERROR(E112/C112,"")</f>
        <v/>
      </c>
      <c r="G112" t="str">
        <f t="shared" si="2"/>
        <v/>
      </c>
      <c r="H112" t="str">
        <f t="shared" si="3"/>
        <v/>
      </c>
      <c r="I112" s="56" t="str">
        <f>IFERROR(E112/G112,"")</f>
        <v/>
      </c>
      <c r="J112" s="57" t="str">
        <f>IFERROR(1-(I112/$AC$3),"")</f>
        <v/>
      </c>
      <c r="L112">
        <f>MIN(SEARCH({0,1,2,3,4,5,6,7,8,9},K112&amp;"0123456789"))</f>
        <v>1</v>
      </c>
      <c r="M112" t="str">
        <f>LEFT(RIGHT(K112,LEN(K112)-L112+1),6)</f>
        <v/>
      </c>
      <c r="O112" s="70">
        <f>IFERROR(RIGHT(SUBSTITUTE(N112,"$",CHAR(9),2),LEN(N112)-FIND(CHAR(9),SUBSTITUTE(N112,"$",CHAR(9),2),1) ),N112)</f>
        <v>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 t="str">
        <f t="shared" si="1"/>
        <v/>
      </c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</row>
    <row r="113" spans="2:123" hidden="1">
      <c r="B113" s="54" t="str">
        <f>TRIM(MID(SUBSTITUTE(A113," ",REPT(" ",LEN(A113))), (4-1)*LEN(A113)+1, LEN(A113)))</f>
        <v/>
      </c>
      <c r="C113" t="str">
        <f>IFERROR(VLOOKUP(A113,Processor_DB_Intel!$A$1:'Processor_DB_Intel'!$D$494,4,FALSE),"")</f>
        <v/>
      </c>
      <c r="D113" t="str">
        <f>IFERROR(LEFT(VLOOKUP(A113,Processor_DB_Intel!$A$1:'Processor_DB_Intel'!$F$494,6,FALSE),3),"")</f>
        <v/>
      </c>
      <c r="E113" s="73" t="str">
        <f>IF(O113 = 0,"",O113)</f>
        <v/>
      </c>
      <c r="F113" s="56" t="str">
        <f>IFERROR(E113/C113,"")</f>
        <v/>
      </c>
      <c r="G113" t="str">
        <f t="shared" si="2"/>
        <v/>
      </c>
      <c r="H113" t="str">
        <f t="shared" si="3"/>
        <v/>
      </c>
      <c r="I113" s="56" t="str">
        <f>IFERROR(E113/G113,"")</f>
        <v/>
      </c>
      <c r="J113" s="57" t="str">
        <f>IFERROR(1-(I113/$AC$3),"")</f>
        <v/>
      </c>
      <c r="L113">
        <f>MIN(SEARCH({0,1,2,3,4,5,6,7,8,9},K113&amp;"0123456789"))</f>
        <v>1</v>
      </c>
      <c r="M113" t="str">
        <f>LEFT(RIGHT(K113,LEN(K113)-L113+1),6)</f>
        <v/>
      </c>
      <c r="O113" s="70">
        <f>IFERROR(RIGHT(SUBSTITUTE(N113,"$",CHAR(9),2),LEN(N113)-FIND(CHAR(9),SUBSTITUTE(N113,"$",CHAR(9),2),1) ),N113)</f>
        <v>0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 t="str">
        <f t="shared" si="1"/>
        <v/>
      </c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</row>
    <row r="114" spans="2:123" hidden="1">
      <c r="B114" s="54" t="str">
        <f>TRIM(MID(SUBSTITUTE(A114," ",REPT(" ",LEN(A114))), (4-1)*LEN(A114)+1, LEN(A114)))</f>
        <v/>
      </c>
      <c r="C114" t="str">
        <f>IFERROR(VLOOKUP(A114,Processor_DB_Intel!$A$1:'Processor_DB_Intel'!$D$494,4,FALSE),"")</f>
        <v/>
      </c>
      <c r="D114" t="str">
        <f>IFERROR(LEFT(VLOOKUP(A114,Processor_DB_Intel!$A$1:'Processor_DB_Intel'!$F$494,6,FALSE),3),"")</f>
        <v/>
      </c>
      <c r="E114" s="73" t="str">
        <f>IF(O114 = 0,"",O114)</f>
        <v/>
      </c>
      <c r="F114" s="56" t="str">
        <f>IFERROR(E114/C114,"")</f>
        <v/>
      </c>
      <c r="G114" t="str">
        <f t="shared" si="2"/>
        <v/>
      </c>
      <c r="H114" t="str">
        <f t="shared" si="3"/>
        <v/>
      </c>
      <c r="I114" s="56" t="str">
        <f>IFERROR(E114/G114,"")</f>
        <v/>
      </c>
      <c r="J114" s="57" t="str">
        <f>IFERROR(1-(I114/$AC$3),"")</f>
        <v/>
      </c>
      <c r="L114">
        <f>MIN(SEARCH({0,1,2,3,4,5,6,7,8,9},K114&amp;"0123456789"))</f>
        <v>1</v>
      </c>
      <c r="M114" t="str">
        <f>LEFT(RIGHT(K114,LEN(K114)-L114+1),6)</f>
        <v/>
      </c>
      <c r="O114" s="70">
        <f>IFERROR(RIGHT(SUBSTITUTE(N114,"$",CHAR(9),2),LEN(N114)-FIND(CHAR(9),SUBSTITUTE(N114,"$",CHAR(9),2),1) ),N114)</f>
        <v>0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 t="str">
        <f t="shared" si="1"/>
        <v/>
      </c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</row>
    <row r="115" spans="2:123" hidden="1">
      <c r="B115" s="54" t="str">
        <f>TRIM(MID(SUBSTITUTE(A115," ",REPT(" ",LEN(A115))), (4-1)*LEN(A115)+1, LEN(A115)))</f>
        <v/>
      </c>
      <c r="C115" t="str">
        <f>IFERROR(VLOOKUP(A115,Processor_DB_Intel!$A$1:'Processor_DB_Intel'!$D$494,4,FALSE),"")</f>
        <v/>
      </c>
      <c r="D115" t="str">
        <f>IFERROR(LEFT(VLOOKUP(A115,Processor_DB_Intel!$A$1:'Processor_DB_Intel'!$F$494,6,FALSE),3),"")</f>
        <v/>
      </c>
      <c r="E115" s="73" t="str">
        <f>IF(O115 = 0,"",O115)</f>
        <v/>
      </c>
      <c r="F115" s="56" t="str">
        <f>IFERROR(E115/C115,"")</f>
        <v/>
      </c>
      <c r="G115" t="str">
        <f t="shared" si="2"/>
        <v/>
      </c>
      <c r="H115" t="str">
        <f t="shared" si="3"/>
        <v/>
      </c>
      <c r="I115" s="56" t="str">
        <f>IFERROR(E115/G115,"")</f>
        <v/>
      </c>
      <c r="J115" s="57" t="str">
        <f>IFERROR(1-(I115/$AC$3),"")</f>
        <v/>
      </c>
      <c r="L115">
        <f>MIN(SEARCH({0,1,2,3,4,5,6,7,8,9},K115&amp;"0123456789"))</f>
        <v>1</v>
      </c>
      <c r="M115" t="str">
        <f>LEFT(RIGHT(K115,LEN(K115)-L115+1),6)</f>
        <v/>
      </c>
      <c r="O115" s="70">
        <f>IFERROR(RIGHT(SUBSTITUTE(N115,"$",CHAR(9),2),LEN(N115)-FIND(CHAR(9),SUBSTITUTE(N115,"$",CHAR(9),2),1) ),N115)</f>
        <v>0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 t="str">
        <f t="shared" si="1"/>
        <v/>
      </c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</row>
    <row r="116" spans="2:123" hidden="1">
      <c r="B116" s="54" t="str">
        <f>TRIM(MID(SUBSTITUTE(A116," ",REPT(" ",LEN(A116))), (4-1)*LEN(A116)+1, LEN(A116)))</f>
        <v/>
      </c>
      <c r="C116" t="str">
        <f>IFERROR(VLOOKUP(A116,Processor_DB_Intel!$A$1:'Processor_DB_Intel'!$D$494,4,FALSE),"")</f>
        <v/>
      </c>
      <c r="D116" t="str">
        <f>IFERROR(LEFT(VLOOKUP(A116,Processor_DB_Intel!$A$1:'Processor_DB_Intel'!$F$494,6,FALSE),3),"")</f>
        <v/>
      </c>
      <c r="E116" s="73" t="str">
        <f>IF(O116 = 0,"",O116)</f>
        <v/>
      </c>
      <c r="F116" s="56" t="str">
        <f>IFERROR(E116/C116,"")</f>
        <v/>
      </c>
      <c r="G116" t="str">
        <f t="shared" si="2"/>
        <v/>
      </c>
      <c r="H116" t="str">
        <f t="shared" si="3"/>
        <v/>
      </c>
      <c r="I116" s="56" t="str">
        <f>IFERROR(E116/G116,"")</f>
        <v/>
      </c>
      <c r="J116" s="57" t="str">
        <f>IFERROR(1-(I116/$AC$3),"")</f>
        <v/>
      </c>
      <c r="L116">
        <f>MIN(SEARCH({0,1,2,3,4,5,6,7,8,9},K116&amp;"0123456789"))</f>
        <v>1</v>
      </c>
      <c r="M116" t="str">
        <f>LEFT(RIGHT(K116,LEN(K116)-L116+1),6)</f>
        <v/>
      </c>
      <c r="O116" s="70">
        <f>IFERROR(RIGHT(SUBSTITUTE(N116,"$",CHAR(9),2),LEN(N116)-FIND(CHAR(9),SUBSTITUTE(N116,"$",CHAR(9),2),1) ),N116)</f>
        <v>0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 t="str">
        <f t="shared" si="1"/>
        <v/>
      </c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</row>
    <row r="117" spans="2:123" hidden="1">
      <c r="B117" s="54" t="str">
        <f>TRIM(MID(SUBSTITUTE(A117," ",REPT(" ",LEN(A117))), (4-1)*LEN(A117)+1, LEN(A117)))</f>
        <v/>
      </c>
      <c r="C117" t="str">
        <f>IFERROR(VLOOKUP(A117,Processor_DB_Intel!$A$1:'Processor_DB_Intel'!$D$494,4,FALSE),"")</f>
        <v/>
      </c>
      <c r="D117" t="str">
        <f>IFERROR(LEFT(VLOOKUP(A117,Processor_DB_Intel!$A$1:'Processor_DB_Intel'!$F$494,6,FALSE),3),"")</f>
        <v/>
      </c>
      <c r="E117" s="73" t="str">
        <f>IF(O117 = 0,"",O117)</f>
        <v/>
      </c>
      <c r="F117" s="56" t="str">
        <f>IFERROR(E117/C117,"")</f>
        <v/>
      </c>
      <c r="G117" t="str">
        <f t="shared" si="2"/>
        <v/>
      </c>
      <c r="H117" t="str">
        <f t="shared" si="3"/>
        <v/>
      </c>
      <c r="I117" s="56" t="str">
        <f>IFERROR(E117/G117,"")</f>
        <v/>
      </c>
      <c r="J117" s="57" t="str">
        <f>IFERROR(1-(I117/$AC$3),"")</f>
        <v/>
      </c>
      <c r="L117">
        <f>MIN(SEARCH({0,1,2,3,4,5,6,7,8,9},K117&amp;"0123456789"))</f>
        <v>1</v>
      </c>
      <c r="M117" t="str">
        <f>LEFT(RIGHT(K117,LEN(K117)-L117+1),6)</f>
        <v/>
      </c>
      <c r="O117" s="70">
        <f>IFERROR(RIGHT(SUBSTITUTE(N117,"$",CHAR(9),2),LEN(N117)-FIND(CHAR(9),SUBSTITUTE(N117,"$",CHAR(9),2),1) ),N117)</f>
        <v>0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 t="str">
        <f t="shared" si="1"/>
        <v/>
      </c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</row>
    <row r="118" spans="2:123" hidden="1">
      <c r="B118" s="54" t="str">
        <f>TRIM(MID(SUBSTITUTE(A118," ",REPT(" ",LEN(A118))), (4-1)*LEN(A118)+1, LEN(A118)))</f>
        <v/>
      </c>
      <c r="C118" t="str">
        <f>IFERROR(VLOOKUP(A118,Processor_DB_Intel!$A$1:'Processor_DB_Intel'!$D$494,4,FALSE),"")</f>
        <v/>
      </c>
      <c r="D118" t="str">
        <f>IFERROR(LEFT(VLOOKUP(A118,Processor_DB_Intel!$A$1:'Processor_DB_Intel'!$F$494,6,FALSE),3),"")</f>
        <v/>
      </c>
      <c r="E118" s="73" t="str">
        <f>IF(O118 = 0,"",O118)</f>
        <v/>
      </c>
      <c r="F118" s="56" t="str">
        <f>IFERROR(E118/C118,"")</f>
        <v/>
      </c>
      <c r="G118" t="str">
        <f t="shared" si="2"/>
        <v/>
      </c>
      <c r="H118" t="str">
        <f t="shared" si="3"/>
        <v/>
      </c>
      <c r="I118" s="56" t="str">
        <f>IFERROR(E118/G118,"")</f>
        <v/>
      </c>
      <c r="J118" s="57" t="str">
        <f>IFERROR(1-(I118/$AC$3),"")</f>
        <v/>
      </c>
      <c r="L118">
        <f>MIN(SEARCH({0,1,2,3,4,5,6,7,8,9},K118&amp;"0123456789"))</f>
        <v>1</v>
      </c>
      <c r="M118" t="str">
        <f>LEFT(RIGHT(K118,LEN(K118)-L118+1),6)</f>
        <v/>
      </c>
      <c r="O118" s="70">
        <f>IFERROR(RIGHT(SUBSTITUTE(N118,"$",CHAR(9),2),LEN(N118)-FIND(CHAR(9),SUBSTITUTE(N118,"$",CHAR(9),2),1) ),N118)</f>
        <v>0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 t="str">
        <f t="shared" si="1"/>
        <v/>
      </c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</row>
    <row r="119" spans="2:123" hidden="1">
      <c r="B119" s="54" t="str">
        <f>TRIM(MID(SUBSTITUTE(A119," ",REPT(" ",LEN(A119))), (4-1)*LEN(A119)+1, LEN(A119)))</f>
        <v/>
      </c>
      <c r="C119" t="str">
        <f>IFERROR(VLOOKUP(A119,Processor_DB_Intel!$A$1:'Processor_DB_Intel'!$D$494,4,FALSE),"")</f>
        <v/>
      </c>
      <c r="D119" t="str">
        <f>IFERROR(LEFT(VLOOKUP(A119,Processor_DB_Intel!$A$1:'Processor_DB_Intel'!$F$494,6,FALSE),3),"")</f>
        <v/>
      </c>
      <c r="E119" s="73" t="str">
        <f>IF(O119 = 0,"",O119)</f>
        <v/>
      </c>
      <c r="F119" s="56" t="str">
        <f>IFERROR(E119/C119,"")</f>
        <v/>
      </c>
      <c r="G119" t="str">
        <f t="shared" si="2"/>
        <v/>
      </c>
      <c r="H119" t="str">
        <f t="shared" si="3"/>
        <v/>
      </c>
      <c r="I119" s="56" t="str">
        <f>IFERROR(E119/G119,"")</f>
        <v/>
      </c>
      <c r="J119" s="57" t="str">
        <f>IFERROR(1-(I119/$AC$3),"")</f>
        <v/>
      </c>
      <c r="L119">
        <f>MIN(SEARCH({0,1,2,3,4,5,6,7,8,9},K119&amp;"0123456789"))</f>
        <v>1</v>
      </c>
      <c r="M119" t="str">
        <f>LEFT(RIGHT(K119,LEN(K119)-L119+1),6)</f>
        <v/>
      </c>
      <c r="O119" s="70">
        <f>IFERROR(RIGHT(SUBSTITUTE(N119,"$",CHAR(9),2),LEN(N119)-FIND(CHAR(9),SUBSTITUTE(N119,"$",CHAR(9),2),1) ),N119)</f>
        <v>0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 t="str">
        <f t="shared" si="1"/>
        <v/>
      </c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</row>
    <row r="120" spans="2:123" hidden="1">
      <c r="B120" s="54" t="str">
        <f>TRIM(MID(SUBSTITUTE(A120," ",REPT(" ",LEN(A120))), (4-1)*LEN(A120)+1, LEN(A120)))</f>
        <v/>
      </c>
      <c r="C120" t="str">
        <f>IFERROR(VLOOKUP(A120,Processor_DB_Intel!$A$1:'Processor_DB_Intel'!$D$494,4,FALSE),"")</f>
        <v/>
      </c>
      <c r="D120" t="str">
        <f>IFERROR(LEFT(VLOOKUP(A120,Processor_DB_Intel!$A$1:'Processor_DB_Intel'!$F$494,6,FALSE),3),"")</f>
        <v/>
      </c>
      <c r="E120" s="73" t="str">
        <f>IF(O120 = 0,"",O120)</f>
        <v/>
      </c>
      <c r="F120" s="56" t="str">
        <f>IFERROR(E120/C120,"")</f>
        <v/>
      </c>
      <c r="G120" t="str">
        <f t="shared" si="2"/>
        <v/>
      </c>
      <c r="H120" t="str">
        <f t="shared" si="3"/>
        <v/>
      </c>
      <c r="I120" s="56" t="str">
        <f>IFERROR(E120/G120,"")</f>
        <v/>
      </c>
      <c r="J120" s="57" t="str">
        <f>IFERROR(1-(I120/$AC$3),"")</f>
        <v/>
      </c>
      <c r="L120">
        <f>MIN(SEARCH({0,1,2,3,4,5,6,7,8,9},K120&amp;"0123456789"))</f>
        <v>1</v>
      </c>
      <c r="M120" t="str">
        <f>LEFT(RIGHT(K120,LEN(K120)-L120+1),6)</f>
        <v/>
      </c>
      <c r="O120" s="70">
        <f>IFERROR(RIGHT(SUBSTITUTE(N120,"$",CHAR(9),2),LEN(N120)-FIND(CHAR(9),SUBSTITUTE(N120,"$",CHAR(9),2),1) ),N120)</f>
        <v>0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 t="str">
        <f t="shared" si="1"/>
        <v/>
      </c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</row>
    <row r="121" spans="2:123" hidden="1">
      <c r="B121" s="54" t="str">
        <f>TRIM(MID(SUBSTITUTE(A121," ",REPT(" ",LEN(A121))), (4-1)*LEN(A121)+1, LEN(A121)))</f>
        <v/>
      </c>
      <c r="C121" t="str">
        <f>IFERROR(VLOOKUP(A121,Processor_DB_Intel!$A$1:'Processor_DB_Intel'!$D$494,4,FALSE),"")</f>
        <v/>
      </c>
      <c r="D121" t="str">
        <f>IFERROR(LEFT(VLOOKUP(A121,Processor_DB_Intel!$A$1:'Processor_DB_Intel'!$F$494,6,FALSE),3),"")</f>
        <v/>
      </c>
      <c r="E121" s="73" t="str">
        <f>IF(O121 = 0,"",O121)</f>
        <v/>
      </c>
      <c r="F121" s="56" t="str">
        <f>IFERROR(E121/C121,"")</f>
        <v/>
      </c>
      <c r="G121" t="str">
        <f t="shared" si="2"/>
        <v/>
      </c>
      <c r="H121" t="str">
        <f t="shared" si="3"/>
        <v/>
      </c>
      <c r="I121" s="56" t="str">
        <f>IFERROR(E121/G121,"")</f>
        <v/>
      </c>
      <c r="J121" s="57" t="str">
        <f>IFERROR(1-(I121/$AC$3),"")</f>
        <v/>
      </c>
      <c r="L121">
        <f>MIN(SEARCH({0,1,2,3,4,5,6,7,8,9},K121&amp;"0123456789"))</f>
        <v>1</v>
      </c>
      <c r="M121" t="str">
        <f>LEFT(RIGHT(K121,LEN(K121)-L121+1),6)</f>
        <v/>
      </c>
      <c r="O121" s="70">
        <f>IFERROR(RIGHT(SUBSTITUTE(N121,"$",CHAR(9),2),LEN(N121)-FIND(CHAR(9),SUBSTITUTE(N121,"$",CHAR(9),2),1) ),N121)</f>
        <v>0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 t="str">
        <f t="shared" si="1"/>
        <v/>
      </c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</row>
    <row r="122" spans="2:123" hidden="1">
      <c r="B122" s="54" t="str">
        <f>TRIM(MID(SUBSTITUTE(A122," ",REPT(" ",LEN(A122))), (4-1)*LEN(A122)+1, LEN(A122)))</f>
        <v/>
      </c>
      <c r="C122" t="str">
        <f>IFERROR(VLOOKUP(A122,Processor_DB_Intel!$A$1:'Processor_DB_Intel'!$D$494,4,FALSE),"")</f>
        <v/>
      </c>
      <c r="D122" t="str">
        <f>IFERROR(LEFT(VLOOKUP(A122,Processor_DB_Intel!$A$1:'Processor_DB_Intel'!$F$494,6,FALSE),3),"")</f>
        <v/>
      </c>
      <c r="E122" s="73" t="str">
        <f>IF(O122 = 0,"",O122)</f>
        <v/>
      </c>
      <c r="F122" s="56" t="str">
        <f>IFERROR(E122/C122,"")</f>
        <v/>
      </c>
      <c r="G122" t="str">
        <f t="shared" si="2"/>
        <v/>
      </c>
      <c r="H122" t="str">
        <f t="shared" si="3"/>
        <v/>
      </c>
      <c r="I122" s="56" t="str">
        <f>IFERROR(E122/G122,"")</f>
        <v/>
      </c>
      <c r="J122" s="57" t="str">
        <f>IFERROR(1-(I122/$AC$3),"")</f>
        <v/>
      </c>
      <c r="L122">
        <f>MIN(SEARCH({0,1,2,3,4,5,6,7,8,9},K122&amp;"0123456789"))</f>
        <v>1</v>
      </c>
      <c r="M122" t="str">
        <f>LEFT(RIGHT(K122,LEN(K122)-L122+1),6)</f>
        <v/>
      </c>
      <c r="O122" s="70">
        <f>IFERROR(RIGHT(SUBSTITUTE(N122,"$",CHAR(9),2),LEN(N122)-FIND(CHAR(9),SUBSTITUTE(N122,"$",CHAR(9),2),1) ),N122)</f>
        <v>0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 t="str">
        <f t="shared" si="1"/>
        <v/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</row>
    <row r="123" spans="2:123" hidden="1">
      <c r="B123" s="54" t="str">
        <f>TRIM(MID(SUBSTITUTE(A123," ",REPT(" ",LEN(A123))), (4-1)*LEN(A123)+1, LEN(A123)))</f>
        <v/>
      </c>
      <c r="C123" t="str">
        <f>IFERROR(VLOOKUP(A123,Processor_DB_Intel!$A$1:'Processor_DB_Intel'!$D$494,4,FALSE),"")</f>
        <v/>
      </c>
      <c r="D123" t="str">
        <f>IFERROR(LEFT(VLOOKUP(A123,Processor_DB_Intel!$A$1:'Processor_DB_Intel'!$F$494,6,FALSE),3),"")</f>
        <v/>
      </c>
      <c r="E123" s="73" t="str">
        <f>IF(O123 = 0,"",O123)</f>
        <v/>
      </c>
      <c r="F123" s="56" t="str">
        <f>IFERROR(E123/C123,"")</f>
        <v/>
      </c>
      <c r="G123" t="str">
        <f t="shared" si="2"/>
        <v/>
      </c>
      <c r="H123" t="str">
        <f t="shared" si="3"/>
        <v/>
      </c>
      <c r="I123" s="56" t="str">
        <f>IFERROR(E123/G123,"")</f>
        <v/>
      </c>
      <c r="J123" s="57" t="str">
        <f>IFERROR(1-(I123/$AC$3),"")</f>
        <v/>
      </c>
      <c r="L123">
        <f>MIN(SEARCH({0,1,2,3,4,5,6,7,8,9},K123&amp;"0123456789"))</f>
        <v>1</v>
      </c>
      <c r="M123" t="str">
        <f>LEFT(RIGHT(K123,LEN(K123)-L123+1),6)</f>
        <v/>
      </c>
      <c r="O123" s="70">
        <f>IFERROR(RIGHT(SUBSTITUTE(N123,"$",CHAR(9),2),LEN(N123)-FIND(CHAR(9),SUBSTITUTE(N123,"$",CHAR(9),2),1) ),N123)</f>
        <v>0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 t="str">
        <f t="shared" si="1"/>
        <v/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</row>
    <row r="124" spans="2:123" hidden="1">
      <c r="B124" s="54" t="str">
        <f>TRIM(MID(SUBSTITUTE(A124," ",REPT(" ",LEN(A124))), (4-1)*LEN(A124)+1, LEN(A124)))</f>
        <v/>
      </c>
      <c r="C124" t="str">
        <f>IFERROR(VLOOKUP(A124,Processor_DB_Intel!$A$1:'Processor_DB_Intel'!$D$494,4,FALSE),"")</f>
        <v/>
      </c>
      <c r="D124" t="str">
        <f>IFERROR(LEFT(VLOOKUP(A124,Processor_DB_Intel!$A$1:'Processor_DB_Intel'!$F$494,6,FALSE),3),"")</f>
        <v/>
      </c>
      <c r="E124" s="73" t="str">
        <f>IF(O124 = 0,"",O124)</f>
        <v/>
      </c>
      <c r="F124" s="56" t="str">
        <f>IFERROR(E124/C124,"")</f>
        <v/>
      </c>
      <c r="G124" t="str">
        <f t="shared" si="2"/>
        <v/>
      </c>
      <c r="H124" t="str">
        <f t="shared" si="3"/>
        <v/>
      </c>
      <c r="I124" s="56" t="str">
        <f>IFERROR(E124/G124,"")</f>
        <v/>
      </c>
      <c r="J124" s="57" t="str">
        <f>IFERROR(1-(I124/$AC$3),"")</f>
        <v/>
      </c>
      <c r="L124">
        <f>MIN(SEARCH({0,1,2,3,4,5,6,7,8,9},K124&amp;"0123456789"))</f>
        <v>1</v>
      </c>
      <c r="M124" t="str">
        <f>LEFT(RIGHT(K124,LEN(K124)-L124+1),6)</f>
        <v/>
      </c>
      <c r="O124" s="70">
        <f>IFERROR(RIGHT(SUBSTITUTE(N124,"$",CHAR(9),2),LEN(N124)-FIND(CHAR(9),SUBSTITUTE(N124,"$",CHAR(9),2),1) ),N124)</f>
        <v>0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 t="str">
        <f t="shared" si="1"/>
        <v/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</row>
    <row r="125" spans="2:123" hidden="1">
      <c r="B125" s="54" t="str">
        <f>TRIM(MID(SUBSTITUTE(A125," ",REPT(" ",LEN(A125))), (4-1)*LEN(A125)+1, LEN(A125)))</f>
        <v/>
      </c>
      <c r="C125" t="str">
        <f>IFERROR(VLOOKUP(A125,Processor_DB_Intel!$A$1:'Processor_DB_Intel'!$D$494,4,FALSE),"")</f>
        <v/>
      </c>
      <c r="D125" t="str">
        <f>IFERROR(LEFT(VLOOKUP(A125,Processor_DB_Intel!$A$1:'Processor_DB_Intel'!$F$494,6,FALSE),3),"")</f>
        <v/>
      </c>
      <c r="E125" s="73" t="str">
        <f>IF(O125 = 0,"",O125)</f>
        <v/>
      </c>
      <c r="F125" s="56" t="str">
        <f>IFERROR(E125/C125,"")</f>
        <v/>
      </c>
      <c r="G125" t="str">
        <f t="shared" si="2"/>
        <v/>
      </c>
      <c r="H125" t="str">
        <f t="shared" si="3"/>
        <v/>
      </c>
      <c r="I125" s="56" t="str">
        <f>IFERROR(E125/G125,"")</f>
        <v/>
      </c>
      <c r="J125" s="57" t="str">
        <f>IFERROR(1-(I125/$AC$3),"")</f>
        <v/>
      </c>
      <c r="L125">
        <f>MIN(SEARCH({0,1,2,3,4,5,6,7,8,9},K125&amp;"0123456789"))</f>
        <v>1</v>
      </c>
      <c r="M125" t="str">
        <f>LEFT(RIGHT(K125,LEN(K125)-L125+1),6)</f>
        <v/>
      </c>
      <c r="O125" s="70">
        <f>IFERROR(RIGHT(SUBSTITUTE(N125,"$",CHAR(9),2),LEN(N125)-FIND(CHAR(9),SUBSTITUTE(N125,"$",CHAR(9),2),1) ),N125)</f>
        <v>0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 t="str">
        <f t="shared" si="1"/>
        <v/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</row>
    <row r="126" spans="2:123" hidden="1">
      <c r="B126" s="54" t="str">
        <f>TRIM(MID(SUBSTITUTE(A126," ",REPT(" ",LEN(A126))), (4-1)*LEN(A126)+1, LEN(A126)))</f>
        <v/>
      </c>
      <c r="C126" t="str">
        <f>IFERROR(VLOOKUP(A126,Processor_DB_Intel!$A$1:'Processor_DB_Intel'!$D$494,4,FALSE),"")</f>
        <v/>
      </c>
      <c r="D126" t="str">
        <f>IFERROR(LEFT(VLOOKUP(A126,Processor_DB_Intel!$A$1:'Processor_DB_Intel'!$F$494,6,FALSE),3),"")</f>
        <v/>
      </c>
      <c r="E126" s="73" t="str">
        <f>IF(O126 = 0,"",O126)</f>
        <v/>
      </c>
      <c r="F126" s="56" t="str">
        <f>IFERROR(E126/C126,"")</f>
        <v/>
      </c>
      <c r="G126" t="str">
        <f t="shared" si="2"/>
        <v/>
      </c>
      <c r="H126" t="str">
        <f t="shared" si="3"/>
        <v/>
      </c>
      <c r="I126" s="56" t="str">
        <f>IFERROR(E126/G126,"")</f>
        <v/>
      </c>
      <c r="J126" s="57" t="str">
        <f>IFERROR(1-(I126/$AC$3),"")</f>
        <v/>
      </c>
      <c r="L126">
        <f>MIN(SEARCH({0,1,2,3,4,5,6,7,8,9},K126&amp;"0123456789"))</f>
        <v>1</v>
      </c>
      <c r="M126" t="str">
        <f>LEFT(RIGHT(K126,LEN(K126)-L126+1),6)</f>
        <v/>
      </c>
      <c r="O126" s="70">
        <f>IFERROR(RIGHT(SUBSTITUTE(N126,"$",CHAR(9),2),LEN(N126)-FIND(CHAR(9),SUBSTITUTE(N126,"$",CHAR(9),2),1) ),N126)</f>
        <v>0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 t="str">
        <f t="shared" si="1"/>
        <v/>
      </c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</row>
    <row r="127" spans="2:123" hidden="1">
      <c r="B127" s="54" t="str">
        <f>TRIM(MID(SUBSTITUTE(A127," ",REPT(" ",LEN(A127))), (4-1)*LEN(A127)+1, LEN(A127)))</f>
        <v/>
      </c>
      <c r="C127" t="str">
        <f>IFERROR(VLOOKUP(A127,Processor_DB_Intel!$A$1:'Processor_DB_Intel'!$D$494,4,FALSE),"")</f>
        <v/>
      </c>
      <c r="D127" t="str">
        <f>IFERROR(LEFT(VLOOKUP(A127,Processor_DB_Intel!$A$1:'Processor_DB_Intel'!$F$494,6,FALSE),3),"")</f>
        <v/>
      </c>
      <c r="E127" s="73" t="str">
        <f>IF(O127 = 0,"",O127)</f>
        <v/>
      </c>
      <c r="F127" s="56" t="str">
        <f>IFERROR(E127/C127,"")</f>
        <v/>
      </c>
      <c r="G127" t="str">
        <f t="shared" si="2"/>
        <v/>
      </c>
      <c r="H127" t="str">
        <f t="shared" si="3"/>
        <v/>
      </c>
      <c r="I127" s="56" t="str">
        <f>IFERROR(E127/G127,"")</f>
        <v/>
      </c>
      <c r="J127" s="57" t="str">
        <f>IFERROR(1-(I127/$AC$3),"")</f>
        <v/>
      </c>
      <c r="L127">
        <f>MIN(SEARCH({0,1,2,3,4,5,6,7,8,9},K127&amp;"0123456789"))</f>
        <v>1</v>
      </c>
      <c r="M127" t="str">
        <f>LEFT(RIGHT(K127,LEN(K127)-L127+1),6)</f>
        <v/>
      </c>
      <c r="O127" s="70">
        <f>IFERROR(RIGHT(SUBSTITUTE(N127,"$",CHAR(9),2),LEN(N127)-FIND(CHAR(9),SUBSTITUTE(N127,"$",CHAR(9),2),1) ),N127)</f>
        <v>0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 t="str">
        <f t="shared" si="1"/>
        <v/>
      </c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</row>
    <row r="128" spans="2:123" hidden="1">
      <c r="B128" s="54" t="str">
        <f>TRIM(MID(SUBSTITUTE(A128," ",REPT(" ",LEN(A128))), (4-1)*LEN(A128)+1, LEN(A128)))</f>
        <v/>
      </c>
      <c r="C128" t="str">
        <f>IFERROR(VLOOKUP(A128,Processor_DB_Intel!$A$1:'Processor_DB_Intel'!$D$494,4,FALSE),"")</f>
        <v/>
      </c>
      <c r="D128" t="str">
        <f>IFERROR(LEFT(VLOOKUP(A128,Processor_DB_Intel!$A$1:'Processor_DB_Intel'!$F$494,6,FALSE),3),"")</f>
        <v/>
      </c>
      <c r="E128" s="73" t="str">
        <f>IF(O128 = 0,"",O128)</f>
        <v/>
      </c>
      <c r="F128" s="56" t="str">
        <f>IFERROR(E128/C128,"")</f>
        <v/>
      </c>
      <c r="G128" t="str">
        <f t="shared" si="2"/>
        <v/>
      </c>
      <c r="H128" t="str">
        <f t="shared" si="3"/>
        <v/>
      </c>
      <c r="I128" s="56" t="str">
        <f>IFERROR(E128/G128,"")</f>
        <v/>
      </c>
      <c r="J128" s="57" t="str">
        <f>IFERROR(1-(I128/$AC$3),"")</f>
        <v/>
      </c>
      <c r="L128">
        <f>MIN(SEARCH({0,1,2,3,4,5,6,7,8,9},K128&amp;"0123456789"))</f>
        <v>1</v>
      </c>
      <c r="M128" t="str">
        <f>LEFT(RIGHT(K128,LEN(K128)-L128+1),6)</f>
        <v/>
      </c>
      <c r="O128" s="70">
        <f>IFERROR(RIGHT(SUBSTITUTE(N128,"$",CHAR(9),2),LEN(N128)-FIND(CHAR(9),SUBSTITUTE(N128,"$",CHAR(9),2),1) ),N128)</f>
        <v>0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 t="str">
        <f t="shared" si="1"/>
        <v/>
      </c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</row>
    <row r="129" spans="2:123" hidden="1">
      <c r="B129" s="54" t="str">
        <f>TRIM(MID(SUBSTITUTE(A129," ",REPT(" ",LEN(A129))), (4-1)*LEN(A129)+1, LEN(A129)))</f>
        <v/>
      </c>
      <c r="C129" t="str">
        <f>IFERROR(VLOOKUP(A129,Processor_DB_Intel!$A$1:'Processor_DB_Intel'!$D$494,4,FALSE),"")</f>
        <v/>
      </c>
      <c r="D129" t="str">
        <f>IFERROR(LEFT(VLOOKUP(A129,Processor_DB_Intel!$A$1:'Processor_DB_Intel'!$F$494,6,FALSE),3),"")</f>
        <v/>
      </c>
      <c r="E129" s="73" t="str">
        <f>IF(O129 = 0,"",O129)</f>
        <v/>
      </c>
      <c r="F129" s="56" t="str">
        <f>IFERROR(E129/C129,"")</f>
        <v/>
      </c>
      <c r="G129" t="str">
        <f t="shared" si="2"/>
        <v/>
      </c>
      <c r="H129" t="str">
        <f t="shared" si="3"/>
        <v/>
      </c>
      <c r="I129" s="56" t="str">
        <f>IFERROR(E129/G129,"")</f>
        <v/>
      </c>
      <c r="J129" s="57" t="str">
        <f>IFERROR(1-(I129/$AC$3),"")</f>
        <v/>
      </c>
      <c r="L129">
        <f>MIN(SEARCH({0,1,2,3,4,5,6,7,8,9},K129&amp;"0123456789"))</f>
        <v>1</v>
      </c>
      <c r="M129" t="str">
        <f>LEFT(RIGHT(K129,LEN(K129)-L129+1),6)</f>
        <v/>
      </c>
      <c r="O129" s="70">
        <f>IFERROR(RIGHT(SUBSTITUTE(N129,"$",CHAR(9),2),LEN(N129)-FIND(CHAR(9),SUBSTITUTE(N129,"$",CHAR(9),2),1) ),N129)</f>
        <v>0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 t="str">
        <f t="shared" si="1"/>
        <v/>
      </c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</row>
    <row r="130" spans="2:123" hidden="1">
      <c r="B130" s="54" t="str">
        <f>TRIM(MID(SUBSTITUTE(A130," ",REPT(" ",LEN(A130))), (4-1)*LEN(A130)+1, LEN(A130)))</f>
        <v/>
      </c>
      <c r="C130" t="str">
        <f>IFERROR(VLOOKUP(A130,Processor_DB_Intel!$A$1:'Processor_DB_Intel'!$D$494,4,FALSE),"")</f>
        <v/>
      </c>
      <c r="D130" t="str">
        <f>IFERROR(LEFT(VLOOKUP(A130,Processor_DB_Intel!$A$1:'Processor_DB_Intel'!$F$494,6,FALSE),3),"")</f>
        <v/>
      </c>
      <c r="E130" s="73" t="str">
        <f>IF(O130 = 0,"",O130)</f>
        <v/>
      </c>
      <c r="F130" s="56" t="str">
        <f>IFERROR(E130/C130,"")</f>
        <v/>
      </c>
      <c r="G130" t="str">
        <f t="shared" si="2"/>
        <v/>
      </c>
      <c r="H130" t="str">
        <f t="shared" si="3"/>
        <v/>
      </c>
      <c r="I130" s="56" t="str">
        <f>IFERROR(E130/G130,"")</f>
        <v/>
      </c>
      <c r="J130" s="57" t="str">
        <f>IFERROR(1-(I130/$AC$3),"")</f>
        <v/>
      </c>
      <c r="L130">
        <f>MIN(SEARCH({0,1,2,3,4,5,6,7,8,9},K130&amp;"0123456789"))</f>
        <v>1</v>
      </c>
      <c r="M130" t="str">
        <f>LEFT(RIGHT(K130,LEN(K130)-L130+1),6)</f>
        <v/>
      </c>
      <c r="O130" s="70">
        <f>IFERROR(RIGHT(SUBSTITUTE(N130,"$",CHAR(9),2),LEN(N130)-FIND(CHAR(9),SUBSTITUTE(N130,"$",CHAR(9),2),1) ),N130)</f>
        <v>0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 t="str">
        <f t="shared" si="1"/>
        <v/>
      </c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</row>
    <row r="131" spans="2:123" hidden="1">
      <c r="B131" s="54" t="str">
        <f>TRIM(MID(SUBSTITUTE(A131," ",REPT(" ",LEN(A131))), (4-1)*LEN(A131)+1, LEN(A131)))</f>
        <v/>
      </c>
      <c r="C131" t="str">
        <f>IFERROR(VLOOKUP(A131,Processor_DB_Intel!$A$1:'Processor_DB_Intel'!$D$494,4,FALSE),"")</f>
        <v/>
      </c>
      <c r="D131" t="str">
        <f>IFERROR(LEFT(VLOOKUP(A131,Processor_DB_Intel!$A$1:'Processor_DB_Intel'!$F$494,6,FALSE),3),"")</f>
        <v/>
      </c>
      <c r="E131" s="73" t="str">
        <f>IF(O131 = 0,"",O131)</f>
        <v/>
      </c>
      <c r="F131" s="56" t="str">
        <f>IFERROR(E131/C131,"")</f>
        <v/>
      </c>
      <c r="G131" t="str">
        <f t="shared" si="2"/>
        <v/>
      </c>
      <c r="H131" t="str">
        <f t="shared" si="3"/>
        <v/>
      </c>
      <c r="I131" s="56" t="str">
        <f>IFERROR(E131/G131,"")</f>
        <v/>
      </c>
      <c r="J131" s="57" t="str">
        <f>IFERROR(1-(I131/$AC$3),"")</f>
        <v/>
      </c>
      <c r="L131">
        <f>MIN(SEARCH({0,1,2,3,4,5,6,7,8,9},K131&amp;"0123456789"))</f>
        <v>1</v>
      </c>
      <c r="M131" t="str">
        <f>LEFT(RIGHT(K131,LEN(K131)-L131+1),6)</f>
        <v/>
      </c>
      <c r="O131" s="70">
        <f>IFERROR(RIGHT(SUBSTITUTE(N131,"$",CHAR(9),2),LEN(N131)-FIND(CHAR(9),SUBSTITUTE(N131,"$",CHAR(9),2),1) ),N131)</f>
        <v>0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 t="str">
        <f t="shared" si="1"/>
        <v/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</row>
    <row r="132" spans="2:123" hidden="1">
      <c r="B132" s="54" t="str">
        <f>TRIM(MID(SUBSTITUTE(A132," ",REPT(" ",LEN(A132))), (4-1)*LEN(A132)+1, LEN(A132)))</f>
        <v/>
      </c>
      <c r="C132" t="str">
        <f>IFERROR(VLOOKUP(A132,Processor_DB_Intel!$A$1:'Processor_DB_Intel'!$D$494,4,FALSE),"")</f>
        <v/>
      </c>
      <c r="D132" t="str">
        <f>IFERROR(LEFT(VLOOKUP(A132,Processor_DB_Intel!$A$1:'Processor_DB_Intel'!$F$494,6,FALSE),3),"")</f>
        <v/>
      </c>
      <c r="E132" s="73" t="str">
        <f>IF(O132 = 0,"",O132)</f>
        <v/>
      </c>
      <c r="F132" s="56" t="str">
        <f>IFERROR(E132/C132,"")</f>
        <v/>
      </c>
      <c r="G132" t="str">
        <f t="shared" si="2"/>
        <v/>
      </c>
      <c r="H132" t="str">
        <f t="shared" si="3"/>
        <v/>
      </c>
      <c r="I132" s="56" t="str">
        <f>IFERROR(E132/G132,"")</f>
        <v/>
      </c>
      <c r="J132" s="57" t="str">
        <f>IFERROR(1-(I132/$AC$3),"")</f>
        <v/>
      </c>
      <c r="L132">
        <f>MIN(SEARCH({0,1,2,3,4,5,6,7,8,9},K132&amp;"0123456789"))</f>
        <v>1</v>
      </c>
      <c r="M132" t="str">
        <f>LEFT(RIGHT(K132,LEN(K132)-L132+1),6)</f>
        <v/>
      </c>
      <c r="O132" s="70">
        <f>IFERROR(RIGHT(SUBSTITUTE(N132,"$",CHAR(9),2),LEN(N132)-FIND(CHAR(9),SUBSTITUTE(N132,"$",CHAR(9),2),1) ),N132)</f>
        <v>0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 t="str">
        <f t="shared" si="1"/>
        <v/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</row>
    <row r="133" spans="2:123" hidden="1">
      <c r="B133" s="54" t="str">
        <f>TRIM(MID(SUBSTITUTE(A133," ",REPT(" ",LEN(A133))), (4-1)*LEN(A133)+1, LEN(A133)))</f>
        <v/>
      </c>
      <c r="C133" t="str">
        <f>IFERROR(VLOOKUP(A133,Processor_DB_Intel!$A$1:'Processor_DB_Intel'!$D$494,4,FALSE),"")</f>
        <v/>
      </c>
      <c r="D133" t="str">
        <f>IFERROR(LEFT(VLOOKUP(A133,Processor_DB_Intel!$A$1:'Processor_DB_Intel'!$F$494,6,FALSE),3),"")</f>
        <v/>
      </c>
      <c r="E133" s="73" t="str">
        <f>IF(O133 = 0,"",O133)</f>
        <v/>
      </c>
      <c r="F133" s="56" t="str">
        <f>IFERROR(E133/C133,"")</f>
        <v/>
      </c>
      <c r="G133" t="str">
        <f t="shared" si="2"/>
        <v/>
      </c>
      <c r="H133" t="str">
        <f t="shared" si="3"/>
        <v/>
      </c>
      <c r="I133" s="56" t="str">
        <f>IFERROR(E133/G133,"")</f>
        <v/>
      </c>
      <c r="J133" s="57" t="str">
        <f>IFERROR(1-(I133/$AC$3),"")</f>
        <v/>
      </c>
      <c r="L133">
        <f>MIN(SEARCH({0,1,2,3,4,5,6,7,8,9},K133&amp;"0123456789"))</f>
        <v>1</v>
      </c>
      <c r="M133" t="str">
        <f>LEFT(RIGHT(K133,LEN(K133)-L133+1),6)</f>
        <v/>
      </c>
      <c r="O133" s="70">
        <f>IFERROR(RIGHT(SUBSTITUTE(N133,"$",CHAR(9),2),LEN(N133)-FIND(CHAR(9),SUBSTITUTE(N133,"$",CHAR(9),2),1) ),N133)</f>
        <v>0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 t="str">
        <f t="shared" si="1"/>
        <v/>
      </c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</row>
    <row r="134" spans="2:123" hidden="1">
      <c r="B134" s="54" t="str">
        <f>TRIM(MID(SUBSTITUTE(A134," ",REPT(" ",LEN(A134))), (4-1)*LEN(A134)+1, LEN(A134)))</f>
        <v/>
      </c>
      <c r="C134" t="str">
        <f>IFERROR(VLOOKUP(A134,Processor_DB_Intel!$A$1:'Processor_DB_Intel'!$D$494,4,FALSE),"")</f>
        <v/>
      </c>
      <c r="D134" t="str">
        <f>IFERROR(LEFT(VLOOKUP(A134,Processor_DB_Intel!$A$1:'Processor_DB_Intel'!$F$494,6,FALSE),3),"")</f>
        <v/>
      </c>
      <c r="E134" s="73" t="str">
        <f>IF(O134 = 0,"",O134)</f>
        <v/>
      </c>
      <c r="F134" s="56" t="str">
        <f>IFERROR(E134/C134,"")</f>
        <v/>
      </c>
      <c r="G134" t="str">
        <f t="shared" si="2"/>
        <v/>
      </c>
      <c r="H134" t="str">
        <f t="shared" si="3"/>
        <v/>
      </c>
      <c r="I134" s="56" t="str">
        <f>IFERROR(E134/G134,"")</f>
        <v/>
      </c>
      <c r="J134" s="57" t="str">
        <f>IFERROR(1-(I134/$AC$3),"")</f>
        <v/>
      </c>
      <c r="L134">
        <f>MIN(SEARCH({0,1,2,3,4,5,6,7,8,9},K134&amp;"0123456789"))</f>
        <v>1</v>
      </c>
      <c r="M134" t="str">
        <f>LEFT(RIGHT(K134,LEN(K134)-L134+1),6)</f>
        <v/>
      </c>
      <c r="O134" s="70">
        <f>IFERROR(RIGHT(SUBSTITUTE(N134,"$",CHAR(9),2),LEN(N134)-FIND(CHAR(9),SUBSTITUTE(N134,"$",CHAR(9),2),1) ),N134)</f>
        <v>0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 t="str">
        <f t="shared" ref="AA134:AA197" si="4">_xlfn.IFNA(I134,0)</f>
        <v/>
      </c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</row>
    <row r="135" spans="2:123" hidden="1">
      <c r="B135" s="54" t="str">
        <f>TRIM(MID(SUBSTITUTE(A135," ",REPT(" ",LEN(A135))), (4-1)*LEN(A135)+1, LEN(A135)))</f>
        <v/>
      </c>
      <c r="C135" t="str">
        <f>IFERROR(VLOOKUP(A135,Processor_DB_Intel!$A$1:'Processor_DB_Intel'!$D$494,4,FALSE),"")</f>
        <v/>
      </c>
      <c r="D135" t="str">
        <f>IFERROR(LEFT(VLOOKUP(A135,Processor_DB_Intel!$A$1:'Processor_DB_Intel'!$F$494,6,FALSE),3),"")</f>
        <v/>
      </c>
      <c r="E135" s="73" t="str">
        <f>IF(O135 = 0,"",O135)</f>
        <v/>
      </c>
      <c r="F135" s="56" t="str">
        <f>IFERROR(E135/C135,"")</f>
        <v/>
      </c>
      <c r="G135" t="str">
        <f t="shared" si="2"/>
        <v/>
      </c>
      <c r="H135" t="str">
        <f t="shared" ref="H135:H198" si="5">IFERROR(G135*2,"")</f>
        <v/>
      </c>
      <c r="I135" s="56" t="str">
        <f>IFERROR(E135/G135,"")</f>
        <v/>
      </c>
      <c r="J135" s="57" t="str">
        <f>IFERROR(1-(I135/$AC$3),"")</f>
        <v/>
      </c>
      <c r="L135">
        <f>MIN(SEARCH({0,1,2,3,4,5,6,7,8,9},K135&amp;"0123456789"))</f>
        <v>1</v>
      </c>
      <c r="M135" t="str">
        <f>LEFT(RIGHT(K135,LEN(K135)-L135+1),6)</f>
        <v/>
      </c>
      <c r="O135" s="70">
        <f>IFERROR(RIGHT(SUBSTITUTE(N135,"$",CHAR(9),2),LEN(N135)-FIND(CHAR(9),SUBSTITUTE(N135,"$",CHAR(9),2),1) ),N135)</f>
        <v>0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 t="str">
        <f t="shared" si="4"/>
        <v/>
      </c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</row>
    <row r="136" spans="2:123" hidden="1">
      <c r="B136" s="54" t="str">
        <f>TRIM(MID(SUBSTITUTE(A136," ",REPT(" ",LEN(A136))), (4-1)*LEN(A136)+1, LEN(A136)))</f>
        <v/>
      </c>
      <c r="C136" t="str">
        <f>IFERROR(VLOOKUP(A136,Processor_DB_Intel!$A$1:'Processor_DB_Intel'!$D$494,4,FALSE),"")</f>
        <v/>
      </c>
      <c r="D136" t="str">
        <f>IFERROR(LEFT(VLOOKUP(A136,Processor_DB_Intel!$A$1:'Processor_DB_Intel'!$F$494,6,FALSE),3),"")</f>
        <v/>
      </c>
      <c r="E136" s="73" t="str">
        <f>IF(O136 = 0,"",O136)</f>
        <v/>
      </c>
      <c r="F136" s="56" t="str">
        <f>IFERROR(E136/C136,"")</f>
        <v/>
      </c>
      <c r="G136" t="str">
        <f t="shared" ref="G136:G199" si="6">IFERROR(C136*D136,"")</f>
        <v/>
      </c>
      <c r="H136" t="str">
        <f t="shared" si="5"/>
        <v/>
      </c>
      <c r="I136" s="56" t="str">
        <f>IFERROR(E136/G136,"")</f>
        <v/>
      </c>
      <c r="J136" s="57" t="str">
        <f>IFERROR(1-(I136/$AC$3),"")</f>
        <v/>
      </c>
      <c r="L136">
        <f>MIN(SEARCH({0,1,2,3,4,5,6,7,8,9},K136&amp;"0123456789"))</f>
        <v>1</v>
      </c>
      <c r="M136" t="str">
        <f>LEFT(RIGHT(K136,LEN(K136)-L136+1),6)</f>
        <v/>
      </c>
      <c r="O136" s="70">
        <f>IFERROR(RIGHT(SUBSTITUTE(N136,"$",CHAR(9),2),LEN(N136)-FIND(CHAR(9),SUBSTITUTE(N136,"$",CHAR(9),2),1) ),N136)</f>
        <v>0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 t="str">
        <f t="shared" si="4"/>
        <v/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</row>
    <row r="137" spans="2:123" hidden="1">
      <c r="B137" s="54" t="str">
        <f>TRIM(MID(SUBSTITUTE(A137," ",REPT(" ",LEN(A137))), (4-1)*LEN(A137)+1, LEN(A137)))</f>
        <v/>
      </c>
      <c r="C137" t="str">
        <f>IFERROR(VLOOKUP(A137,Processor_DB_Intel!$A$1:'Processor_DB_Intel'!$D$494,4,FALSE),"")</f>
        <v/>
      </c>
      <c r="D137" t="str">
        <f>IFERROR(LEFT(VLOOKUP(A137,Processor_DB_Intel!$A$1:'Processor_DB_Intel'!$F$494,6,FALSE),3),"")</f>
        <v/>
      </c>
      <c r="E137" s="73" t="str">
        <f>IF(O137 = 0,"",O137)</f>
        <v/>
      </c>
      <c r="F137" s="56" t="str">
        <f>IFERROR(E137/C137,"")</f>
        <v/>
      </c>
      <c r="G137" t="str">
        <f t="shared" si="6"/>
        <v/>
      </c>
      <c r="H137" t="str">
        <f t="shared" si="5"/>
        <v/>
      </c>
      <c r="I137" s="56" t="str">
        <f>IFERROR(E137/G137,"")</f>
        <v/>
      </c>
      <c r="J137" s="57" t="str">
        <f>IFERROR(1-(I137/$AC$3),"")</f>
        <v/>
      </c>
      <c r="L137">
        <f>MIN(SEARCH({0,1,2,3,4,5,6,7,8,9},K137&amp;"0123456789"))</f>
        <v>1</v>
      </c>
      <c r="M137" t="str">
        <f>LEFT(RIGHT(K137,LEN(K137)-L137+1),6)</f>
        <v/>
      </c>
      <c r="O137" s="70">
        <f>IFERROR(RIGHT(SUBSTITUTE(N137,"$",CHAR(9),2),LEN(N137)-FIND(CHAR(9),SUBSTITUTE(N137,"$",CHAR(9),2),1) ),N137)</f>
        <v>0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 t="str">
        <f t="shared" si="4"/>
        <v/>
      </c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</row>
    <row r="138" spans="2:123" hidden="1">
      <c r="B138" s="54" t="str">
        <f>TRIM(MID(SUBSTITUTE(A138," ",REPT(" ",LEN(A138))), (4-1)*LEN(A138)+1, LEN(A138)))</f>
        <v/>
      </c>
      <c r="C138" t="str">
        <f>IFERROR(VLOOKUP(A138,Processor_DB_Intel!$A$1:'Processor_DB_Intel'!$D$494,4,FALSE),"")</f>
        <v/>
      </c>
      <c r="D138" t="str">
        <f>IFERROR(LEFT(VLOOKUP(A138,Processor_DB_Intel!$A$1:'Processor_DB_Intel'!$F$494,6,FALSE),3),"")</f>
        <v/>
      </c>
      <c r="E138" s="73" t="str">
        <f>IF(O138 = 0,"",O138)</f>
        <v/>
      </c>
      <c r="F138" s="56" t="str">
        <f>IFERROR(E138/C138,"")</f>
        <v/>
      </c>
      <c r="G138" t="str">
        <f t="shared" si="6"/>
        <v/>
      </c>
      <c r="H138" t="str">
        <f t="shared" si="5"/>
        <v/>
      </c>
      <c r="I138" s="56" t="str">
        <f>IFERROR(E138/G138,"")</f>
        <v/>
      </c>
      <c r="J138" s="57" t="str">
        <f>IFERROR(1-(I138/$AC$3),"")</f>
        <v/>
      </c>
      <c r="L138">
        <f>MIN(SEARCH({0,1,2,3,4,5,6,7,8,9},K138&amp;"0123456789"))</f>
        <v>1</v>
      </c>
      <c r="M138" t="str">
        <f>LEFT(RIGHT(K138,LEN(K138)-L138+1),6)</f>
        <v/>
      </c>
      <c r="O138" s="70">
        <f>IFERROR(RIGHT(SUBSTITUTE(N138,"$",CHAR(9),2),LEN(N138)-FIND(CHAR(9),SUBSTITUTE(N138,"$",CHAR(9),2),1) ),N138)</f>
        <v>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 t="str">
        <f t="shared" si="4"/>
        <v/>
      </c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</row>
    <row r="139" spans="2:123" hidden="1">
      <c r="B139" s="54" t="str">
        <f>TRIM(MID(SUBSTITUTE(A139," ",REPT(" ",LEN(A139))), (4-1)*LEN(A139)+1, LEN(A139)))</f>
        <v/>
      </c>
      <c r="C139" t="str">
        <f>IFERROR(VLOOKUP(A139,Processor_DB_Intel!$A$1:'Processor_DB_Intel'!$D$494,4,FALSE),"")</f>
        <v/>
      </c>
      <c r="D139" t="str">
        <f>IFERROR(LEFT(VLOOKUP(A139,Processor_DB_Intel!$A$1:'Processor_DB_Intel'!$F$494,6,FALSE),3),"")</f>
        <v/>
      </c>
      <c r="E139" s="73" t="str">
        <f>IF(O139 = 0,"",O139)</f>
        <v/>
      </c>
      <c r="F139" s="56" t="str">
        <f>IFERROR(E139/C139,"")</f>
        <v/>
      </c>
      <c r="G139" t="str">
        <f t="shared" si="6"/>
        <v/>
      </c>
      <c r="H139" t="str">
        <f t="shared" si="5"/>
        <v/>
      </c>
      <c r="I139" s="56" t="str">
        <f>IFERROR(E139/G139,"")</f>
        <v/>
      </c>
      <c r="J139" s="57" t="str">
        <f>IFERROR(1-(I139/$AC$3),"")</f>
        <v/>
      </c>
      <c r="L139">
        <f>MIN(SEARCH({0,1,2,3,4,5,6,7,8,9},K139&amp;"0123456789"))</f>
        <v>1</v>
      </c>
      <c r="M139" t="str">
        <f>LEFT(RIGHT(K139,LEN(K139)-L139+1),6)</f>
        <v/>
      </c>
      <c r="O139" s="70">
        <f>IFERROR(RIGHT(SUBSTITUTE(N139,"$",CHAR(9),2),LEN(N139)-FIND(CHAR(9),SUBSTITUTE(N139,"$",CHAR(9),2),1) ),N139)</f>
        <v>0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 t="str">
        <f t="shared" si="4"/>
        <v/>
      </c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</row>
    <row r="140" spans="2:123" hidden="1">
      <c r="B140" s="54" t="str">
        <f>TRIM(MID(SUBSTITUTE(A140," ",REPT(" ",LEN(A140))), (4-1)*LEN(A140)+1, LEN(A140)))</f>
        <v/>
      </c>
      <c r="C140" t="str">
        <f>IFERROR(VLOOKUP(A140,Processor_DB_Intel!$A$1:'Processor_DB_Intel'!$D$494,4,FALSE),"")</f>
        <v/>
      </c>
      <c r="D140" t="str">
        <f>IFERROR(LEFT(VLOOKUP(A140,Processor_DB_Intel!$A$1:'Processor_DB_Intel'!$F$494,6,FALSE),3),"")</f>
        <v/>
      </c>
      <c r="E140" s="73" t="str">
        <f>IF(O140 = 0,"",O140)</f>
        <v/>
      </c>
      <c r="F140" s="56" t="str">
        <f>IFERROR(E140/C140,"")</f>
        <v/>
      </c>
      <c r="G140" t="str">
        <f t="shared" si="6"/>
        <v/>
      </c>
      <c r="H140" t="str">
        <f t="shared" si="5"/>
        <v/>
      </c>
      <c r="I140" s="56" t="str">
        <f>IFERROR(E140/G140,"")</f>
        <v/>
      </c>
      <c r="J140" s="57" t="str">
        <f>IFERROR(1-(I140/$AC$3),"")</f>
        <v/>
      </c>
      <c r="L140">
        <f>MIN(SEARCH({0,1,2,3,4,5,6,7,8,9},K140&amp;"0123456789"))</f>
        <v>1</v>
      </c>
      <c r="M140" t="str">
        <f>LEFT(RIGHT(K140,LEN(K140)-L140+1),6)</f>
        <v/>
      </c>
      <c r="O140" s="70">
        <f>IFERROR(RIGHT(SUBSTITUTE(N140,"$",CHAR(9),2),LEN(N140)-FIND(CHAR(9),SUBSTITUTE(N140,"$",CHAR(9),2),1) ),N140)</f>
        <v>0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 t="str">
        <f t="shared" si="4"/>
        <v/>
      </c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</row>
    <row r="141" spans="2:123" hidden="1">
      <c r="B141" s="54" t="str">
        <f>TRIM(MID(SUBSTITUTE(A141," ",REPT(" ",LEN(A141))), (4-1)*LEN(A141)+1, LEN(A141)))</f>
        <v/>
      </c>
      <c r="C141" t="str">
        <f>IFERROR(VLOOKUP(A141,Processor_DB_Intel!$A$1:'Processor_DB_Intel'!$D$494,4,FALSE),"")</f>
        <v/>
      </c>
      <c r="D141" t="str">
        <f>IFERROR(LEFT(VLOOKUP(A141,Processor_DB_Intel!$A$1:'Processor_DB_Intel'!$F$494,6,FALSE),3),"")</f>
        <v/>
      </c>
      <c r="E141" s="73" t="str">
        <f>IF(O141 = 0,"",O141)</f>
        <v/>
      </c>
      <c r="F141" s="56" t="str">
        <f>IFERROR(E141/C141,"")</f>
        <v/>
      </c>
      <c r="G141" t="str">
        <f t="shared" si="6"/>
        <v/>
      </c>
      <c r="H141" t="str">
        <f t="shared" si="5"/>
        <v/>
      </c>
      <c r="I141" s="56" t="str">
        <f>IFERROR(E141/G141,"")</f>
        <v/>
      </c>
      <c r="J141" s="57" t="str">
        <f>IFERROR(1-(I141/$AC$3),"")</f>
        <v/>
      </c>
      <c r="L141">
        <f>MIN(SEARCH({0,1,2,3,4,5,6,7,8,9},K141&amp;"0123456789"))</f>
        <v>1</v>
      </c>
      <c r="M141" t="str">
        <f>LEFT(RIGHT(K141,LEN(K141)-L141+1),6)</f>
        <v/>
      </c>
      <c r="O141" s="70">
        <f>IFERROR(RIGHT(SUBSTITUTE(N141,"$",CHAR(9),2),LEN(N141)-FIND(CHAR(9),SUBSTITUTE(N141,"$",CHAR(9),2),1) ),N141)</f>
        <v>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 t="str">
        <f t="shared" si="4"/>
        <v/>
      </c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</row>
    <row r="142" spans="2:123" hidden="1">
      <c r="B142" s="54" t="str">
        <f>TRIM(MID(SUBSTITUTE(A142," ",REPT(" ",LEN(A142))), (4-1)*LEN(A142)+1, LEN(A142)))</f>
        <v/>
      </c>
      <c r="C142" t="str">
        <f>IFERROR(VLOOKUP(A142,Processor_DB_Intel!$A$1:'Processor_DB_Intel'!$D$494,4,FALSE),"")</f>
        <v/>
      </c>
      <c r="D142" t="str">
        <f>IFERROR(LEFT(VLOOKUP(A142,Processor_DB_Intel!$A$1:'Processor_DB_Intel'!$F$494,6,FALSE),3),"")</f>
        <v/>
      </c>
      <c r="E142" s="73" t="str">
        <f>IF(O142 = 0,"",O142)</f>
        <v/>
      </c>
      <c r="F142" s="56" t="str">
        <f>IFERROR(E142/C142,"")</f>
        <v/>
      </c>
      <c r="G142" t="str">
        <f t="shared" si="6"/>
        <v/>
      </c>
      <c r="H142" t="str">
        <f t="shared" si="5"/>
        <v/>
      </c>
      <c r="I142" s="56" t="str">
        <f>IFERROR(E142/G142,"")</f>
        <v/>
      </c>
      <c r="J142" s="57" t="str">
        <f>IFERROR(1-(I142/$AC$3),"")</f>
        <v/>
      </c>
      <c r="L142">
        <f>MIN(SEARCH({0,1,2,3,4,5,6,7,8,9},K142&amp;"0123456789"))</f>
        <v>1</v>
      </c>
      <c r="M142" t="str">
        <f>LEFT(RIGHT(K142,LEN(K142)-L142+1),6)</f>
        <v/>
      </c>
      <c r="O142" s="70">
        <f>IFERROR(RIGHT(SUBSTITUTE(N142,"$",CHAR(9),2),LEN(N142)-FIND(CHAR(9),SUBSTITUTE(N142,"$",CHAR(9),2),1) ),N142)</f>
        <v>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 t="str">
        <f t="shared" si="4"/>
        <v/>
      </c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</row>
    <row r="143" spans="2:123" hidden="1">
      <c r="B143" s="54" t="str">
        <f>TRIM(MID(SUBSTITUTE(A143," ",REPT(" ",LEN(A143))), (4-1)*LEN(A143)+1, LEN(A143)))</f>
        <v/>
      </c>
      <c r="C143" t="str">
        <f>IFERROR(VLOOKUP(A143,Processor_DB_Intel!$A$1:'Processor_DB_Intel'!$D$494,4,FALSE),"")</f>
        <v/>
      </c>
      <c r="D143" t="str">
        <f>IFERROR(LEFT(VLOOKUP(A143,Processor_DB_Intel!$A$1:'Processor_DB_Intel'!$F$494,6,FALSE),3),"")</f>
        <v/>
      </c>
      <c r="E143" s="73" t="str">
        <f>IF(O143 = 0,"",O143)</f>
        <v/>
      </c>
      <c r="F143" s="56" t="str">
        <f>IFERROR(E143/C143,"")</f>
        <v/>
      </c>
      <c r="G143" t="str">
        <f t="shared" si="6"/>
        <v/>
      </c>
      <c r="H143" t="str">
        <f t="shared" si="5"/>
        <v/>
      </c>
      <c r="I143" s="56" t="str">
        <f>IFERROR(E143/G143,"")</f>
        <v/>
      </c>
      <c r="J143" s="57" t="str">
        <f>IFERROR(1-(I143/$AC$3),"")</f>
        <v/>
      </c>
      <c r="L143">
        <f>MIN(SEARCH({0,1,2,3,4,5,6,7,8,9},K143&amp;"0123456789"))</f>
        <v>1</v>
      </c>
      <c r="M143" t="str">
        <f>LEFT(RIGHT(K143,LEN(K143)-L143+1),6)</f>
        <v/>
      </c>
      <c r="O143" s="70">
        <f>IFERROR(RIGHT(SUBSTITUTE(N143,"$",CHAR(9),2),LEN(N143)-FIND(CHAR(9),SUBSTITUTE(N143,"$",CHAR(9),2),1) ),N143)</f>
        <v>0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 t="str">
        <f t="shared" si="4"/>
        <v/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</row>
    <row r="144" spans="2:123" hidden="1">
      <c r="B144" s="54" t="str">
        <f>TRIM(MID(SUBSTITUTE(A144," ",REPT(" ",LEN(A144))), (4-1)*LEN(A144)+1, LEN(A144)))</f>
        <v/>
      </c>
      <c r="C144" t="str">
        <f>IFERROR(VLOOKUP(A144,Processor_DB_Intel!$A$1:'Processor_DB_Intel'!$D$494,4,FALSE),"")</f>
        <v/>
      </c>
      <c r="D144" t="str">
        <f>IFERROR(LEFT(VLOOKUP(A144,Processor_DB_Intel!$A$1:'Processor_DB_Intel'!$F$494,6,FALSE),3),"")</f>
        <v/>
      </c>
      <c r="E144" s="73" t="str">
        <f>IF(O144 = 0,"",O144)</f>
        <v/>
      </c>
      <c r="F144" s="56" t="str">
        <f>IFERROR(E144/C144,"")</f>
        <v/>
      </c>
      <c r="G144" t="str">
        <f t="shared" si="6"/>
        <v/>
      </c>
      <c r="H144" t="str">
        <f t="shared" si="5"/>
        <v/>
      </c>
      <c r="I144" s="56" t="str">
        <f>IFERROR(E144/G144,"")</f>
        <v/>
      </c>
      <c r="J144" s="57" t="str">
        <f>IFERROR(1-(I144/$AC$3),"")</f>
        <v/>
      </c>
      <c r="L144">
        <f>MIN(SEARCH({0,1,2,3,4,5,6,7,8,9},K144&amp;"0123456789"))</f>
        <v>1</v>
      </c>
      <c r="M144" t="str">
        <f>LEFT(RIGHT(K144,LEN(K144)-L144+1),6)</f>
        <v/>
      </c>
      <c r="O144" s="70">
        <f>IFERROR(RIGHT(SUBSTITUTE(N144,"$",CHAR(9),2),LEN(N144)-FIND(CHAR(9),SUBSTITUTE(N144,"$",CHAR(9),2),1) ),N144)</f>
        <v>0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 t="str">
        <f t="shared" si="4"/>
        <v/>
      </c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</row>
    <row r="145" spans="2:123" hidden="1">
      <c r="B145" s="54" t="str">
        <f>TRIM(MID(SUBSTITUTE(A145," ",REPT(" ",LEN(A145))), (4-1)*LEN(A145)+1, LEN(A145)))</f>
        <v/>
      </c>
      <c r="C145" t="str">
        <f>IFERROR(VLOOKUP(A145,Processor_DB_Intel!$A$1:'Processor_DB_Intel'!$D$494,4,FALSE),"")</f>
        <v/>
      </c>
      <c r="D145" t="str">
        <f>IFERROR(LEFT(VLOOKUP(A145,Processor_DB_Intel!$A$1:'Processor_DB_Intel'!$F$494,6,FALSE),3),"")</f>
        <v/>
      </c>
      <c r="E145" s="73" t="str">
        <f>IF(O145 = 0,"",O145)</f>
        <v/>
      </c>
      <c r="F145" s="56" t="str">
        <f>IFERROR(E145/C145,"")</f>
        <v/>
      </c>
      <c r="G145" t="str">
        <f t="shared" si="6"/>
        <v/>
      </c>
      <c r="H145" t="str">
        <f t="shared" si="5"/>
        <v/>
      </c>
      <c r="I145" s="56" t="str">
        <f>IFERROR(E145/G145,"")</f>
        <v/>
      </c>
      <c r="J145" s="57" t="str">
        <f>IFERROR(1-(I145/$AC$3),"")</f>
        <v/>
      </c>
      <c r="L145">
        <f>MIN(SEARCH({0,1,2,3,4,5,6,7,8,9},K145&amp;"0123456789"))</f>
        <v>1</v>
      </c>
      <c r="M145" t="str">
        <f>LEFT(RIGHT(K145,LEN(K145)-L145+1),6)</f>
        <v/>
      </c>
      <c r="O145" s="70">
        <f>IFERROR(RIGHT(SUBSTITUTE(N145,"$",CHAR(9),2),LEN(N145)-FIND(CHAR(9),SUBSTITUTE(N145,"$",CHAR(9),2),1) ),N145)</f>
        <v>0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 t="str">
        <f t="shared" si="4"/>
        <v/>
      </c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</row>
    <row r="146" spans="2:123" hidden="1">
      <c r="B146" s="54" t="str">
        <f>TRIM(MID(SUBSTITUTE(A146," ",REPT(" ",LEN(A146))), (4-1)*LEN(A146)+1, LEN(A146)))</f>
        <v/>
      </c>
      <c r="C146" t="str">
        <f>IFERROR(VLOOKUP(A146,Processor_DB_Intel!$A$1:'Processor_DB_Intel'!$D$494,4,FALSE),"")</f>
        <v/>
      </c>
      <c r="D146" t="str">
        <f>IFERROR(LEFT(VLOOKUP(A146,Processor_DB_Intel!$A$1:'Processor_DB_Intel'!$F$494,6,FALSE),3),"")</f>
        <v/>
      </c>
      <c r="E146" s="73" t="str">
        <f>IF(O146 = 0,"",O146)</f>
        <v/>
      </c>
      <c r="F146" s="56" t="str">
        <f>IFERROR(E146/C146,"")</f>
        <v/>
      </c>
      <c r="G146" t="str">
        <f t="shared" si="6"/>
        <v/>
      </c>
      <c r="H146" t="str">
        <f t="shared" si="5"/>
        <v/>
      </c>
      <c r="I146" s="56" t="str">
        <f>IFERROR(E146/G146,"")</f>
        <v/>
      </c>
      <c r="J146" s="57" t="str">
        <f>IFERROR(1-(I146/$AC$3),"")</f>
        <v/>
      </c>
      <c r="L146">
        <f>MIN(SEARCH({0,1,2,3,4,5,6,7,8,9},K146&amp;"0123456789"))</f>
        <v>1</v>
      </c>
      <c r="M146" t="str">
        <f>LEFT(RIGHT(K146,LEN(K146)-L146+1),6)</f>
        <v/>
      </c>
      <c r="O146" s="70">
        <f>IFERROR(RIGHT(SUBSTITUTE(N146,"$",CHAR(9),2),LEN(N146)-FIND(CHAR(9),SUBSTITUTE(N146,"$",CHAR(9),2),1) ),N146)</f>
        <v>0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 t="str">
        <f t="shared" si="4"/>
        <v/>
      </c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</row>
    <row r="147" spans="2:123" hidden="1">
      <c r="B147" s="54" t="str">
        <f>TRIM(MID(SUBSTITUTE(A147," ",REPT(" ",LEN(A147))), (4-1)*LEN(A147)+1, LEN(A147)))</f>
        <v/>
      </c>
      <c r="C147" t="str">
        <f>IFERROR(VLOOKUP(A147,Processor_DB_Intel!$A$1:'Processor_DB_Intel'!$D$494,4,FALSE),"")</f>
        <v/>
      </c>
      <c r="D147" t="str">
        <f>IFERROR(LEFT(VLOOKUP(A147,Processor_DB_Intel!$A$1:'Processor_DB_Intel'!$F$494,6,FALSE),3),"")</f>
        <v/>
      </c>
      <c r="E147" s="73" t="str">
        <f>IF(O147 = 0,"",O147)</f>
        <v/>
      </c>
      <c r="F147" s="56" t="str">
        <f>IFERROR(E147/C147,"")</f>
        <v/>
      </c>
      <c r="G147" t="str">
        <f t="shared" si="6"/>
        <v/>
      </c>
      <c r="H147" t="str">
        <f t="shared" si="5"/>
        <v/>
      </c>
      <c r="I147" s="56" t="str">
        <f>IFERROR(E147/G147,"")</f>
        <v/>
      </c>
      <c r="J147" s="57" t="str">
        <f>IFERROR(1-(I147/$AC$3),"")</f>
        <v/>
      </c>
      <c r="L147">
        <f>MIN(SEARCH({0,1,2,3,4,5,6,7,8,9},K147&amp;"0123456789"))</f>
        <v>1</v>
      </c>
      <c r="M147" t="str">
        <f>LEFT(RIGHT(K147,LEN(K147)-L147+1),6)</f>
        <v/>
      </c>
      <c r="O147" s="70">
        <f>IFERROR(RIGHT(SUBSTITUTE(N147,"$",CHAR(9),2),LEN(N147)-FIND(CHAR(9),SUBSTITUTE(N147,"$",CHAR(9),2),1) ),N147)</f>
        <v>0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 t="str">
        <f t="shared" si="4"/>
        <v/>
      </c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</row>
    <row r="148" spans="2:123" hidden="1">
      <c r="B148" s="54" t="str">
        <f>TRIM(MID(SUBSTITUTE(A148," ",REPT(" ",LEN(A148))), (4-1)*LEN(A148)+1, LEN(A148)))</f>
        <v/>
      </c>
      <c r="C148" t="str">
        <f>IFERROR(VLOOKUP(A148,Processor_DB_Intel!$A$1:'Processor_DB_Intel'!$D$494,4,FALSE),"")</f>
        <v/>
      </c>
      <c r="D148" t="str">
        <f>IFERROR(LEFT(VLOOKUP(A148,Processor_DB_Intel!$A$1:'Processor_DB_Intel'!$F$494,6,FALSE),3),"")</f>
        <v/>
      </c>
      <c r="E148" s="73" t="str">
        <f>IF(O148 = 0,"",O148)</f>
        <v/>
      </c>
      <c r="F148" s="56" t="str">
        <f>IFERROR(E148/C148,"")</f>
        <v/>
      </c>
      <c r="G148" t="str">
        <f t="shared" si="6"/>
        <v/>
      </c>
      <c r="H148" t="str">
        <f t="shared" si="5"/>
        <v/>
      </c>
      <c r="I148" s="56" t="str">
        <f>IFERROR(E148/G148,"")</f>
        <v/>
      </c>
      <c r="J148" s="57" t="str">
        <f>IFERROR(1-(I148/$AC$3),"")</f>
        <v/>
      </c>
      <c r="L148">
        <f>MIN(SEARCH({0,1,2,3,4,5,6,7,8,9},K148&amp;"0123456789"))</f>
        <v>1</v>
      </c>
      <c r="M148" t="str">
        <f>LEFT(RIGHT(K148,LEN(K148)-L148+1),6)</f>
        <v/>
      </c>
      <c r="O148" s="70">
        <f>IFERROR(RIGHT(SUBSTITUTE(N148,"$",CHAR(9),2),LEN(N148)-FIND(CHAR(9),SUBSTITUTE(N148,"$",CHAR(9),2),1) ),N148)</f>
        <v>0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 t="str">
        <f t="shared" si="4"/>
        <v/>
      </c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</row>
    <row r="149" spans="2:123" hidden="1">
      <c r="B149" s="54" t="str">
        <f>TRIM(MID(SUBSTITUTE(A149," ",REPT(" ",LEN(A149))), (4-1)*LEN(A149)+1, LEN(A149)))</f>
        <v/>
      </c>
      <c r="C149" t="str">
        <f>IFERROR(VLOOKUP(A149,Processor_DB_Intel!$A$1:'Processor_DB_Intel'!$D$494,4,FALSE),"")</f>
        <v/>
      </c>
      <c r="D149" t="str">
        <f>IFERROR(LEFT(VLOOKUP(A149,Processor_DB_Intel!$A$1:'Processor_DB_Intel'!$F$494,6,FALSE),3),"")</f>
        <v/>
      </c>
      <c r="E149" s="73" t="str">
        <f>IF(O149 = 0,"",O149)</f>
        <v/>
      </c>
      <c r="F149" s="56" t="str">
        <f>IFERROR(E149/C149,"")</f>
        <v/>
      </c>
      <c r="G149" t="str">
        <f t="shared" si="6"/>
        <v/>
      </c>
      <c r="H149" t="str">
        <f t="shared" si="5"/>
        <v/>
      </c>
      <c r="I149" s="56" t="str">
        <f>IFERROR(E149/G149,"")</f>
        <v/>
      </c>
      <c r="J149" s="57" t="str">
        <f>IFERROR(1-(I149/$AC$3),"")</f>
        <v/>
      </c>
      <c r="L149">
        <f>MIN(SEARCH({0,1,2,3,4,5,6,7,8,9},K149&amp;"0123456789"))</f>
        <v>1</v>
      </c>
      <c r="M149" t="str">
        <f>LEFT(RIGHT(K149,LEN(K149)-L149+1),6)</f>
        <v/>
      </c>
      <c r="O149" s="70">
        <f>IFERROR(RIGHT(SUBSTITUTE(N149,"$",CHAR(9),2),LEN(N149)-FIND(CHAR(9),SUBSTITUTE(N149,"$",CHAR(9),2),1) ),N149)</f>
        <v>0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 t="str">
        <f t="shared" si="4"/>
        <v/>
      </c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</row>
    <row r="150" spans="2:123" hidden="1">
      <c r="B150" s="54" t="str">
        <f>TRIM(MID(SUBSTITUTE(A150," ",REPT(" ",LEN(A150))), (4-1)*LEN(A150)+1, LEN(A150)))</f>
        <v/>
      </c>
      <c r="C150" t="str">
        <f>IFERROR(VLOOKUP(A150,Processor_DB_Intel!$A$1:'Processor_DB_Intel'!$D$494,4,FALSE),"")</f>
        <v/>
      </c>
      <c r="D150" t="str">
        <f>IFERROR(LEFT(VLOOKUP(A150,Processor_DB_Intel!$A$1:'Processor_DB_Intel'!$F$494,6,FALSE),3),"")</f>
        <v/>
      </c>
      <c r="E150" s="73" t="str">
        <f>IF(O150 = 0,"",O150)</f>
        <v/>
      </c>
      <c r="F150" s="56" t="str">
        <f>IFERROR(E150/C150,"")</f>
        <v/>
      </c>
      <c r="G150" t="str">
        <f t="shared" si="6"/>
        <v/>
      </c>
      <c r="H150" t="str">
        <f t="shared" si="5"/>
        <v/>
      </c>
      <c r="I150" s="56" t="str">
        <f>IFERROR(E150/G150,"")</f>
        <v/>
      </c>
      <c r="J150" s="57" t="str">
        <f>IFERROR(1-(I150/$AC$3),"")</f>
        <v/>
      </c>
      <c r="L150">
        <f>MIN(SEARCH({0,1,2,3,4,5,6,7,8,9},K150&amp;"0123456789"))</f>
        <v>1</v>
      </c>
      <c r="M150" t="str">
        <f>LEFT(RIGHT(K150,LEN(K150)-L150+1),6)</f>
        <v/>
      </c>
      <c r="O150" s="70">
        <f>IFERROR(RIGHT(SUBSTITUTE(N150,"$",CHAR(9),2),LEN(N150)-FIND(CHAR(9),SUBSTITUTE(N150,"$",CHAR(9),2),1) ),N150)</f>
        <v>0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 t="str">
        <f t="shared" si="4"/>
        <v/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</row>
    <row r="151" spans="2:123" hidden="1">
      <c r="B151" s="54" t="str">
        <f>TRIM(MID(SUBSTITUTE(A151," ",REPT(" ",LEN(A151))), (4-1)*LEN(A151)+1, LEN(A151)))</f>
        <v/>
      </c>
      <c r="C151" t="str">
        <f>IFERROR(VLOOKUP(A151,Processor_DB_Intel!$A$1:'Processor_DB_Intel'!$D$494,4,FALSE),"")</f>
        <v/>
      </c>
      <c r="D151" t="str">
        <f>IFERROR(LEFT(VLOOKUP(A151,Processor_DB_Intel!$A$1:'Processor_DB_Intel'!$F$494,6,FALSE),3),"")</f>
        <v/>
      </c>
      <c r="E151" s="73" t="str">
        <f>IF(O151 = 0,"",O151)</f>
        <v/>
      </c>
      <c r="F151" s="56" t="str">
        <f>IFERROR(E151/C151,"")</f>
        <v/>
      </c>
      <c r="G151" t="str">
        <f t="shared" si="6"/>
        <v/>
      </c>
      <c r="H151" t="str">
        <f t="shared" si="5"/>
        <v/>
      </c>
      <c r="I151" s="56" t="str">
        <f>IFERROR(E151/G151,"")</f>
        <v/>
      </c>
      <c r="J151" s="57" t="str">
        <f>IFERROR(1-(I151/$AC$3),"")</f>
        <v/>
      </c>
      <c r="L151">
        <f>MIN(SEARCH({0,1,2,3,4,5,6,7,8,9},K151&amp;"0123456789"))</f>
        <v>1</v>
      </c>
      <c r="M151" t="str">
        <f>LEFT(RIGHT(K151,LEN(K151)-L151+1),6)</f>
        <v/>
      </c>
      <c r="O151" s="70">
        <f>IFERROR(RIGHT(SUBSTITUTE(N151,"$",CHAR(9),2),LEN(N151)-FIND(CHAR(9),SUBSTITUTE(N151,"$",CHAR(9),2),1) ),N151)</f>
        <v>0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 t="str">
        <f t="shared" si="4"/>
        <v/>
      </c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</row>
    <row r="152" spans="2:123" hidden="1">
      <c r="B152" s="54" t="str">
        <f>TRIM(MID(SUBSTITUTE(A152," ",REPT(" ",LEN(A152))), (4-1)*LEN(A152)+1, LEN(A152)))</f>
        <v/>
      </c>
      <c r="C152" t="str">
        <f>IFERROR(VLOOKUP(A152,Processor_DB_Intel!$A$1:'Processor_DB_Intel'!$D$494,4,FALSE),"")</f>
        <v/>
      </c>
      <c r="D152" t="str">
        <f>IFERROR(LEFT(VLOOKUP(A152,Processor_DB_Intel!$A$1:'Processor_DB_Intel'!$F$494,6,FALSE),3),"")</f>
        <v/>
      </c>
      <c r="E152" s="73" t="str">
        <f>IF(O152 = 0,"",O152)</f>
        <v/>
      </c>
      <c r="F152" s="56" t="str">
        <f>IFERROR(E152/C152,"")</f>
        <v/>
      </c>
      <c r="G152" t="str">
        <f t="shared" si="6"/>
        <v/>
      </c>
      <c r="H152" t="str">
        <f t="shared" si="5"/>
        <v/>
      </c>
      <c r="I152" s="56" t="str">
        <f>IFERROR(E152/G152,"")</f>
        <v/>
      </c>
      <c r="J152" s="57" t="str">
        <f>IFERROR(1-(I152/$AC$3),"")</f>
        <v/>
      </c>
      <c r="L152">
        <f>MIN(SEARCH({0,1,2,3,4,5,6,7,8,9},K152&amp;"0123456789"))</f>
        <v>1</v>
      </c>
      <c r="M152" t="str">
        <f>LEFT(RIGHT(K152,LEN(K152)-L152+1),6)</f>
        <v/>
      </c>
      <c r="O152" s="70">
        <f>IFERROR(RIGHT(SUBSTITUTE(N152,"$",CHAR(9),2),LEN(N152)-FIND(CHAR(9),SUBSTITUTE(N152,"$",CHAR(9),2),1) ),N152)</f>
        <v>0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 t="str">
        <f t="shared" si="4"/>
        <v/>
      </c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</row>
    <row r="153" spans="2:123" hidden="1">
      <c r="B153" s="54" t="str">
        <f>TRIM(MID(SUBSTITUTE(A153," ",REPT(" ",LEN(A153))), (4-1)*LEN(A153)+1, LEN(A153)))</f>
        <v/>
      </c>
      <c r="C153" t="str">
        <f>IFERROR(VLOOKUP(A153,Processor_DB_Intel!$A$1:'Processor_DB_Intel'!$D$494,4,FALSE),"")</f>
        <v/>
      </c>
      <c r="D153" t="str">
        <f>IFERROR(LEFT(VLOOKUP(A153,Processor_DB_Intel!$A$1:'Processor_DB_Intel'!$F$494,6,FALSE),3),"")</f>
        <v/>
      </c>
      <c r="E153" s="73" t="str">
        <f>IF(O153 = 0,"",O153)</f>
        <v/>
      </c>
      <c r="F153" s="56" t="str">
        <f>IFERROR(E153/C153,"")</f>
        <v/>
      </c>
      <c r="G153" t="str">
        <f t="shared" si="6"/>
        <v/>
      </c>
      <c r="H153" t="str">
        <f t="shared" si="5"/>
        <v/>
      </c>
      <c r="I153" s="56" t="str">
        <f>IFERROR(E153/G153,"")</f>
        <v/>
      </c>
      <c r="J153" s="57" t="str">
        <f>IFERROR(1-(I153/$AC$3),"")</f>
        <v/>
      </c>
      <c r="L153">
        <f>MIN(SEARCH({0,1,2,3,4,5,6,7,8,9},K153&amp;"0123456789"))</f>
        <v>1</v>
      </c>
      <c r="M153" t="str">
        <f>LEFT(RIGHT(K153,LEN(K153)-L153+1),6)</f>
        <v/>
      </c>
      <c r="O153" s="70">
        <f>IFERROR(RIGHT(SUBSTITUTE(N153,"$",CHAR(9),2),LEN(N153)-FIND(CHAR(9),SUBSTITUTE(N153,"$",CHAR(9),2),1) ),N153)</f>
        <v>0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 t="str">
        <f t="shared" si="4"/>
        <v/>
      </c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</row>
    <row r="154" spans="2:123" hidden="1">
      <c r="B154" s="54" t="str">
        <f>TRIM(MID(SUBSTITUTE(A154," ",REPT(" ",LEN(A154))), (4-1)*LEN(A154)+1, LEN(A154)))</f>
        <v/>
      </c>
      <c r="C154" t="str">
        <f>IFERROR(VLOOKUP(A154,Processor_DB_Intel!$A$1:'Processor_DB_Intel'!$D$494,4,FALSE),"")</f>
        <v/>
      </c>
      <c r="D154" t="str">
        <f>IFERROR(LEFT(VLOOKUP(A154,Processor_DB_Intel!$A$1:'Processor_DB_Intel'!$F$494,6,FALSE),3),"")</f>
        <v/>
      </c>
      <c r="E154" s="73" t="str">
        <f>IF(O154 = 0,"",O154)</f>
        <v/>
      </c>
      <c r="F154" s="56" t="str">
        <f>IFERROR(E154/C154,"")</f>
        <v/>
      </c>
      <c r="G154" t="str">
        <f t="shared" si="6"/>
        <v/>
      </c>
      <c r="H154" t="str">
        <f t="shared" si="5"/>
        <v/>
      </c>
      <c r="I154" s="56" t="str">
        <f>IFERROR(E154/G154,"")</f>
        <v/>
      </c>
      <c r="J154" s="57" t="str">
        <f>IFERROR(1-(I154/$AC$3),"")</f>
        <v/>
      </c>
      <c r="L154">
        <f>MIN(SEARCH({0,1,2,3,4,5,6,7,8,9},K154&amp;"0123456789"))</f>
        <v>1</v>
      </c>
      <c r="M154" t="str">
        <f>LEFT(RIGHT(K154,LEN(K154)-L154+1),6)</f>
        <v/>
      </c>
      <c r="O154" s="70">
        <f>IFERROR(RIGHT(SUBSTITUTE(N154,"$",CHAR(9),2),LEN(N154)-FIND(CHAR(9),SUBSTITUTE(N154,"$",CHAR(9),2),1) ),N154)</f>
        <v>0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 t="str">
        <f t="shared" si="4"/>
        <v/>
      </c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</row>
    <row r="155" spans="2:123" hidden="1">
      <c r="B155" s="54" t="str">
        <f>TRIM(MID(SUBSTITUTE(A155," ",REPT(" ",LEN(A155))), (4-1)*LEN(A155)+1, LEN(A155)))</f>
        <v/>
      </c>
      <c r="C155" t="str">
        <f>IFERROR(VLOOKUP(A155,Processor_DB_Intel!$A$1:'Processor_DB_Intel'!$D$494,4,FALSE),"")</f>
        <v/>
      </c>
      <c r="D155" t="str">
        <f>IFERROR(LEFT(VLOOKUP(A155,Processor_DB_Intel!$A$1:'Processor_DB_Intel'!$F$494,6,FALSE),3),"")</f>
        <v/>
      </c>
      <c r="E155" s="73" t="str">
        <f>IF(O155 = 0,"",O155)</f>
        <v/>
      </c>
      <c r="F155" s="56" t="str">
        <f>IFERROR(E155/C155,"")</f>
        <v/>
      </c>
      <c r="G155" t="str">
        <f t="shared" si="6"/>
        <v/>
      </c>
      <c r="H155" t="str">
        <f t="shared" si="5"/>
        <v/>
      </c>
      <c r="I155" s="56" t="str">
        <f>IFERROR(E155/G155,"")</f>
        <v/>
      </c>
      <c r="J155" s="57" t="str">
        <f>IFERROR(1-(I155/$AC$3),"")</f>
        <v/>
      </c>
      <c r="L155">
        <f>MIN(SEARCH({0,1,2,3,4,5,6,7,8,9},K155&amp;"0123456789"))</f>
        <v>1</v>
      </c>
      <c r="M155" t="str">
        <f>LEFT(RIGHT(K155,LEN(K155)-L155+1),6)</f>
        <v/>
      </c>
      <c r="O155" s="70">
        <f>IFERROR(RIGHT(SUBSTITUTE(N155,"$",CHAR(9),2),LEN(N155)-FIND(CHAR(9),SUBSTITUTE(N155,"$",CHAR(9),2),1) ),N155)</f>
        <v>0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 t="str">
        <f t="shared" si="4"/>
        <v/>
      </c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</row>
    <row r="156" spans="2:123" hidden="1">
      <c r="B156" s="54" t="str">
        <f>TRIM(MID(SUBSTITUTE(A156," ",REPT(" ",LEN(A156))), (4-1)*LEN(A156)+1, LEN(A156)))</f>
        <v/>
      </c>
      <c r="C156" t="str">
        <f>IFERROR(VLOOKUP(A156,Processor_DB_Intel!$A$1:'Processor_DB_Intel'!$D$494,4,FALSE),"")</f>
        <v/>
      </c>
      <c r="D156" t="str">
        <f>IFERROR(LEFT(VLOOKUP(A156,Processor_DB_Intel!$A$1:'Processor_DB_Intel'!$F$494,6,FALSE),3),"")</f>
        <v/>
      </c>
      <c r="E156" s="73" t="str">
        <f>IF(O156 = 0,"",O156)</f>
        <v/>
      </c>
      <c r="F156" s="56" t="str">
        <f>IFERROR(E156/C156,"")</f>
        <v/>
      </c>
      <c r="G156" t="str">
        <f t="shared" si="6"/>
        <v/>
      </c>
      <c r="H156" t="str">
        <f t="shared" si="5"/>
        <v/>
      </c>
      <c r="I156" s="56" t="str">
        <f>IFERROR(E156/G156,"")</f>
        <v/>
      </c>
      <c r="J156" s="57" t="str">
        <f>IFERROR(1-(I156/$AC$3),"")</f>
        <v/>
      </c>
      <c r="L156">
        <f>MIN(SEARCH({0,1,2,3,4,5,6,7,8,9},K156&amp;"0123456789"))</f>
        <v>1</v>
      </c>
      <c r="M156" t="str">
        <f>LEFT(RIGHT(K156,LEN(K156)-L156+1),6)</f>
        <v/>
      </c>
      <c r="O156" s="70">
        <f>IFERROR(RIGHT(SUBSTITUTE(N156,"$",CHAR(9),2),LEN(N156)-FIND(CHAR(9),SUBSTITUTE(N156,"$",CHAR(9),2),1) ),N156)</f>
        <v>0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 t="str">
        <f t="shared" si="4"/>
        <v/>
      </c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</row>
    <row r="157" spans="2:123" hidden="1">
      <c r="B157" s="54" t="str">
        <f>TRIM(MID(SUBSTITUTE(A157," ",REPT(" ",LEN(A157))), (4-1)*LEN(A157)+1, LEN(A157)))</f>
        <v/>
      </c>
      <c r="C157" t="str">
        <f>IFERROR(VLOOKUP(A157,Processor_DB_Intel!$A$1:'Processor_DB_Intel'!$D$494,4,FALSE),"")</f>
        <v/>
      </c>
      <c r="D157" t="str">
        <f>IFERROR(LEFT(VLOOKUP(A157,Processor_DB_Intel!$A$1:'Processor_DB_Intel'!$F$494,6,FALSE),3),"")</f>
        <v/>
      </c>
      <c r="E157" s="73" t="str">
        <f>IF(O157 = 0,"",O157)</f>
        <v/>
      </c>
      <c r="F157" s="56" t="str">
        <f>IFERROR(E157/C157,"")</f>
        <v/>
      </c>
      <c r="G157" t="str">
        <f t="shared" si="6"/>
        <v/>
      </c>
      <c r="H157" t="str">
        <f t="shared" si="5"/>
        <v/>
      </c>
      <c r="I157" s="56" t="str">
        <f>IFERROR(E157/G157,"")</f>
        <v/>
      </c>
      <c r="J157" s="57" t="str">
        <f>IFERROR(1-(I157/$AC$3),"")</f>
        <v/>
      </c>
      <c r="L157">
        <f>MIN(SEARCH({0,1,2,3,4,5,6,7,8,9},K157&amp;"0123456789"))</f>
        <v>1</v>
      </c>
      <c r="M157" t="str">
        <f>LEFT(RIGHT(K157,LEN(K157)-L157+1),6)</f>
        <v/>
      </c>
      <c r="O157" s="70">
        <f>IFERROR(RIGHT(SUBSTITUTE(N157,"$",CHAR(9),2),LEN(N157)-FIND(CHAR(9),SUBSTITUTE(N157,"$",CHAR(9),2),1) ),N157)</f>
        <v>0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 t="str">
        <f t="shared" si="4"/>
        <v/>
      </c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</row>
    <row r="158" spans="2:123" hidden="1">
      <c r="B158" s="54" t="str">
        <f>TRIM(MID(SUBSTITUTE(A158," ",REPT(" ",LEN(A158))), (4-1)*LEN(A158)+1, LEN(A158)))</f>
        <v/>
      </c>
      <c r="C158" t="str">
        <f>IFERROR(VLOOKUP(A158,Processor_DB_Intel!$A$1:'Processor_DB_Intel'!$D$494,4,FALSE),"")</f>
        <v/>
      </c>
      <c r="D158" t="str">
        <f>IFERROR(LEFT(VLOOKUP(A158,Processor_DB_Intel!$A$1:'Processor_DB_Intel'!$F$494,6,FALSE),3),"")</f>
        <v/>
      </c>
      <c r="E158" s="73" t="str">
        <f>IF(O158 = 0,"",O158)</f>
        <v/>
      </c>
      <c r="F158" s="56" t="str">
        <f>IFERROR(E158/C158,"")</f>
        <v/>
      </c>
      <c r="G158" t="str">
        <f t="shared" si="6"/>
        <v/>
      </c>
      <c r="H158" t="str">
        <f t="shared" si="5"/>
        <v/>
      </c>
      <c r="I158" s="56" t="str">
        <f>IFERROR(E158/G158,"")</f>
        <v/>
      </c>
      <c r="J158" s="57" t="str">
        <f>IFERROR(1-(I158/$AC$3),"")</f>
        <v/>
      </c>
      <c r="L158">
        <f>MIN(SEARCH({0,1,2,3,4,5,6,7,8,9},K158&amp;"0123456789"))</f>
        <v>1</v>
      </c>
      <c r="M158" t="str">
        <f>LEFT(RIGHT(K158,LEN(K158)-L158+1),6)</f>
        <v/>
      </c>
      <c r="O158" s="70">
        <f>IFERROR(RIGHT(SUBSTITUTE(N158,"$",CHAR(9),2),LEN(N158)-FIND(CHAR(9),SUBSTITUTE(N158,"$",CHAR(9),2),1) ),N158)</f>
        <v>0</v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 t="str">
        <f t="shared" si="4"/>
        <v/>
      </c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</row>
    <row r="159" spans="2:123" hidden="1">
      <c r="B159" s="54" t="str">
        <f>TRIM(MID(SUBSTITUTE(A159," ",REPT(" ",LEN(A159))), (4-1)*LEN(A159)+1, LEN(A159)))</f>
        <v/>
      </c>
      <c r="C159" t="str">
        <f>IFERROR(VLOOKUP(A159,Processor_DB_Intel!$A$1:'Processor_DB_Intel'!$D$494,4,FALSE),"")</f>
        <v/>
      </c>
      <c r="D159" t="str">
        <f>IFERROR(LEFT(VLOOKUP(A159,Processor_DB_Intel!$A$1:'Processor_DB_Intel'!$F$494,6,FALSE),3),"")</f>
        <v/>
      </c>
      <c r="E159" s="73" t="str">
        <f>IF(O159 = 0,"",O159)</f>
        <v/>
      </c>
      <c r="F159" s="56" t="str">
        <f>IFERROR(E159/C159,"")</f>
        <v/>
      </c>
      <c r="G159" t="str">
        <f t="shared" si="6"/>
        <v/>
      </c>
      <c r="H159" t="str">
        <f t="shared" si="5"/>
        <v/>
      </c>
      <c r="I159" s="56" t="str">
        <f>IFERROR(E159/G159,"")</f>
        <v/>
      </c>
      <c r="J159" s="57" t="str">
        <f>IFERROR(1-(I159/$AC$3),"")</f>
        <v/>
      </c>
      <c r="L159">
        <f>MIN(SEARCH({0,1,2,3,4,5,6,7,8,9},K159&amp;"0123456789"))</f>
        <v>1</v>
      </c>
      <c r="M159" t="str">
        <f>LEFT(RIGHT(K159,LEN(K159)-L159+1),6)</f>
        <v/>
      </c>
      <c r="O159" s="70">
        <f>IFERROR(RIGHT(SUBSTITUTE(N159,"$",CHAR(9),2),LEN(N159)-FIND(CHAR(9),SUBSTITUTE(N159,"$",CHAR(9),2),1) ),N159)</f>
        <v>0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 t="str">
        <f t="shared" si="4"/>
        <v/>
      </c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</row>
    <row r="160" spans="2:123" hidden="1">
      <c r="B160" s="54" t="str">
        <f>TRIM(MID(SUBSTITUTE(A160," ",REPT(" ",LEN(A160))), (4-1)*LEN(A160)+1, LEN(A160)))</f>
        <v/>
      </c>
      <c r="C160" t="str">
        <f>IFERROR(VLOOKUP(A160,Processor_DB_Intel!$A$1:'Processor_DB_Intel'!$D$494,4,FALSE),"")</f>
        <v/>
      </c>
      <c r="D160" t="str">
        <f>IFERROR(LEFT(VLOOKUP(A160,Processor_DB_Intel!$A$1:'Processor_DB_Intel'!$F$494,6,FALSE),3),"")</f>
        <v/>
      </c>
      <c r="E160" s="73" t="str">
        <f>IF(O160 = 0,"",O160)</f>
        <v/>
      </c>
      <c r="F160" s="56" t="str">
        <f>IFERROR(E160/C160,"")</f>
        <v/>
      </c>
      <c r="G160" t="str">
        <f t="shared" si="6"/>
        <v/>
      </c>
      <c r="H160" t="str">
        <f t="shared" si="5"/>
        <v/>
      </c>
      <c r="I160" s="56" t="str">
        <f>IFERROR(E160/G160,"")</f>
        <v/>
      </c>
      <c r="J160" s="57" t="str">
        <f>IFERROR(1-(I160/$AC$3),"")</f>
        <v/>
      </c>
      <c r="L160">
        <f>MIN(SEARCH({0,1,2,3,4,5,6,7,8,9},K160&amp;"0123456789"))</f>
        <v>1</v>
      </c>
      <c r="M160" t="str">
        <f>LEFT(RIGHT(K160,LEN(K160)-L160+1),6)</f>
        <v/>
      </c>
      <c r="O160" s="70">
        <f>IFERROR(RIGHT(SUBSTITUTE(N160,"$",CHAR(9),2),LEN(N160)-FIND(CHAR(9),SUBSTITUTE(N160,"$",CHAR(9),2),1) ),N160)</f>
        <v>0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 t="str">
        <f t="shared" si="4"/>
        <v/>
      </c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</row>
    <row r="161" spans="2:123" hidden="1">
      <c r="B161" s="54" t="str">
        <f>TRIM(MID(SUBSTITUTE(A161," ",REPT(" ",LEN(A161))), (4-1)*LEN(A161)+1, LEN(A161)))</f>
        <v/>
      </c>
      <c r="C161" t="str">
        <f>IFERROR(VLOOKUP(A161,Processor_DB_Intel!$A$1:'Processor_DB_Intel'!$D$494,4,FALSE),"")</f>
        <v/>
      </c>
      <c r="D161" t="str">
        <f>IFERROR(LEFT(VLOOKUP(A161,Processor_DB_Intel!$A$1:'Processor_DB_Intel'!$F$494,6,FALSE),3),"")</f>
        <v/>
      </c>
      <c r="E161" s="73" t="str">
        <f>IF(O161 = 0,"",O161)</f>
        <v/>
      </c>
      <c r="F161" s="56" t="str">
        <f>IFERROR(E161/C161,"")</f>
        <v/>
      </c>
      <c r="G161" t="str">
        <f t="shared" si="6"/>
        <v/>
      </c>
      <c r="H161" t="str">
        <f t="shared" si="5"/>
        <v/>
      </c>
      <c r="I161" s="56" t="str">
        <f>IFERROR(E161/G161,"")</f>
        <v/>
      </c>
      <c r="J161" s="57" t="str">
        <f>IFERROR(1-(I161/$AC$3),"")</f>
        <v/>
      </c>
      <c r="L161">
        <f>MIN(SEARCH({0,1,2,3,4,5,6,7,8,9},K161&amp;"0123456789"))</f>
        <v>1</v>
      </c>
      <c r="M161" t="str">
        <f>LEFT(RIGHT(K161,LEN(K161)-L161+1),6)</f>
        <v/>
      </c>
      <c r="O161" s="70">
        <f>IFERROR(RIGHT(SUBSTITUTE(N161,"$",CHAR(9),2),LEN(N161)-FIND(CHAR(9),SUBSTITUTE(N161,"$",CHAR(9),2),1) ),N161)</f>
        <v>0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 t="str">
        <f t="shared" si="4"/>
        <v/>
      </c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</row>
    <row r="162" spans="2:123" hidden="1">
      <c r="B162" s="54" t="str">
        <f>TRIM(MID(SUBSTITUTE(A162," ",REPT(" ",LEN(A162))), (4-1)*LEN(A162)+1, LEN(A162)))</f>
        <v/>
      </c>
      <c r="C162" t="str">
        <f>IFERROR(VLOOKUP(A162,Processor_DB_Intel!$A$1:'Processor_DB_Intel'!$D$494,4,FALSE),"")</f>
        <v/>
      </c>
      <c r="D162" t="str">
        <f>IFERROR(LEFT(VLOOKUP(A162,Processor_DB_Intel!$A$1:'Processor_DB_Intel'!$F$494,6,FALSE),3),"")</f>
        <v/>
      </c>
      <c r="E162" s="73" t="str">
        <f>IF(O162 = 0,"",O162)</f>
        <v/>
      </c>
      <c r="F162" s="56" t="str">
        <f>IFERROR(E162/C162,"")</f>
        <v/>
      </c>
      <c r="G162" t="str">
        <f t="shared" si="6"/>
        <v/>
      </c>
      <c r="H162" t="str">
        <f t="shared" si="5"/>
        <v/>
      </c>
      <c r="I162" s="56" t="str">
        <f>IFERROR(E162/G162,"")</f>
        <v/>
      </c>
      <c r="J162" s="57" t="str">
        <f>IFERROR(1-(I162/$AC$3),"")</f>
        <v/>
      </c>
      <c r="L162">
        <f>MIN(SEARCH({0,1,2,3,4,5,6,7,8,9},K162&amp;"0123456789"))</f>
        <v>1</v>
      </c>
      <c r="M162" t="str">
        <f>LEFT(RIGHT(K162,LEN(K162)-L162+1),6)</f>
        <v/>
      </c>
      <c r="O162" s="70">
        <f>IFERROR(RIGHT(SUBSTITUTE(N162,"$",CHAR(9),2),LEN(N162)-FIND(CHAR(9),SUBSTITUTE(N162,"$",CHAR(9),2),1) ),N162)</f>
        <v>0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 t="str">
        <f t="shared" si="4"/>
        <v/>
      </c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</row>
    <row r="163" spans="2:123" hidden="1">
      <c r="B163" s="54" t="str">
        <f>TRIM(MID(SUBSTITUTE(A163," ",REPT(" ",LEN(A163))), (4-1)*LEN(A163)+1, LEN(A163)))</f>
        <v/>
      </c>
      <c r="C163" t="str">
        <f>IFERROR(VLOOKUP(A163,Processor_DB_Intel!$A$1:'Processor_DB_Intel'!$D$494,4,FALSE),"")</f>
        <v/>
      </c>
      <c r="D163" t="str">
        <f>IFERROR(LEFT(VLOOKUP(A163,Processor_DB_Intel!$A$1:'Processor_DB_Intel'!$F$494,6,FALSE),3),"")</f>
        <v/>
      </c>
      <c r="E163" s="73" t="str">
        <f>IF(O163 = 0,"",O163)</f>
        <v/>
      </c>
      <c r="F163" s="56" t="str">
        <f>IFERROR(E163/C163,"")</f>
        <v/>
      </c>
      <c r="G163" t="str">
        <f t="shared" si="6"/>
        <v/>
      </c>
      <c r="H163" t="str">
        <f t="shared" si="5"/>
        <v/>
      </c>
      <c r="I163" s="56" t="str">
        <f>IFERROR(E163/G163,"")</f>
        <v/>
      </c>
      <c r="J163" s="57" t="str">
        <f>IFERROR(1-(I163/$AC$3),"")</f>
        <v/>
      </c>
      <c r="L163">
        <f>MIN(SEARCH({0,1,2,3,4,5,6,7,8,9},K163&amp;"0123456789"))</f>
        <v>1</v>
      </c>
      <c r="M163" t="str">
        <f>LEFT(RIGHT(K163,LEN(K163)-L163+1),6)</f>
        <v/>
      </c>
      <c r="O163" s="70">
        <f>IFERROR(RIGHT(SUBSTITUTE(N163,"$",CHAR(9),2),LEN(N163)-FIND(CHAR(9),SUBSTITUTE(N163,"$",CHAR(9),2),1) ),N163)</f>
        <v>0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 t="str">
        <f t="shared" si="4"/>
        <v/>
      </c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</row>
    <row r="164" spans="2:123" hidden="1">
      <c r="B164" s="54" t="str">
        <f>TRIM(MID(SUBSTITUTE(A164," ",REPT(" ",LEN(A164))), (4-1)*LEN(A164)+1, LEN(A164)))</f>
        <v/>
      </c>
      <c r="C164" t="str">
        <f>IFERROR(VLOOKUP(A164,Processor_DB_Intel!$A$1:'Processor_DB_Intel'!$D$494,4,FALSE),"")</f>
        <v/>
      </c>
      <c r="D164" t="str">
        <f>IFERROR(LEFT(VLOOKUP(A164,Processor_DB_Intel!$A$1:'Processor_DB_Intel'!$F$494,6,FALSE),3),"")</f>
        <v/>
      </c>
      <c r="E164" s="73" t="str">
        <f>IF(O164 = 0,"",O164)</f>
        <v/>
      </c>
      <c r="F164" s="56" t="str">
        <f>IFERROR(E164/C164,"")</f>
        <v/>
      </c>
      <c r="G164" t="str">
        <f t="shared" si="6"/>
        <v/>
      </c>
      <c r="H164" t="str">
        <f t="shared" si="5"/>
        <v/>
      </c>
      <c r="I164" s="56" t="str">
        <f>IFERROR(E164/G164,"")</f>
        <v/>
      </c>
      <c r="J164" s="57" t="str">
        <f>IFERROR(1-(I164/$AC$3),"")</f>
        <v/>
      </c>
      <c r="L164">
        <f>MIN(SEARCH({0,1,2,3,4,5,6,7,8,9},K164&amp;"0123456789"))</f>
        <v>1</v>
      </c>
      <c r="M164" t="str">
        <f>LEFT(RIGHT(K164,LEN(K164)-L164+1),6)</f>
        <v/>
      </c>
      <c r="O164" s="70">
        <f>IFERROR(RIGHT(SUBSTITUTE(N164,"$",CHAR(9),2),LEN(N164)-FIND(CHAR(9),SUBSTITUTE(N164,"$",CHAR(9),2),1) ),N164)</f>
        <v>0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 t="str">
        <f t="shared" si="4"/>
        <v/>
      </c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</row>
    <row r="165" spans="2:123" hidden="1">
      <c r="B165" s="54" t="str">
        <f>TRIM(MID(SUBSTITUTE(A165," ",REPT(" ",LEN(A165))), (4-1)*LEN(A165)+1, LEN(A165)))</f>
        <v/>
      </c>
      <c r="C165" t="str">
        <f>IFERROR(VLOOKUP(A165,Processor_DB_Intel!$A$1:'Processor_DB_Intel'!$D$494,4,FALSE),"")</f>
        <v/>
      </c>
      <c r="D165" t="str">
        <f>IFERROR(LEFT(VLOOKUP(A165,Processor_DB_Intel!$A$1:'Processor_DB_Intel'!$F$494,6,FALSE),3),"")</f>
        <v/>
      </c>
      <c r="E165" s="73" t="str">
        <f>IF(O165 = 0,"",O165)</f>
        <v/>
      </c>
      <c r="F165" s="56" t="str">
        <f>IFERROR(E165/C165,"")</f>
        <v/>
      </c>
      <c r="G165" t="str">
        <f t="shared" si="6"/>
        <v/>
      </c>
      <c r="H165" t="str">
        <f t="shared" si="5"/>
        <v/>
      </c>
      <c r="I165" s="56" t="str">
        <f>IFERROR(E165/G165,"")</f>
        <v/>
      </c>
      <c r="J165" s="57" t="str">
        <f>IFERROR(1-(I165/$AC$3),"")</f>
        <v/>
      </c>
      <c r="L165">
        <f>MIN(SEARCH({0,1,2,3,4,5,6,7,8,9},K165&amp;"0123456789"))</f>
        <v>1</v>
      </c>
      <c r="M165" t="str">
        <f>LEFT(RIGHT(K165,LEN(K165)-L165+1),6)</f>
        <v/>
      </c>
      <c r="O165" s="70">
        <f>IFERROR(RIGHT(SUBSTITUTE(N165,"$",CHAR(9),2),LEN(N165)-FIND(CHAR(9),SUBSTITUTE(N165,"$",CHAR(9),2),1) ),N165)</f>
        <v>0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 t="str">
        <f t="shared" si="4"/>
        <v/>
      </c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</row>
    <row r="166" spans="2:123" hidden="1">
      <c r="B166" s="54" t="str">
        <f>TRIM(MID(SUBSTITUTE(A166," ",REPT(" ",LEN(A166))), (4-1)*LEN(A166)+1, LEN(A166)))</f>
        <v/>
      </c>
      <c r="C166" t="str">
        <f>IFERROR(VLOOKUP(A166,Processor_DB_Intel!$A$1:'Processor_DB_Intel'!$D$494,4,FALSE),"")</f>
        <v/>
      </c>
      <c r="D166" t="str">
        <f>IFERROR(LEFT(VLOOKUP(A166,Processor_DB_Intel!$A$1:'Processor_DB_Intel'!$F$494,6,FALSE),3),"")</f>
        <v/>
      </c>
      <c r="E166" s="73" t="str">
        <f>IF(O166 = 0,"",O166)</f>
        <v/>
      </c>
      <c r="F166" s="56" t="str">
        <f>IFERROR(E166/C166,"")</f>
        <v/>
      </c>
      <c r="G166" t="str">
        <f t="shared" si="6"/>
        <v/>
      </c>
      <c r="H166" t="str">
        <f t="shared" si="5"/>
        <v/>
      </c>
      <c r="I166" s="56" t="str">
        <f>IFERROR(E166/G166,"")</f>
        <v/>
      </c>
      <c r="J166" s="57" t="str">
        <f>IFERROR(1-(I166/$AC$3),"")</f>
        <v/>
      </c>
      <c r="L166">
        <f>MIN(SEARCH({0,1,2,3,4,5,6,7,8,9},K166&amp;"0123456789"))</f>
        <v>1</v>
      </c>
      <c r="M166" t="str">
        <f>LEFT(RIGHT(K166,LEN(K166)-L166+1),6)</f>
        <v/>
      </c>
      <c r="O166" s="70">
        <f>IFERROR(RIGHT(SUBSTITUTE(N166,"$",CHAR(9),2),LEN(N166)-FIND(CHAR(9),SUBSTITUTE(N166,"$",CHAR(9),2),1) ),N166)</f>
        <v>0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 t="str">
        <f t="shared" si="4"/>
        <v/>
      </c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</row>
    <row r="167" spans="2:123" hidden="1">
      <c r="B167" s="54" t="str">
        <f>TRIM(MID(SUBSTITUTE(A167," ",REPT(" ",LEN(A167))), (4-1)*LEN(A167)+1, LEN(A167)))</f>
        <v/>
      </c>
      <c r="C167" t="str">
        <f>IFERROR(VLOOKUP(A167,Processor_DB_Intel!$A$1:'Processor_DB_Intel'!$D$494,4,FALSE),"")</f>
        <v/>
      </c>
      <c r="D167" t="str">
        <f>IFERROR(LEFT(VLOOKUP(A167,Processor_DB_Intel!$A$1:'Processor_DB_Intel'!$F$494,6,FALSE),3),"")</f>
        <v/>
      </c>
      <c r="E167" s="73" t="str">
        <f>IF(O167 = 0,"",O167)</f>
        <v/>
      </c>
      <c r="F167" s="56" t="str">
        <f>IFERROR(E167/C167,"")</f>
        <v/>
      </c>
      <c r="G167" t="str">
        <f t="shared" si="6"/>
        <v/>
      </c>
      <c r="H167" t="str">
        <f t="shared" si="5"/>
        <v/>
      </c>
      <c r="I167" s="56" t="str">
        <f>IFERROR(E167/G167,"")</f>
        <v/>
      </c>
      <c r="J167" s="57" t="str">
        <f>IFERROR(1-(I167/$AC$3),"")</f>
        <v/>
      </c>
      <c r="L167">
        <f>MIN(SEARCH({0,1,2,3,4,5,6,7,8,9},K167&amp;"0123456789"))</f>
        <v>1</v>
      </c>
      <c r="M167" t="str">
        <f>LEFT(RIGHT(K167,LEN(K167)-L167+1),6)</f>
        <v/>
      </c>
      <c r="O167" s="70">
        <f>IFERROR(RIGHT(SUBSTITUTE(N167,"$",CHAR(9),2),LEN(N167)-FIND(CHAR(9),SUBSTITUTE(N167,"$",CHAR(9),2),1) ),N167)</f>
        <v>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 t="str">
        <f t="shared" si="4"/>
        <v/>
      </c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</row>
    <row r="168" spans="2:123" hidden="1">
      <c r="B168" s="54" t="str">
        <f>TRIM(MID(SUBSTITUTE(A168," ",REPT(" ",LEN(A168))), (4-1)*LEN(A168)+1, LEN(A168)))</f>
        <v/>
      </c>
      <c r="C168" t="str">
        <f>IFERROR(VLOOKUP(A168,Processor_DB_Intel!$A$1:'Processor_DB_Intel'!$D$494,4,FALSE),"")</f>
        <v/>
      </c>
      <c r="D168" t="str">
        <f>IFERROR(LEFT(VLOOKUP(A168,Processor_DB_Intel!$A$1:'Processor_DB_Intel'!$F$494,6,FALSE),3),"")</f>
        <v/>
      </c>
      <c r="E168" s="73" t="str">
        <f>IF(O168 = 0,"",O168)</f>
        <v/>
      </c>
      <c r="F168" s="56" t="str">
        <f>IFERROR(E168/C168,"")</f>
        <v/>
      </c>
      <c r="G168" t="str">
        <f t="shared" si="6"/>
        <v/>
      </c>
      <c r="H168" t="str">
        <f t="shared" si="5"/>
        <v/>
      </c>
      <c r="I168" s="56" t="str">
        <f>IFERROR(E168/G168,"")</f>
        <v/>
      </c>
      <c r="J168" s="57" t="str">
        <f>IFERROR(1-(I168/$AC$3),"")</f>
        <v/>
      </c>
      <c r="L168">
        <f>MIN(SEARCH({0,1,2,3,4,5,6,7,8,9},K168&amp;"0123456789"))</f>
        <v>1</v>
      </c>
      <c r="M168" t="str">
        <f>LEFT(RIGHT(K168,LEN(K168)-L168+1),6)</f>
        <v/>
      </c>
      <c r="O168" s="70">
        <f>IFERROR(RIGHT(SUBSTITUTE(N168,"$",CHAR(9),2),LEN(N168)-FIND(CHAR(9),SUBSTITUTE(N168,"$",CHAR(9),2),1) ),N168)</f>
        <v>0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 t="str">
        <f t="shared" si="4"/>
        <v/>
      </c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</row>
    <row r="169" spans="2:123" hidden="1">
      <c r="B169" s="54" t="str">
        <f>TRIM(MID(SUBSTITUTE(A169," ",REPT(" ",LEN(A169))), (4-1)*LEN(A169)+1, LEN(A169)))</f>
        <v/>
      </c>
      <c r="C169" t="str">
        <f>IFERROR(VLOOKUP(A169,Processor_DB_Intel!$A$1:'Processor_DB_Intel'!$D$494,4,FALSE),"")</f>
        <v/>
      </c>
      <c r="D169" t="str">
        <f>IFERROR(LEFT(VLOOKUP(A169,Processor_DB_Intel!$A$1:'Processor_DB_Intel'!$F$494,6,FALSE),3),"")</f>
        <v/>
      </c>
      <c r="E169" s="73" t="str">
        <f>IF(O169 = 0,"",O169)</f>
        <v/>
      </c>
      <c r="F169" s="56" t="str">
        <f>IFERROR(E169/C169,"")</f>
        <v/>
      </c>
      <c r="G169" t="str">
        <f t="shared" si="6"/>
        <v/>
      </c>
      <c r="H169" t="str">
        <f t="shared" si="5"/>
        <v/>
      </c>
      <c r="I169" s="56" t="str">
        <f>IFERROR(E169/G169,"")</f>
        <v/>
      </c>
      <c r="J169" s="57" t="str">
        <f>IFERROR(1-(I169/$AC$3),"")</f>
        <v/>
      </c>
      <c r="L169">
        <f>MIN(SEARCH({0,1,2,3,4,5,6,7,8,9},K169&amp;"0123456789"))</f>
        <v>1</v>
      </c>
      <c r="M169" t="str">
        <f>LEFT(RIGHT(K169,LEN(K169)-L169+1),6)</f>
        <v/>
      </c>
      <c r="O169" s="70">
        <f>IFERROR(RIGHT(SUBSTITUTE(N169,"$",CHAR(9),2),LEN(N169)-FIND(CHAR(9),SUBSTITUTE(N169,"$",CHAR(9),2),1) ),N169)</f>
        <v>0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 t="str">
        <f t="shared" si="4"/>
        <v/>
      </c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</row>
    <row r="170" spans="2:123" hidden="1">
      <c r="B170" s="54" t="str">
        <f>TRIM(MID(SUBSTITUTE(A170," ",REPT(" ",LEN(A170))), (4-1)*LEN(A170)+1, LEN(A170)))</f>
        <v/>
      </c>
      <c r="C170" t="str">
        <f>IFERROR(VLOOKUP(A170,Processor_DB_Intel!$A$1:'Processor_DB_Intel'!$D$494,4,FALSE),"")</f>
        <v/>
      </c>
      <c r="D170" t="str">
        <f>IFERROR(LEFT(VLOOKUP(A170,Processor_DB_Intel!$A$1:'Processor_DB_Intel'!$F$494,6,FALSE),3),"")</f>
        <v/>
      </c>
      <c r="E170" s="73" t="str">
        <f>IF(O170 = 0,"",O170)</f>
        <v/>
      </c>
      <c r="F170" s="56" t="str">
        <f>IFERROR(E170/C170,"")</f>
        <v/>
      </c>
      <c r="G170" t="str">
        <f t="shared" si="6"/>
        <v/>
      </c>
      <c r="H170" t="str">
        <f t="shared" si="5"/>
        <v/>
      </c>
      <c r="I170" s="56" t="str">
        <f>IFERROR(E170/G170,"")</f>
        <v/>
      </c>
      <c r="J170" s="57" t="str">
        <f>IFERROR(1-(I170/$AC$3),"")</f>
        <v/>
      </c>
      <c r="L170">
        <f>MIN(SEARCH({0,1,2,3,4,5,6,7,8,9},K170&amp;"0123456789"))</f>
        <v>1</v>
      </c>
      <c r="M170" t="str">
        <f>LEFT(RIGHT(K170,LEN(K170)-L170+1),6)</f>
        <v/>
      </c>
      <c r="O170" s="70">
        <f>IFERROR(RIGHT(SUBSTITUTE(N170,"$",CHAR(9),2),LEN(N170)-FIND(CHAR(9),SUBSTITUTE(N170,"$",CHAR(9),2),1) ),N170)</f>
        <v>0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 t="str">
        <f t="shared" si="4"/>
        <v/>
      </c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</row>
    <row r="171" spans="2:123" hidden="1">
      <c r="B171" s="54" t="str">
        <f>TRIM(MID(SUBSTITUTE(A171," ",REPT(" ",LEN(A171))), (4-1)*LEN(A171)+1, LEN(A171)))</f>
        <v/>
      </c>
      <c r="C171" t="str">
        <f>IFERROR(VLOOKUP(A171,Processor_DB_Intel!$A$1:'Processor_DB_Intel'!$D$494,4,FALSE),"")</f>
        <v/>
      </c>
      <c r="D171" t="str">
        <f>IFERROR(LEFT(VLOOKUP(A171,Processor_DB_Intel!$A$1:'Processor_DB_Intel'!$F$494,6,FALSE),3),"")</f>
        <v/>
      </c>
      <c r="E171" s="73" t="str">
        <f>IF(O171 = 0,"",O171)</f>
        <v/>
      </c>
      <c r="F171" s="56" t="str">
        <f>IFERROR(E171/C171,"")</f>
        <v/>
      </c>
      <c r="G171" t="str">
        <f t="shared" si="6"/>
        <v/>
      </c>
      <c r="H171" t="str">
        <f t="shared" si="5"/>
        <v/>
      </c>
      <c r="I171" s="56" t="str">
        <f>IFERROR(E171/G171,"")</f>
        <v/>
      </c>
      <c r="J171" s="57" t="str">
        <f>IFERROR(1-(I171/$AC$3),"")</f>
        <v/>
      </c>
      <c r="L171">
        <f>MIN(SEARCH({0,1,2,3,4,5,6,7,8,9},K171&amp;"0123456789"))</f>
        <v>1</v>
      </c>
      <c r="M171" t="str">
        <f>LEFT(RIGHT(K171,LEN(K171)-L171+1),6)</f>
        <v/>
      </c>
      <c r="O171" s="70">
        <f>IFERROR(RIGHT(SUBSTITUTE(N171,"$",CHAR(9),2),LEN(N171)-FIND(CHAR(9),SUBSTITUTE(N171,"$",CHAR(9),2),1) ),N171)</f>
        <v>0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 t="str">
        <f t="shared" si="4"/>
        <v/>
      </c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</row>
    <row r="172" spans="2:123" hidden="1">
      <c r="B172" s="54" t="str">
        <f>TRIM(MID(SUBSTITUTE(A172," ",REPT(" ",LEN(A172))), (4-1)*LEN(A172)+1, LEN(A172)))</f>
        <v/>
      </c>
      <c r="C172" t="str">
        <f>IFERROR(VLOOKUP(A172,Processor_DB_Intel!$A$1:'Processor_DB_Intel'!$D$494,4,FALSE),"")</f>
        <v/>
      </c>
      <c r="D172" t="str">
        <f>IFERROR(LEFT(VLOOKUP(A172,Processor_DB_Intel!$A$1:'Processor_DB_Intel'!$F$494,6,FALSE),3),"")</f>
        <v/>
      </c>
      <c r="E172" s="73" t="str">
        <f>IF(O172 = 0,"",O172)</f>
        <v/>
      </c>
      <c r="F172" s="56" t="str">
        <f>IFERROR(E172/C172,"")</f>
        <v/>
      </c>
      <c r="G172" t="str">
        <f t="shared" si="6"/>
        <v/>
      </c>
      <c r="H172" t="str">
        <f t="shared" si="5"/>
        <v/>
      </c>
      <c r="I172" s="56" t="str">
        <f>IFERROR(E172/G172,"")</f>
        <v/>
      </c>
      <c r="J172" s="57" t="str">
        <f>IFERROR(1-(I172/$AC$3),"")</f>
        <v/>
      </c>
      <c r="L172">
        <f>MIN(SEARCH({0,1,2,3,4,5,6,7,8,9},K172&amp;"0123456789"))</f>
        <v>1</v>
      </c>
      <c r="M172" t="str">
        <f>LEFT(RIGHT(K172,LEN(K172)-L172+1),6)</f>
        <v/>
      </c>
      <c r="O172" s="70">
        <f>IFERROR(RIGHT(SUBSTITUTE(N172,"$",CHAR(9),2),LEN(N172)-FIND(CHAR(9),SUBSTITUTE(N172,"$",CHAR(9),2),1) ),N172)</f>
        <v>0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 t="str">
        <f t="shared" si="4"/>
        <v/>
      </c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</row>
    <row r="173" spans="2:123" hidden="1">
      <c r="B173" s="54" t="str">
        <f>TRIM(MID(SUBSTITUTE(A173," ",REPT(" ",LEN(A173))), (4-1)*LEN(A173)+1, LEN(A173)))</f>
        <v/>
      </c>
      <c r="C173" t="str">
        <f>IFERROR(VLOOKUP(A173,Processor_DB_Intel!$A$1:'Processor_DB_Intel'!$D$494,4,FALSE),"")</f>
        <v/>
      </c>
      <c r="D173" t="str">
        <f>IFERROR(LEFT(VLOOKUP(A173,Processor_DB_Intel!$A$1:'Processor_DB_Intel'!$F$494,6,FALSE),3),"")</f>
        <v/>
      </c>
      <c r="E173" s="73" t="str">
        <f>IF(O173 = 0,"",O173)</f>
        <v/>
      </c>
      <c r="F173" s="56" t="str">
        <f>IFERROR(E173/C173,"")</f>
        <v/>
      </c>
      <c r="G173" t="str">
        <f t="shared" si="6"/>
        <v/>
      </c>
      <c r="H173" t="str">
        <f t="shared" si="5"/>
        <v/>
      </c>
      <c r="I173" s="56" t="str">
        <f>IFERROR(E173/G173,"")</f>
        <v/>
      </c>
      <c r="J173" s="57" t="str">
        <f>IFERROR(1-(I173/$AC$3),"")</f>
        <v/>
      </c>
      <c r="L173">
        <f>MIN(SEARCH({0,1,2,3,4,5,6,7,8,9},K173&amp;"0123456789"))</f>
        <v>1</v>
      </c>
      <c r="M173" t="str">
        <f>LEFT(RIGHT(K173,LEN(K173)-L173+1),6)</f>
        <v/>
      </c>
      <c r="O173" s="70">
        <f>IFERROR(RIGHT(SUBSTITUTE(N173,"$",CHAR(9),2),LEN(N173)-FIND(CHAR(9),SUBSTITUTE(N173,"$",CHAR(9),2),1) ),N173)</f>
        <v>0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 t="str">
        <f t="shared" si="4"/>
        <v/>
      </c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</row>
    <row r="174" spans="2:123" hidden="1">
      <c r="B174" s="54" t="str">
        <f>TRIM(MID(SUBSTITUTE(A174," ",REPT(" ",LEN(A174))), (4-1)*LEN(A174)+1, LEN(A174)))</f>
        <v/>
      </c>
      <c r="C174" t="str">
        <f>IFERROR(VLOOKUP(A174,Processor_DB_Intel!$A$1:'Processor_DB_Intel'!$D$494,4,FALSE),"")</f>
        <v/>
      </c>
      <c r="D174" t="str">
        <f>IFERROR(LEFT(VLOOKUP(A174,Processor_DB_Intel!$A$1:'Processor_DB_Intel'!$F$494,6,FALSE),3),"")</f>
        <v/>
      </c>
      <c r="E174" s="73" t="str">
        <f>IF(O174 = 0,"",O174)</f>
        <v/>
      </c>
      <c r="F174" s="56" t="str">
        <f>IFERROR(E174/C174,"")</f>
        <v/>
      </c>
      <c r="G174" t="str">
        <f t="shared" si="6"/>
        <v/>
      </c>
      <c r="H174" t="str">
        <f t="shared" si="5"/>
        <v/>
      </c>
      <c r="I174" s="56" t="str">
        <f>IFERROR(E174/G174,"")</f>
        <v/>
      </c>
      <c r="J174" s="57" t="str">
        <f>IFERROR(1-(I174/$AC$3),"")</f>
        <v/>
      </c>
      <c r="L174">
        <f>MIN(SEARCH({0,1,2,3,4,5,6,7,8,9},K174&amp;"0123456789"))</f>
        <v>1</v>
      </c>
      <c r="M174" t="str">
        <f>LEFT(RIGHT(K174,LEN(K174)-L174+1),6)</f>
        <v/>
      </c>
      <c r="O174" s="70">
        <f>IFERROR(RIGHT(SUBSTITUTE(N174,"$",CHAR(9),2),LEN(N174)-FIND(CHAR(9),SUBSTITUTE(N174,"$",CHAR(9),2),1) ),N174)</f>
        <v>0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 t="str">
        <f t="shared" si="4"/>
        <v/>
      </c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</row>
    <row r="175" spans="2:123" hidden="1">
      <c r="B175" s="54" t="str">
        <f>TRIM(MID(SUBSTITUTE(A175," ",REPT(" ",LEN(A175))), (4-1)*LEN(A175)+1, LEN(A175)))</f>
        <v/>
      </c>
      <c r="C175" t="str">
        <f>IFERROR(VLOOKUP(A175,Processor_DB_Intel!$A$1:'Processor_DB_Intel'!$D$494,4,FALSE),"")</f>
        <v/>
      </c>
      <c r="D175" t="str">
        <f>IFERROR(LEFT(VLOOKUP(A175,Processor_DB_Intel!$A$1:'Processor_DB_Intel'!$F$494,6,FALSE),3),"")</f>
        <v/>
      </c>
      <c r="E175" s="73" t="str">
        <f>IF(O175 = 0,"",O175)</f>
        <v/>
      </c>
      <c r="F175" s="56" t="str">
        <f>IFERROR(E175/C175,"")</f>
        <v/>
      </c>
      <c r="G175" t="str">
        <f t="shared" si="6"/>
        <v/>
      </c>
      <c r="H175" t="str">
        <f t="shared" si="5"/>
        <v/>
      </c>
      <c r="I175" s="56" t="str">
        <f>IFERROR(E175/G175,"")</f>
        <v/>
      </c>
      <c r="J175" s="57" t="str">
        <f>IFERROR(1-(I175/$AC$3),"")</f>
        <v/>
      </c>
      <c r="L175">
        <f>MIN(SEARCH({0,1,2,3,4,5,6,7,8,9},K175&amp;"0123456789"))</f>
        <v>1</v>
      </c>
      <c r="M175" t="str">
        <f>LEFT(RIGHT(K175,LEN(K175)-L175+1),6)</f>
        <v/>
      </c>
      <c r="O175" s="70">
        <f>IFERROR(RIGHT(SUBSTITUTE(N175,"$",CHAR(9),2),LEN(N175)-FIND(CHAR(9),SUBSTITUTE(N175,"$",CHAR(9),2),1) ),N175)</f>
        <v>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 t="str">
        <f t="shared" si="4"/>
        <v/>
      </c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</row>
    <row r="176" spans="2:123" hidden="1">
      <c r="B176" s="54" t="str">
        <f>TRIM(MID(SUBSTITUTE(A176," ",REPT(" ",LEN(A176))), (4-1)*LEN(A176)+1, LEN(A176)))</f>
        <v/>
      </c>
      <c r="C176" t="str">
        <f>IFERROR(VLOOKUP(A176,Processor_DB_Intel!$A$1:'Processor_DB_Intel'!$D$494,4,FALSE),"")</f>
        <v/>
      </c>
      <c r="D176" t="str">
        <f>IFERROR(LEFT(VLOOKUP(A176,Processor_DB_Intel!$A$1:'Processor_DB_Intel'!$F$494,6,FALSE),3),"")</f>
        <v/>
      </c>
      <c r="E176" s="73" t="str">
        <f>IF(O176 = 0,"",O176)</f>
        <v/>
      </c>
      <c r="F176" s="56" t="str">
        <f>IFERROR(E176/C176,"")</f>
        <v/>
      </c>
      <c r="G176" t="str">
        <f t="shared" si="6"/>
        <v/>
      </c>
      <c r="H176" t="str">
        <f t="shared" si="5"/>
        <v/>
      </c>
      <c r="I176" s="56" t="str">
        <f>IFERROR(E176/G176,"")</f>
        <v/>
      </c>
      <c r="J176" s="57" t="str">
        <f>IFERROR(1-(I176/$AC$3),"")</f>
        <v/>
      </c>
      <c r="L176">
        <f>MIN(SEARCH({0,1,2,3,4,5,6,7,8,9},K176&amp;"0123456789"))</f>
        <v>1</v>
      </c>
      <c r="M176" t="str">
        <f>LEFT(RIGHT(K176,LEN(K176)-L176+1),6)</f>
        <v/>
      </c>
      <c r="O176" s="70">
        <f>IFERROR(RIGHT(SUBSTITUTE(N176,"$",CHAR(9),2),LEN(N176)-FIND(CHAR(9),SUBSTITUTE(N176,"$",CHAR(9),2),1) ),N176)</f>
        <v>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 t="str">
        <f t="shared" si="4"/>
        <v/>
      </c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</row>
    <row r="177" spans="2:123" hidden="1">
      <c r="B177" s="54" t="str">
        <f>TRIM(MID(SUBSTITUTE(A177," ",REPT(" ",LEN(A177))), (4-1)*LEN(A177)+1, LEN(A177)))</f>
        <v/>
      </c>
      <c r="C177" t="str">
        <f>IFERROR(VLOOKUP(A177,Processor_DB_Intel!$A$1:'Processor_DB_Intel'!$D$494,4,FALSE),"")</f>
        <v/>
      </c>
      <c r="D177" t="str">
        <f>IFERROR(LEFT(VLOOKUP(A177,Processor_DB_Intel!$A$1:'Processor_DB_Intel'!$F$494,6,FALSE),3),"")</f>
        <v/>
      </c>
      <c r="E177" s="73" t="str">
        <f>IF(O177 = 0,"",O177)</f>
        <v/>
      </c>
      <c r="F177" s="56" t="str">
        <f>IFERROR(E177/C177,"")</f>
        <v/>
      </c>
      <c r="G177" t="str">
        <f t="shared" si="6"/>
        <v/>
      </c>
      <c r="H177" t="str">
        <f t="shared" si="5"/>
        <v/>
      </c>
      <c r="I177" s="56" t="str">
        <f>IFERROR(E177/G177,"")</f>
        <v/>
      </c>
      <c r="J177" s="57" t="str">
        <f>IFERROR(1-(I177/$AC$3),"")</f>
        <v/>
      </c>
      <c r="L177">
        <f>MIN(SEARCH({0,1,2,3,4,5,6,7,8,9},K177&amp;"0123456789"))</f>
        <v>1</v>
      </c>
      <c r="M177" t="str">
        <f>LEFT(RIGHT(K177,LEN(K177)-L177+1),6)</f>
        <v/>
      </c>
      <c r="O177" s="70">
        <f>IFERROR(RIGHT(SUBSTITUTE(N177,"$",CHAR(9),2),LEN(N177)-FIND(CHAR(9),SUBSTITUTE(N177,"$",CHAR(9),2),1) ),N177)</f>
        <v>0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 t="str">
        <f t="shared" si="4"/>
        <v/>
      </c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</row>
    <row r="178" spans="2:123" hidden="1">
      <c r="B178" s="54" t="str">
        <f>TRIM(MID(SUBSTITUTE(A178," ",REPT(" ",LEN(A178))), (4-1)*LEN(A178)+1, LEN(A178)))</f>
        <v/>
      </c>
      <c r="C178" t="str">
        <f>IFERROR(VLOOKUP(A178,Processor_DB_Intel!$A$1:'Processor_DB_Intel'!$D$494,4,FALSE),"")</f>
        <v/>
      </c>
      <c r="D178" t="str">
        <f>IFERROR(LEFT(VLOOKUP(A178,Processor_DB_Intel!$A$1:'Processor_DB_Intel'!$F$494,6,FALSE),3),"")</f>
        <v/>
      </c>
      <c r="E178" s="73" t="str">
        <f>IF(O178 = 0,"",O178)</f>
        <v/>
      </c>
      <c r="F178" s="56" t="str">
        <f>IFERROR(E178/C178,"")</f>
        <v/>
      </c>
      <c r="G178" t="str">
        <f t="shared" si="6"/>
        <v/>
      </c>
      <c r="H178" t="str">
        <f t="shared" si="5"/>
        <v/>
      </c>
      <c r="I178" s="56" t="str">
        <f>IFERROR(E178/G178,"")</f>
        <v/>
      </c>
      <c r="J178" s="57" t="str">
        <f>IFERROR(1-(I178/$AC$3),"")</f>
        <v/>
      </c>
      <c r="L178">
        <f>MIN(SEARCH({0,1,2,3,4,5,6,7,8,9},K178&amp;"0123456789"))</f>
        <v>1</v>
      </c>
      <c r="M178" t="str">
        <f>LEFT(RIGHT(K178,LEN(K178)-L178+1),6)</f>
        <v/>
      </c>
      <c r="O178" s="70">
        <f>IFERROR(RIGHT(SUBSTITUTE(N178,"$",CHAR(9),2),LEN(N178)-FIND(CHAR(9),SUBSTITUTE(N178,"$",CHAR(9),2),1) ),N178)</f>
        <v>0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 t="str">
        <f t="shared" si="4"/>
        <v/>
      </c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</row>
    <row r="179" spans="2:123" hidden="1">
      <c r="B179" s="54" t="str">
        <f>TRIM(MID(SUBSTITUTE(A179," ",REPT(" ",LEN(A179))), (4-1)*LEN(A179)+1, LEN(A179)))</f>
        <v/>
      </c>
      <c r="C179" t="str">
        <f>IFERROR(VLOOKUP(A179,Processor_DB_Intel!$A$1:'Processor_DB_Intel'!$D$494,4,FALSE),"")</f>
        <v/>
      </c>
      <c r="D179" t="str">
        <f>IFERROR(LEFT(VLOOKUP(A179,Processor_DB_Intel!$A$1:'Processor_DB_Intel'!$F$494,6,FALSE),3),"")</f>
        <v/>
      </c>
      <c r="E179" s="73" t="str">
        <f>IF(O179 = 0,"",O179)</f>
        <v/>
      </c>
      <c r="F179" s="56" t="str">
        <f>IFERROR(E179/C179,"")</f>
        <v/>
      </c>
      <c r="G179" t="str">
        <f t="shared" si="6"/>
        <v/>
      </c>
      <c r="H179" t="str">
        <f t="shared" si="5"/>
        <v/>
      </c>
      <c r="I179" s="56" t="str">
        <f>IFERROR(E179/G179,"")</f>
        <v/>
      </c>
      <c r="J179" s="57" t="str">
        <f>IFERROR(1-(I179/$AC$3),"")</f>
        <v/>
      </c>
      <c r="L179">
        <f>MIN(SEARCH({0,1,2,3,4,5,6,7,8,9},K179&amp;"0123456789"))</f>
        <v>1</v>
      </c>
      <c r="M179" t="str">
        <f>LEFT(RIGHT(K179,LEN(K179)-L179+1),6)</f>
        <v/>
      </c>
      <c r="O179" s="70">
        <f>IFERROR(RIGHT(SUBSTITUTE(N179,"$",CHAR(9),2),LEN(N179)-FIND(CHAR(9),SUBSTITUTE(N179,"$",CHAR(9),2),1) ),N179)</f>
        <v>0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 t="str">
        <f t="shared" si="4"/>
        <v/>
      </c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</row>
    <row r="180" spans="2:123" hidden="1">
      <c r="B180" s="54" t="str">
        <f>TRIM(MID(SUBSTITUTE(A180," ",REPT(" ",LEN(A180))), (4-1)*LEN(A180)+1, LEN(A180)))</f>
        <v/>
      </c>
      <c r="C180" t="str">
        <f>IFERROR(VLOOKUP(A180,Processor_DB_Intel!$A$1:'Processor_DB_Intel'!$D$494,4,FALSE),"")</f>
        <v/>
      </c>
      <c r="D180" t="str">
        <f>IFERROR(LEFT(VLOOKUP(A180,Processor_DB_Intel!$A$1:'Processor_DB_Intel'!$F$494,6,FALSE),3),"")</f>
        <v/>
      </c>
      <c r="E180" s="73" t="str">
        <f>IF(O180 = 0,"",O180)</f>
        <v/>
      </c>
      <c r="F180" s="56" t="str">
        <f>IFERROR(E180/C180,"")</f>
        <v/>
      </c>
      <c r="G180" t="str">
        <f t="shared" si="6"/>
        <v/>
      </c>
      <c r="H180" t="str">
        <f t="shared" si="5"/>
        <v/>
      </c>
      <c r="I180" s="56" t="str">
        <f>IFERROR(E180/G180,"")</f>
        <v/>
      </c>
      <c r="J180" s="57" t="str">
        <f>IFERROR(1-(I180/$AC$3),"")</f>
        <v/>
      </c>
      <c r="L180">
        <f>MIN(SEARCH({0,1,2,3,4,5,6,7,8,9},K180&amp;"0123456789"))</f>
        <v>1</v>
      </c>
      <c r="M180" t="str">
        <f>LEFT(RIGHT(K180,LEN(K180)-L180+1),6)</f>
        <v/>
      </c>
      <c r="O180" s="70">
        <f>IFERROR(RIGHT(SUBSTITUTE(N180,"$",CHAR(9),2),LEN(N180)-FIND(CHAR(9),SUBSTITUTE(N180,"$",CHAR(9),2),1) ),N180)</f>
        <v>0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 t="str">
        <f t="shared" si="4"/>
        <v/>
      </c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</row>
    <row r="181" spans="2:123" hidden="1">
      <c r="B181" s="54" t="str">
        <f>TRIM(MID(SUBSTITUTE(A181," ",REPT(" ",LEN(A181))), (4-1)*LEN(A181)+1, LEN(A181)))</f>
        <v/>
      </c>
      <c r="C181" t="str">
        <f>IFERROR(VLOOKUP(A181,Processor_DB_Intel!$A$1:'Processor_DB_Intel'!$D$494,4,FALSE),"")</f>
        <v/>
      </c>
      <c r="D181" t="str">
        <f>IFERROR(LEFT(VLOOKUP(A181,Processor_DB_Intel!$A$1:'Processor_DB_Intel'!$F$494,6,FALSE),3),"")</f>
        <v/>
      </c>
      <c r="E181" s="73" t="str">
        <f>IF(O181 = 0,"",O181)</f>
        <v/>
      </c>
      <c r="F181" s="56" t="str">
        <f>IFERROR(E181/C181,"")</f>
        <v/>
      </c>
      <c r="G181" t="str">
        <f t="shared" si="6"/>
        <v/>
      </c>
      <c r="H181" t="str">
        <f t="shared" si="5"/>
        <v/>
      </c>
      <c r="I181" s="56" t="str">
        <f>IFERROR(E181/G181,"")</f>
        <v/>
      </c>
      <c r="J181" s="57" t="str">
        <f>IFERROR(1-(I181/$AC$3),"")</f>
        <v/>
      </c>
      <c r="L181">
        <f>MIN(SEARCH({0,1,2,3,4,5,6,7,8,9},K181&amp;"0123456789"))</f>
        <v>1</v>
      </c>
      <c r="M181" t="str">
        <f>LEFT(RIGHT(K181,LEN(K181)-L181+1),6)</f>
        <v/>
      </c>
      <c r="O181" s="70">
        <f>IFERROR(RIGHT(SUBSTITUTE(N181,"$",CHAR(9),2),LEN(N181)-FIND(CHAR(9),SUBSTITUTE(N181,"$",CHAR(9),2),1) ),N181)</f>
        <v>0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 t="str">
        <f t="shared" si="4"/>
        <v/>
      </c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</row>
    <row r="182" spans="2:123" hidden="1">
      <c r="B182" s="54" t="str">
        <f>TRIM(MID(SUBSTITUTE(A182," ",REPT(" ",LEN(A182))), (4-1)*LEN(A182)+1, LEN(A182)))</f>
        <v/>
      </c>
      <c r="C182" t="str">
        <f>IFERROR(VLOOKUP(A182,Processor_DB_Intel!$A$1:'Processor_DB_Intel'!$D$494,4,FALSE),"")</f>
        <v/>
      </c>
      <c r="D182" t="str">
        <f>IFERROR(LEFT(VLOOKUP(A182,Processor_DB_Intel!$A$1:'Processor_DB_Intel'!$F$494,6,FALSE),3),"")</f>
        <v/>
      </c>
      <c r="E182" s="73" t="str">
        <f>IF(O182 = 0,"",O182)</f>
        <v/>
      </c>
      <c r="F182" s="56" t="str">
        <f>IFERROR(E182/C182,"")</f>
        <v/>
      </c>
      <c r="G182" t="str">
        <f t="shared" si="6"/>
        <v/>
      </c>
      <c r="H182" t="str">
        <f t="shared" si="5"/>
        <v/>
      </c>
      <c r="I182" s="56" t="str">
        <f>IFERROR(E182/G182,"")</f>
        <v/>
      </c>
      <c r="J182" s="57" t="str">
        <f>IFERROR(1-(I182/$AC$3),"")</f>
        <v/>
      </c>
      <c r="L182">
        <f>MIN(SEARCH({0,1,2,3,4,5,6,7,8,9},K182&amp;"0123456789"))</f>
        <v>1</v>
      </c>
      <c r="M182" t="str">
        <f>LEFT(RIGHT(K182,LEN(K182)-L182+1),6)</f>
        <v/>
      </c>
      <c r="O182" s="70">
        <f>IFERROR(RIGHT(SUBSTITUTE(N182,"$",CHAR(9),2),LEN(N182)-FIND(CHAR(9),SUBSTITUTE(N182,"$",CHAR(9),2),1) ),N182)</f>
        <v>0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 t="str">
        <f t="shared" si="4"/>
        <v/>
      </c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</row>
    <row r="183" spans="2:123" hidden="1">
      <c r="B183" s="54" t="str">
        <f>TRIM(MID(SUBSTITUTE(A183," ",REPT(" ",LEN(A183))), (4-1)*LEN(A183)+1, LEN(A183)))</f>
        <v/>
      </c>
      <c r="C183" t="str">
        <f>IFERROR(VLOOKUP(A183,Processor_DB_Intel!$A$1:'Processor_DB_Intel'!$D$494,4,FALSE),"")</f>
        <v/>
      </c>
      <c r="D183" t="str">
        <f>IFERROR(LEFT(VLOOKUP(A183,Processor_DB_Intel!$A$1:'Processor_DB_Intel'!$F$494,6,FALSE),3),"")</f>
        <v/>
      </c>
      <c r="E183" s="73" t="str">
        <f>IF(O183 = 0,"",O183)</f>
        <v/>
      </c>
      <c r="F183" s="56" t="str">
        <f>IFERROR(E183/C183,"")</f>
        <v/>
      </c>
      <c r="G183" t="str">
        <f t="shared" si="6"/>
        <v/>
      </c>
      <c r="H183" t="str">
        <f t="shared" si="5"/>
        <v/>
      </c>
      <c r="I183" s="56" t="str">
        <f>IFERROR(E183/G183,"")</f>
        <v/>
      </c>
      <c r="J183" s="57" t="str">
        <f>IFERROR(1-(I183/$AC$3),"")</f>
        <v/>
      </c>
      <c r="L183">
        <f>MIN(SEARCH({0,1,2,3,4,5,6,7,8,9},K183&amp;"0123456789"))</f>
        <v>1</v>
      </c>
      <c r="M183" t="str">
        <f>LEFT(RIGHT(K183,LEN(K183)-L183+1),6)</f>
        <v/>
      </c>
      <c r="O183" s="70">
        <f>IFERROR(RIGHT(SUBSTITUTE(N183,"$",CHAR(9),2),LEN(N183)-FIND(CHAR(9),SUBSTITUTE(N183,"$",CHAR(9),2),1) ),N183)</f>
        <v>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 t="str">
        <f t="shared" si="4"/>
        <v/>
      </c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</row>
    <row r="184" spans="2:123" hidden="1">
      <c r="B184" s="54" t="str">
        <f>TRIM(MID(SUBSTITUTE(A184," ",REPT(" ",LEN(A184))), (4-1)*LEN(A184)+1, LEN(A184)))</f>
        <v/>
      </c>
      <c r="C184" t="str">
        <f>IFERROR(VLOOKUP(A184,Processor_DB_Intel!$A$1:'Processor_DB_Intel'!$D$494,4,FALSE),"")</f>
        <v/>
      </c>
      <c r="D184" t="str">
        <f>IFERROR(LEFT(VLOOKUP(A184,Processor_DB_Intel!$A$1:'Processor_DB_Intel'!$F$494,6,FALSE),3),"")</f>
        <v/>
      </c>
      <c r="E184" s="73" t="str">
        <f>IF(O184 = 0,"",O184)</f>
        <v/>
      </c>
      <c r="F184" s="56" t="str">
        <f>IFERROR(E184/C184,"")</f>
        <v/>
      </c>
      <c r="G184" t="str">
        <f t="shared" si="6"/>
        <v/>
      </c>
      <c r="H184" t="str">
        <f t="shared" si="5"/>
        <v/>
      </c>
      <c r="I184" s="56" t="str">
        <f>IFERROR(E184/G184,"")</f>
        <v/>
      </c>
      <c r="J184" s="57" t="str">
        <f>IFERROR(1-(I184/$AC$3),"")</f>
        <v/>
      </c>
      <c r="L184">
        <f>MIN(SEARCH({0,1,2,3,4,5,6,7,8,9},K184&amp;"0123456789"))</f>
        <v>1</v>
      </c>
      <c r="M184" t="str">
        <f>LEFT(RIGHT(K184,LEN(K184)-L184+1),6)</f>
        <v/>
      </c>
      <c r="O184" s="70">
        <f>IFERROR(RIGHT(SUBSTITUTE(N184,"$",CHAR(9),2),LEN(N184)-FIND(CHAR(9),SUBSTITUTE(N184,"$",CHAR(9),2),1) ),N184)</f>
        <v>0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 t="str">
        <f t="shared" si="4"/>
        <v/>
      </c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</row>
    <row r="185" spans="2:123" hidden="1">
      <c r="B185" s="54" t="str">
        <f>TRIM(MID(SUBSTITUTE(A185," ",REPT(" ",LEN(A185))), (4-1)*LEN(A185)+1, LEN(A185)))</f>
        <v/>
      </c>
      <c r="C185" t="str">
        <f>IFERROR(VLOOKUP(A185,Processor_DB_Intel!$A$1:'Processor_DB_Intel'!$D$494,4,FALSE),"")</f>
        <v/>
      </c>
      <c r="D185" t="str">
        <f>IFERROR(LEFT(VLOOKUP(A185,Processor_DB_Intel!$A$1:'Processor_DB_Intel'!$F$494,6,FALSE),3),"")</f>
        <v/>
      </c>
      <c r="E185" s="73" t="str">
        <f>IF(O185 = 0,"",O185)</f>
        <v/>
      </c>
      <c r="F185" s="56" t="str">
        <f>IFERROR(E185/C185,"")</f>
        <v/>
      </c>
      <c r="G185" t="str">
        <f t="shared" si="6"/>
        <v/>
      </c>
      <c r="H185" t="str">
        <f t="shared" si="5"/>
        <v/>
      </c>
      <c r="I185" s="56" t="str">
        <f>IFERROR(E185/G185,"")</f>
        <v/>
      </c>
      <c r="J185" s="57" t="str">
        <f>IFERROR(1-(I185/$AC$3),"")</f>
        <v/>
      </c>
      <c r="L185">
        <f>MIN(SEARCH({0,1,2,3,4,5,6,7,8,9},K185&amp;"0123456789"))</f>
        <v>1</v>
      </c>
      <c r="M185" t="str">
        <f>LEFT(RIGHT(K185,LEN(K185)-L185+1),6)</f>
        <v/>
      </c>
      <c r="O185" s="70">
        <f>IFERROR(RIGHT(SUBSTITUTE(N185,"$",CHAR(9),2),LEN(N185)-FIND(CHAR(9),SUBSTITUTE(N185,"$",CHAR(9),2),1) ),N185)</f>
        <v>0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 t="str">
        <f t="shared" si="4"/>
        <v/>
      </c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</row>
    <row r="186" spans="2:123" hidden="1">
      <c r="B186" s="54" t="str">
        <f>TRIM(MID(SUBSTITUTE(A186," ",REPT(" ",LEN(A186))), (4-1)*LEN(A186)+1, LEN(A186)))</f>
        <v/>
      </c>
      <c r="C186" t="str">
        <f>IFERROR(VLOOKUP(A186,Processor_DB_Intel!$A$1:'Processor_DB_Intel'!$D$494,4,FALSE),"")</f>
        <v/>
      </c>
      <c r="D186" t="str">
        <f>IFERROR(LEFT(VLOOKUP(A186,Processor_DB_Intel!$A$1:'Processor_DB_Intel'!$F$494,6,FALSE),3),"")</f>
        <v/>
      </c>
      <c r="E186" s="73" t="str">
        <f>IF(O186 = 0,"",O186)</f>
        <v/>
      </c>
      <c r="F186" s="56" t="str">
        <f>IFERROR(E186/C186,"")</f>
        <v/>
      </c>
      <c r="G186" t="str">
        <f t="shared" si="6"/>
        <v/>
      </c>
      <c r="H186" t="str">
        <f t="shared" si="5"/>
        <v/>
      </c>
      <c r="I186" s="56" t="str">
        <f>IFERROR(E186/G186,"")</f>
        <v/>
      </c>
      <c r="J186" s="57" t="str">
        <f>IFERROR(1-(I186/$AC$3),"")</f>
        <v/>
      </c>
      <c r="L186">
        <f>MIN(SEARCH({0,1,2,3,4,5,6,7,8,9},K186&amp;"0123456789"))</f>
        <v>1</v>
      </c>
      <c r="M186" t="str">
        <f>LEFT(RIGHT(K186,LEN(K186)-L186+1),6)</f>
        <v/>
      </c>
      <c r="O186" s="70">
        <f>IFERROR(RIGHT(SUBSTITUTE(N186,"$",CHAR(9),2),LEN(N186)-FIND(CHAR(9),SUBSTITUTE(N186,"$",CHAR(9),2),1) ),N186)</f>
        <v>0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 t="str">
        <f t="shared" si="4"/>
        <v/>
      </c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</row>
    <row r="187" spans="2:123" hidden="1">
      <c r="B187" s="54" t="str">
        <f>TRIM(MID(SUBSTITUTE(A187," ",REPT(" ",LEN(A187))), (4-1)*LEN(A187)+1, LEN(A187)))</f>
        <v/>
      </c>
      <c r="C187" t="str">
        <f>IFERROR(VLOOKUP(A187,Processor_DB_Intel!$A$1:'Processor_DB_Intel'!$D$494,4,FALSE),"")</f>
        <v/>
      </c>
      <c r="D187" t="str">
        <f>IFERROR(LEFT(VLOOKUP(A187,Processor_DB_Intel!$A$1:'Processor_DB_Intel'!$F$494,6,FALSE),3),"")</f>
        <v/>
      </c>
      <c r="E187" s="73" t="str">
        <f>IF(O187 = 0,"",O187)</f>
        <v/>
      </c>
      <c r="F187" s="56" t="str">
        <f>IFERROR(E187/C187,"")</f>
        <v/>
      </c>
      <c r="G187" t="str">
        <f t="shared" si="6"/>
        <v/>
      </c>
      <c r="H187" t="str">
        <f t="shared" si="5"/>
        <v/>
      </c>
      <c r="I187" s="56" t="str">
        <f>IFERROR(E187/G187,"")</f>
        <v/>
      </c>
      <c r="J187" s="57" t="str">
        <f>IFERROR(1-(I187/$AC$3),"")</f>
        <v/>
      </c>
      <c r="L187">
        <f>MIN(SEARCH({0,1,2,3,4,5,6,7,8,9},K187&amp;"0123456789"))</f>
        <v>1</v>
      </c>
      <c r="M187" t="str">
        <f>LEFT(RIGHT(K187,LEN(K187)-L187+1),6)</f>
        <v/>
      </c>
      <c r="O187" s="70">
        <f>IFERROR(RIGHT(SUBSTITUTE(N187,"$",CHAR(9),2),LEN(N187)-FIND(CHAR(9),SUBSTITUTE(N187,"$",CHAR(9),2),1) ),N187)</f>
        <v>0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 t="str">
        <f t="shared" si="4"/>
        <v/>
      </c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</row>
    <row r="188" spans="2:123" hidden="1">
      <c r="B188" s="54" t="str">
        <f>TRIM(MID(SUBSTITUTE(A188," ",REPT(" ",LEN(A188))), (4-1)*LEN(A188)+1, LEN(A188)))</f>
        <v/>
      </c>
      <c r="C188" t="str">
        <f>IFERROR(VLOOKUP(A188,Processor_DB_Intel!$A$1:'Processor_DB_Intel'!$D$494,4,FALSE),"")</f>
        <v/>
      </c>
      <c r="D188" t="str">
        <f>IFERROR(LEFT(VLOOKUP(A188,Processor_DB_Intel!$A$1:'Processor_DB_Intel'!$F$494,6,FALSE),3),"")</f>
        <v/>
      </c>
      <c r="E188" s="73" t="str">
        <f>IF(O188 = 0,"",O188)</f>
        <v/>
      </c>
      <c r="F188" s="56" t="str">
        <f>IFERROR(E188/C188,"")</f>
        <v/>
      </c>
      <c r="G188" t="str">
        <f t="shared" si="6"/>
        <v/>
      </c>
      <c r="H188" t="str">
        <f t="shared" si="5"/>
        <v/>
      </c>
      <c r="I188" s="56" t="str">
        <f>IFERROR(E188/G188,"")</f>
        <v/>
      </c>
      <c r="J188" s="57" t="str">
        <f>IFERROR(1-(I188/$AC$3),"")</f>
        <v/>
      </c>
      <c r="L188">
        <f>MIN(SEARCH({0,1,2,3,4,5,6,7,8,9},K188&amp;"0123456789"))</f>
        <v>1</v>
      </c>
      <c r="M188" t="str">
        <f>LEFT(RIGHT(K188,LEN(K188)-L188+1),6)</f>
        <v/>
      </c>
      <c r="O188" s="70">
        <f>IFERROR(RIGHT(SUBSTITUTE(N188,"$",CHAR(9),2),LEN(N188)-FIND(CHAR(9),SUBSTITUTE(N188,"$",CHAR(9),2),1) ),N188)</f>
        <v>0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 t="str">
        <f t="shared" si="4"/>
        <v/>
      </c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</row>
    <row r="189" spans="2:123" hidden="1">
      <c r="B189" s="54" t="str">
        <f>TRIM(MID(SUBSTITUTE(A189," ",REPT(" ",LEN(A189))), (4-1)*LEN(A189)+1, LEN(A189)))</f>
        <v/>
      </c>
      <c r="C189" t="str">
        <f>IFERROR(VLOOKUP(A189,Processor_DB_Intel!$A$1:'Processor_DB_Intel'!$D$494,4,FALSE),"")</f>
        <v/>
      </c>
      <c r="D189" t="str">
        <f>IFERROR(LEFT(VLOOKUP(A189,Processor_DB_Intel!$A$1:'Processor_DB_Intel'!$F$494,6,FALSE),3),"")</f>
        <v/>
      </c>
      <c r="E189" s="73" t="str">
        <f>IF(O189 = 0,"",O189)</f>
        <v/>
      </c>
      <c r="F189" s="56" t="str">
        <f>IFERROR(E189/C189,"")</f>
        <v/>
      </c>
      <c r="G189" t="str">
        <f t="shared" si="6"/>
        <v/>
      </c>
      <c r="H189" t="str">
        <f t="shared" si="5"/>
        <v/>
      </c>
      <c r="I189" s="56" t="str">
        <f>IFERROR(E189/G189,"")</f>
        <v/>
      </c>
      <c r="J189" s="57" t="str">
        <f>IFERROR(1-(I189/$AC$3),"")</f>
        <v/>
      </c>
      <c r="L189">
        <f>MIN(SEARCH({0,1,2,3,4,5,6,7,8,9},K189&amp;"0123456789"))</f>
        <v>1</v>
      </c>
      <c r="M189" t="str">
        <f>LEFT(RIGHT(K189,LEN(K189)-L189+1),6)</f>
        <v/>
      </c>
      <c r="O189" s="70">
        <f>IFERROR(RIGHT(SUBSTITUTE(N189,"$",CHAR(9),2),LEN(N189)-FIND(CHAR(9),SUBSTITUTE(N189,"$",CHAR(9),2),1) ),N189)</f>
        <v>0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 t="str">
        <f t="shared" si="4"/>
        <v/>
      </c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</row>
    <row r="190" spans="2:123" hidden="1">
      <c r="B190" s="54" t="str">
        <f>TRIM(MID(SUBSTITUTE(A190," ",REPT(" ",LEN(A190))), (4-1)*LEN(A190)+1, LEN(A190)))</f>
        <v/>
      </c>
      <c r="C190" t="str">
        <f>IFERROR(VLOOKUP(A190,Processor_DB_Intel!$A$1:'Processor_DB_Intel'!$D$494,4,FALSE),"")</f>
        <v/>
      </c>
      <c r="D190" t="str">
        <f>IFERROR(LEFT(VLOOKUP(A190,Processor_DB_Intel!$A$1:'Processor_DB_Intel'!$F$494,6,FALSE),3),"")</f>
        <v/>
      </c>
      <c r="E190" s="73" t="str">
        <f>IF(O190 = 0,"",O190)</f>
        <v/>
      </c>
      <c r="F190" s="56" t="str">
        <f>IFERROR(E190/C190,"")</f>
        <v/>
      </c>
      <c r="G190" t="str">
        <f t="shared" si="6"/>
        <v/>
      </c>
      <c r="H190" t="str">
        <f t="shared" si="5"/>
        <v/>
      </c>
      <c r="I190" s="56" t="str">
        <f>IFERROR(E190/G190,"")</f>
        <v/>
      </c>
      <c r="J190" s="57" t="str">
        <f>IFERROR(1-(I190/$AC$3),"")</f>
        <v/>
      </c>
      <c r="L190">
        <f>MIN(SEARCH({0,1,2,3,4,5,6,7,8,9},K190&amp;"0123456789"))</f>
        <v>1</v>
      </c>
      <c r="M190" t="str">
        <f>LEFT(RIGHT(K190,LEN(K190)-L190+1),6)</f>
        <v/>
      </c>
      <c r="O190" s="70">
        <f>IFERROR(RIGHT(SUBSTITUTE(N190,"$",CHAR(9),2),LEN(N190)-FIND(CHAR(9),SUBSTITUTE(N190,"$",CHAR(9),2),1) ),N190)</f>
        <v>0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 t="str">
        <f t="shared" si="4"/>
        <v/>
      </c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</row>
    <row r="191" spans="2:123" hidden="1">
      <c r="B191" s="54" t="str">
        <f>TRIM(MID(SUBSTITUTE(A191," ",REPT(" ",LEN(A191))), (4-1)*LEN(A191)+1, LEN(A191)))</f>
        <v/>
      </c>
      <c r="C191" t="str">
        <f>IFERROR(VLOOKUP(A191,Processor_DB_Intel!$A$1:'Processor_DB_Intel'!$D$494,4,FALSE),"")</f>
        <v/>
      </c>
      <c r="D191" t="str">
        <f>IFERROR(LEFT(VLOOKUP(A191,Processor_DB_Intel!$A$1:'Processor_DB_Intel'!$F$494,6,FALSE),3),"")</f>
        <v/>
      </c>
      <c r="E191" s="73" t="str">
        <f>IF(O191 = 0,"",O191)</f>
        <v/>
      </c>
      <c r="F191" s="56" t="str">
        <f>IFERROR(E191/C191,"")</f>
        <v/>
      </c>
      <c r="G191" t="str">
        <f t="shared" si="6"/>
        <v/>
      </c>
      <c r="H191" t="str">
        <f t="shared" si="5"/>
        <v/>
      </c>
      <c r="I191" s="56" t="str">
        <f>IFERROR(E191/G191,"")</f>
        <v/>
      </c>
      <c r="J191" s="57" t="str">
        <f>IFERROR(1-(I191/$AC$3),"")</f>
        <v/>
      </c>
      <c r="L191">
        <f>MIN(SEARCH({0,1,2,3,4,5,6,7,8,9},K191&amp;"0123456789"))</f>
        <v>1</v>
      </c>
      <c r="M191" t="str">
        <f>LEFT(RIGHT(K191,LEN(K191)-L191+1),6)</f>
        <v/>
      </c>
      <c r="O191" s="70">
        <f>IFERROR(RIGHT(SUBSTITUTE(N191,"$",CHAR(9),2),LEN(N191)-FIND(CHAR(9),SUBSTITUTE(N191,"$",CHAR(9),2),1) ),N191)</f>
        <v>0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 t="str">
        <f t="shared" si="4"/>
        <v/>
      </c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</row>
    <row r="192" spans="2:123" hidden="1">
      <c r="B192" s="54" t="str">
        <f>TRIM(MID(SUBSTITUTE(A192," ",REPT(" ",LEN(A192))), (4-1)*LEN(A192)+1, LEN(A192)))</f>
        <v/>
      </c>
      <c r="C192" t="str">
        <f>IFERROR(VLOOKUP(A192,Processor_DB_Intel!$A$1:'Processor_DB_Intel'!$D$494,4,FALSE),"")</f>
        <v/>
      </c>
      <c r="D192" t="str">
        <f>IFERROR(LEFT(VLOOKUP(A192,Processor_DB_Intel!$A$1:'Processor_DB_Intel'!$F$494,6,FALSE),3),"")</f>
        <v/>
      </c>
      <c r="E192" s="73" t="str">
        <f>IF(O192 = 0,"",O192)</f>
        <v/>
      </c>
      <c r="F192" s="56" t="str">
        <f>IFERROR(E192/C192,"")</f>
        <v/>
      </c>
      <c r="G192" t="str">
        <f t="shared" si="6"/>
        <v/>
      </c>
      <c r="H192" t="str">
        <f t="shared" si="5"/>
        <v/>
      </c>
      <c r="I192" s="56" t="str">
        <f>IFERROR(E192/G192,"")</f>
        <v/>
      </c>
      <c r="J192" s="57" t="str">
        <f>IFERROR(1-(I192/$AC$3),"")</f>
        <v/>
      </c>
      <c r="L192">
        <f>MIN(SEARCH({0,1,2,3,4,5,6,7,8,9},K192&amp;"0123456789"))</f>
        <v>1</v>
      </c>
      <c r="M192" t="str">
        <f>LEFT(RIGHT(K192,LEN(K192)-L192+1),6)</f>
        <v/>
      </c>
      <c r="O192" s="70">
        <f>IFERROR(RIGHT(SUBSTITUTE(N192,"$",CHAR(9),2),LEN(N192)-FIND(CHAR(9),SUBSTITUTE(N192,"$",CHAR(9),2),1) ),N192)</f>
        <v>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 t="str">
        <f t="shared" si="4"/>
        <v/>
      </c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</row>
    <row r="193" spans="2:123" hidden="1">
      <c r="B193" s="54" t="str">
        <f>TRIM(MID(SUBSTITUTE(A193," ",REPT(" ",LEN(A193))), (4-1)*LEN(A193)+1, LEN(A193)))</f>
        <v/>
      </c>
      <c r="C193" t="str">
        <f>IFERROR(VLOOKUP(A193,Processor_DB_Intel!$A$1:'Processor_DB_Intel'!$D$494,4,FALSE),"")</f>
        <v/>
      </c>
      <c r="D193" t="str">
        <f>IFERROR(LEFT(VLOOKUP(A193,Processor_DB_Intel!$A$1:'Processor_DB_Intel'!$F$494,6,FALSE),3),"")</f>
        <v/>
      </c>
      <c r="E193" s="73" t="str">
        <f>IF(O193 = 0,"",O193)</f>
        <v/>
      </c>
      <c r="F193" s="56" t="str">
        <f>IFERROR(E193/C193,"")</f>
        <v/>
      </c>
      <c r="G193" t="str">
        <f t="shared" si="6"/>
        <v/>
      </c>
      <c r="H193" t="str">
        <f t="shared" si="5"/>
        <v/>
      </c>
      <c r="I193" s="56" t="str">
        <f>IFERROR(E193/G193,"")</f>
        <v/>
      </c>
      <c r="J193" s="57" t="str">
        <f>IFERROR(1-(I193/$AC$3),"")</f>
        <v/>
      </c>
      <c r="L193">
        <f>MIN(SEARCH({0,1,2,3,4,5,6,7,8,9},K193&amp;"0123456789"))</f>
        <v>1</v>
      </c>
      <c r="M193" t="str">
        <f>LEFT(RIGHT(K193,LEN(K193)-L193+1),6)</f>
        <v/>
      </c>
      <c r="O193" s="70">
        <f>IFERROR(RIGHT(SUBSTITUTE(N193,"$",CHAR(9),2),LEN(N193)-FIND(CHAR(9),SUBSTITUTE(N193,"$",CHAR(9),2),1) ),N193)</f>
        <v>0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 t="str">
        <f t="shared" si="4"/>
        <v/>
      </c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</row>
    <row r="194" spans="2:123" hidden="1">
      <c r="B194" s="54" t="str">
        <f>TRIM(MID(SUBSTITUTE(A194," ",REPT(" ",LEN(A194))), (4-1)*LEN(A194)+1, LEN(A194)))</f>
        <v/>
      </c>
      <c r="C194" t="str">
        <f>IFERROR(VLOOKUP(A194,Processor_DB_Intel!$A$1:'Processor_DB_Intel'!$D$494,4,FALSE),"")</f>
        <v/>
      </c>
      <c r="D194" t="str">
        <f>IFERROR(LEFT(VLOOKUP(A194,Processor_DB_Intel!$A$1:'Processor_DB_Intel'!$F$494,6,FALSE),3),"")</f>
        <v/>
      </c>
      <c r="E194" s="73" t="str">
        <f>IF(O194 = 0,"",O194)</f>
        <v/>
      </c>
      <c r="F194" s="56" t="str">
        <f>IFERROR(E194/C194,"")</f>
        <v/>
      </c>
      <c r="G194" t="str">
        <f t="shared" si="6"/>
        <v/>
      </c>
      <c r="H194" t="str">
        <f t="shared" si="5"/>
        <v/>
      </c>
      <c r="I194" s="56" t="str">
        <f>IFERROR(E194/G194,"")</f>
        <v/>
      </c>
      <c r="J194" s="57" t="str">
        <f>IFERROR(1-(I194/$AC$3),"")</f>
        <v/>
      </c>
      <c r="L194">
        <f>MIN(SEARCH({0,1,2,3,4,5,6,7,8,9},K194&amp;"0123456789"))</f>
        <v>1</v>
      </c>
      <c r="M194" t="str">
        <f>LEFT(RIGHT(K194,LEN(K194)-L194+1),6)</f>
        <v/>
      </c>
      <c r="O194" s="70">
        <f>IFERROR(RIGHT(SUBSTITUTE(N194,"$",CHAR(9),2),LEN(N194)-FIND(CHAR(9),SUBSTITUTE(N194,"$",CHAR(9),2),1) ),N194)</f>
        <v>0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 t="str">
        <f t="shared" si="4"/>
        <v/>
      </c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</row>
    <row r="195" spans="2:123" hidden="1">
      <c r="B195" s="54" t="str">
        <f>TRIM(MID(SUBSTITUTE(A195," ",REPT(" ",LEN(A195))), (4-1)*LEN(A195)+1, LEN(A195)))</f>
        <v/>
      </c>
      <c r="C195" t="str">
        <f>IFERROR(VLOOKUP(A195,Processor_DB_Intel!$A$1:'Processor_DB_Intel'!$D$494,4,FALSE),"")</f>
        <v/>
      </c>
      <c r="D195" t="str">
        <f>IFERROR(LEFT(VLOOKUP(A195,Processor_DB_Intel!$A$1:'Processor_DB_Intel'!$F$494,6,FALSE),3),"")</f>
        <v/>
      </c>
      <c r="E195" s="73" t="str">
        <f>IF(O195 = 0,"",O195)</f>
        <v/>
      </c>
      <c r="F195" s="56" t="str">
        <f>IFERROR(E195/C195,"")</f>
        <v/>
      </c>
      <c r="G195" t="str">
        <f t="shared" si="6"/>
        <v/>
      </c>
      <c r="H195" t="str">
        <f t="shared" si="5"/>
        <v/>
      </c>
      <c r="I195" s="56" t="str">
        <f>IFERROR(E195/G195,"")</f>
        <v/>
      </c>
      <c r="J195" s="57" t="str">
        <f>IFERROR(1-(I195/$AC$3),"")</f>
        <v/>
      </c>
      <c r="L195">
        <f>MIN(SEARCH({0,1,2,3,4,5,6,7,8,9},K195&amp;"0123456789"))</f>
        <v>1</v>
      </c>
      <c r="M195" t="str">
        <f>LEFT(RIGHT(K195,LEN(K195)-L195+1),6)</f>
        <v/>
      </c>
      <c r="O195" s="70">
        <f>IFERROR(RIGHT(SUBSTITUTE(N195,"$",CHAR(9),2),LEN(N195)-FIND(CHAR(9),SUBSTITUTE(N195,"$",CHAR(9),2),1) ),N195)</f>
        <v>0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 t="str">
        <f t="shared" si="4"/>
        <v/>
      </c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</row>
    <row r="196" spans="2:123" hidden="1">
      <c r="B196" s="54" t="str">
        <f>TRIM(MID(SUBSTITUTE(A196," ",REPT(" ",LEN(A196))), (4-1)*LEN(A196)+1, LEN(A196)))</f>
        <v/>
      </c>
      <c r="C196" t="str">
        <f>IFERROR(VLOOKUP(A196,Processor_DB_Intel!$A$1:'Processor_DB_Intel'!$D$494,4,FALSE),"")</f>
        <v/>
      </c>
      <c r="D196" t="str">
        <f>IFERROR(LEFT(VLOOKUP(A196,Processor_DB_Intel!$A$1:'Processor_DB_Intel'!$F$494,6,FALSE),3),"")</f>
        <v/>
      </c>
      <c r="E196" s="73" t="str">
        <f>IF(O196 = 0,"",O196)</f>
        <v/>
      </c>
      <c r="F196" s="56" t="str">
        <f>IFERROR(E196/C196,"")</f>
        <v/>
      </c>
      <c r="G196" t="str">
        <f t="shared" si="6"/>
        <v/>
      </c>
      <c r="H196" t="str">
        <f t="shared" si="5"/>
        <v/>
      </c>
      <c r="I196" s="56" t="str">
        <f>IFERROR(E196/G196,"")</f>
        <v/>
      </c>
      <c r="J196" s="57" t="str">
        <f>IFERROR(1-(I196/$AC$3),"")</f>
        <v/>
      </c>
      <c r="L196">
        <f>MIN(SEARCH({0,1,2,3,4,5,6,7,8,9},K196&amp;"0123456789"))</f>
        <v>1</v>
      </c>
      <c r="M196" t="str">
        <f>LEFT(RIGHT(K196,LEN(K196)-L196+1),6)</f>
        <v/>
      </c>
      <c r="O196" s="70">
        <f>IFERROR(RIGHT(SUBSTITUTE(N196,"$",CHAR(9),2),LEN(N196)-FIND(CHAR(9),SUBSTITUTE(N196,"$",CHAR(9),2),1) ),N196)</f>
        <v>0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 t="str">
        <f t="shared" si="4"/>
        <v/>
      </c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</row>
    <row r="197" spans="2:123" hidden="1">
      <c r="B197" s="54" t="str">
        <f>TRIM(MID(SUBSTITUTE(A197," ",REPT(" ",LEN(A197))), (4-1)*LEN(A197)+1, LEN(A197)))</f>
        <v/>
      </c>
      <c r="C197" t="str">
        <f>IFERROR(VLOOKUP(A197,Processor_DB_Intel!$A$1:'Processor_DB_Intel'!$D$494,4,FALSE),"")</f>
        <v/>
      </c>
      <c r="D197" t="str">
        <f>IFERROR(LEFT(VLOOKUP(A197,Processor_DB_Intel!$A$1:'Processor_DB_Intel'!$F$494,6,FALSE),3),"")</f>
        <v/>
      </c>
      <c r="E197" s="73" t="str">
        <f>IF(O197 = 0,"",O197)</f>
        <v/>
      </c>
      <c r="F197" s="56" t="str">
        <f>IFERROR(E197/C197,"")</f>
        <v/>
      </c>
      <c r="G197" t="str">
        <f t="shared" si="6"/>
        <v/>
      </c>
      <c r="H197" t="str">
        <f t="shared" si="5"/>
        <v/>
      </c>
      <c r="I197" s="56" t="str">
        <f>IFERROR(E197/G197,"")</f>
        <v/>
      </c>
      <c r="J197" s="57" t="str">
        <f>IFERROR(1-(I197/$AC$3),"")</f>
        <v/>
      </c>
      <c r="L197">
        <f>MIN(SEARCH({0,1,2,3,4,5,6,7,8,9},K197&amp;"0123456789"))</f>
        <v>1</v>
      </c>
      <c r="M197" t="str">
        <f>LEFT(RIGHT(K197,LEN(K197)-L197+1),6)</f>
        <v/>
      </c>
      <c r="O197" s="70">
        <f>IFERROR(RIGHT(SUBSTITUTE(N197,"$",CHAR(9),2),LEN(N197)-FIND(CHAR(9),SUBSTITUTE(N197,"$",CHAR(9),2),1) ),N197)</f>
        <v>0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 t="str">
        <f t="shared" si="4"/>
        <v/>
      </c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</row>
    <row r="198" spans="2:123" hidden="1">
      <c r="B198" s="54" t="str">
        <f>TRIM(MID(SUBSTITUTE(A198," ",REPT(" ",LEN(A198))), (4-1)*LEN(A198)+1, LEN(A198)))</f>
        <v/>
      </c>
      <c r="C198" t="str">
        <f>IFERROR(VLOOKUP(A198,Processor_DB_Intel!$A$1:'Processor_DB_Intel'!$D$494,4,FALSE),"")</f>
        <v/>
      </c>
      <c r="D198" t="str">
        <f>IFERROR(LEFT(VLOOKUP(A198,Processor_DB_Intel!$A$1:'Processor_DB_Intel'!$F$494,6,FALSE),3),"")</f>
        <v/>
      </c>
      <c r="E198" s="73" t="str">
        <f>IF(O198 = 0,"",O198)</f>
        <v/>
      </c>
      <c r="F198" s="56" t="str">
        <f>IFERROR(E198/C198,"")</f>
        <v/>
      </c>
      <c r="G198" t="str">
        <f t="shared" si="6"/>
        <v/>
      </c>
      <c r="H198" t="str">
        <f t="shared" si="5"/>
        <v/>
      </c>
      <c r="I198" s="56" t="str">
        <f>IFERROR(E198/G198,"")</f>
        <v/>
      </c>
      <c r="J198" s="57" t="str">
        <f>IFERROR(1-(I198/$AC$3),"")</f>
        <v/>
      </c>
      <c r="L198">
        <f>MIN(SEARCH({0,1,2,3,4,5,6,7,8,9},K198&amp;"0123456789"))</f>
        <v>1</v>
      </c>
      <c r="M198" t="str">
        <f>LEFT(RIGHT(K198,LEN(K198)-L198+1),6)</f>
        <v/>
      </c>
      <c r="O198" s="70">
        <f>IFERROR(RIGHT(SUBSTITUTE(N198,"$",CHAR(9),2),LEN(N198)-FIND(CHAR(9),SUBSTITUTE(N198,"$",CHAR(9),2),1) ),N198)</f>
        <v>0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 t="str">
        <f t="shared" ref="AA198:AA261" si="7">_xlfn.IFNA(I198,0)</f>
        <v/>
      </c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</row>
    <row r="199" spans="2:123" hidden="1">
      <c r="B199" s="54" t="str">
        <f>TRIM(MID(SUBSTITUTE(A199," ",REPT(" ",LEN(A199))), (4-1)*LEN(A199)+1, LEN(A199)))</f>
        <v/>
      </c>
      <c r="C199" t="str">
        <f>IFERROR(VLOOKUP(A199,Processor_DB_Intel!$A$1:'Processor_DB_Intel'!$D$494,4,FALSE),"")</f>
        <v/>
      </c>
      <c r="D199" t="str">
        <f>IFERROR(LEFT(VLOOKUP(A199,Processor_DB_Intel!$A$1:'Processor_DB_Intel'!$F$494,6,FALSE),3),"")</f>
        <v/>
      </c>
      <c r="E199" s="73" t="str">
        <f>IF(O199 = 0,"",O199)</f>
        <v/>
      </c>
      <c r="F199" s="56" t="str">
        <f>IFERROR(E199/C199,"")</f>
        <v/>
      </c>
      <c r="G199" t="str">
        <f t="shared" si="6"/>
        <v/>
      </c>
      <c r="H199" t="str">
        <f t="shared" ref="H199:H262" si="8">IFERROR(G199*2,"")</f>
        <v/>
      </c>
      <c r="I199" s="56" t="str">
        <f>IFERROR(E199/G199,"")</f>
        <v/>
      </c>
      <c r="J199" s="57" t="str">
        <f>IFERROR(1-(I199/$AC$3),"")</f>
        <v/>
      </c>
      <c r="L199">
        <f>MIN(SEARCH({0,1,2,3,4,5,6,7,8,9},K199&amp;"0123456789"))</f>
        <v>1</v>
      </c>
      <c r="M199" t="str">
        <f>LEFT(RIGHT(K199,LEN(K199)-L199+1),6)</f>
        <v/>
      </c>
      <c r="O199" s="70">
        <f>IFERROR(RIGHT(SUBSTITUTE(N199,"$",CHAR(9),2),LEN(N199)-FIND(CHAR(9),SUBSTITUTE(N199,"$",CHAR(9),2),1) ),N199)</f>
        <v>0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 t="str">
        <f t="shared" si="7"/>
        <v/>
      </c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</row>
    <row r="200" spans="2:123" hidden="1">
      <c r="B200" s="54" t="str">
        <f>TRIM(MID(SUBSTITUTE(A200," ",REPT(" ",LEN(A200))), (4-1)*LEN(A200)+1, LEN(A200)))</f>
        <v/>
      </c>
      <c r="C200" t="str">
        <f>IFERROR(VLOOKUP(A200,Processor_DB_Intel!$A$1:'Processor_DB_Intel'!$D$494,4,FALSE),"")</f>
        <v/>
      </c>
      <c r="D200" t="str">
        <f>IFERROR(LEFT(VLOOKUP(A200,Processor_DB_Intel!$A$1:'Processor_DB_Intel'!$F$494,6,FALSE),3),"")</f>
        <v/>
      </c>
      <c r="E200" s="73" t="str">
        <f>IF(O200 = 0,"",O200)</f>
        <v/>
      </c>
      <c r="F200" s="56" t="str">
        <f>IFERROR(E200/C200,"")</f>
        <v/>
      </c>
      <c r="G200" t="str">
        <f t="shared" ref="G200:G263" si="9">IFERROR(C200*D200,"")</f>
        <v/>
      </c>
      <c r="H200" t="str">
        <f t="shared" si="8"/>
        <v/>
      </c>
      <c r="I200" s="56" t="str">
        <f>IFERROR(E200/G200,"")</f>
        <v/>
      </c>
      <c r="J200" s="57" t="str">
        <f>IFERROR(1-(I200/$AC$3),"")</f>
        <v/>
      </c>
      <c r="L200">
        <f>MIN(SEARCH({0,1,2,3,4,5,6,7,8,9},K200&amp;"0123456789"))</f>
        <v>1</v>
      </c>
      <c r="M200" t="str">
        <f>LEFT(RIGHT(K200,LEN(K200)-L200+1),6)</f>
        <v/>
      </c>
      <c r="O200" s="70">
        <f>IFERROR(RIGHT(SUBSTITUTE(N200,"$",CHAR(9),2),LEN(N200)-FIND(CHAR(9),SUBSTITUTE(N200,"$",CHAR(9),2),1) ),N200)</f>
        <v>0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 t="str">
        <f t="shared" si="7"/>
        <v/>
      </c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</row>
    <row r="201" spans="2:123" hidden="1">
      <c r="B201" s="54" t="str">
        <f>TRIM(MID(SUBSTITUTE(A201," ",REPT(" ",LEN(A201))), (4-1)*LEN(A201)+1, LEN(A201)))</f>
        <v/>
      </c>
      <c r="C201" t="str">
        <f>IFERROR(VLOOKUP(A201,Processor_DB_Intel!$A$1:'Processor_DB_Intel'!$D$494,4,FALSE),"")</f>
        <v/>
      </c>
      <c r="D201" t="str">
        <f>IFERROR(LEFT(VLOOKUP(A201,Processor_DB_Intel!$A$1:'Processor_DB_Intel'!$F$494,6,FALSE),3),"")</f>
        <v/>
      </c>
      <c r="E201" s="73" t="str">
        <f>IF(O201 = 0,"",O201)</f>
        <v/>
      </c>
      <c r="F201" s="56" t="str">
        <f>IFERROR(E201/C201,"")</f>
        <v/>
      </c>
      <c r="G201" t="str">
        <f t="shared" si="9"/>
        <v/>
      </c>
      <c r="H201" t="str">
        <f t="shared" si="8"/>
        <v/>
      </c>
      <c r="I201" s="56" t="str">
        <f>IFERROR(E201/G201,"")</f>
        <v/>
      </c>
      <c r="J201" s="57" t="str">
        <f>IFERROR(1-(I201/$AC$3),"")</f>
        <v/>
      </c>
      <c r="L201">
        <f>MIN(SEARCH({0,1,2,3,4,5,6,7,8,9},K201&amp;"0123456789"))</f>
        <v>1</v>
      </c>
      <c r="M201" t="str">
        <f>LEFT(RIGHT(K201,LEN(K201)-L201+1),6)</f>
        <v/>
      </c>
      <c r="O201" s="70">
        <f>IFERROR(RIGHT(SUBSTITUTE(N201,"$",CHAR(9),2),LEN(N201)-FIND(CHAR(9),SUBSTITUTE(N201,"$",CHAR(9),2),1) ),N201)</f>
        <v>0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 t="str">
        <f t="shared" si="7"/>
        <v/>
      </c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</row>
    <row r="202" spans="2:123" hidden="1">
      <c r="B202" s="54" t="str">
        <f>TRIM(MID(SUBSTITUTE(A202," ",REPT(" ",LEN(A202))), (4-1)*LEN(A202)+1, LEN(A202)))</f>
        <v/>
      </c>
      <c r="C202" t="str">
        <f>IFERROR(VLOOKUP(A202,Processor_DB_Intel!$A$1:'Processor_DB_Intel'!$D$494,4,FALSE),"")</f>
        <v/>
      </c>
      <c r="D202" t="str">
        <f>IFERROR(LEFT(VLOOKUP(A202,Processor_DB_Intel!$A$1:'Processor_DB_Intel'!$F$494,6,FALSE),3),"")</f>
        <v/>
      </c>
      <c r="E202" s="73" t="str">
        <f>IF(O202 = 0,"",O202)</f>
        <v/>
      </c>
      <c r="F202" s="56" t="str">
        <f>IFERROR(E202/C202,"")</f>
        <v/>
      </c>
      <c r="G202" t="str">
        <f t="shared" si="9"/>
        <v/>
      </c>
      <c r="H202" t="str">
        <f t="shared" si="8"/>
        <v/>
      </c>
      <c r="I202" s="56" t="str">
        <f>IFERROR(E202/G202,"")</f>
        <v/>
      </c>
      <c r="J202" s="57" t="str">
        <f>IFERROR(1-(I202/$AC$3),"")</f>
        <v/>
      </c>
      <c r="L202">
        <f>MIN(SEARCH({0,1,2,3,4,5,6,7,8,9},K202&amp;"0123456789"))</f>
        <v>1</v>
      </c>
      <c r="M202" t="str">
        <f>LEFT(RIGHT(K202,LEN(K202)-L202+1),6)</f>
        <v/>
      </c>
      <c r="O202" s="70">
        <f>IFERROR(RIGHT(SUBSTITUTE(N202,"$",CHAR(9),2),LEN(N202)-FIND(CHAR(9),SUBSTITUTE(N202,"$",CHAR(9),2),1) ),N202)</f>
        <v>0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 t="str">
        <f t="shared" si="7"/>
        <v/>
      </c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</row>
    <row r="203" spans="2:123" hidden="1">
      <c r="B203" s="54" t="str">
        <f>TRIM(MID(SUBSTITUTE(A203," ",REPT(" ",LEN(A203))), (4-1)*LEN(A203)+1, LEN(A203)))</f>
        <v/>
      </c>
      <c r="C203" t="str">
        <f>IFERROR(VLOOKUP(A203,Processor_DB_Intel!$A$1:'Processor_DB_Intel'!$D$494,4,FALSE),"")</f>
        <v/>
      </c>
      <c r="D203" t="str">
        <f>IFERROR(LEFT(VLOOKUP(A203,Processor_DB_Intel!$A$1:'Processor_DB_Intel'!$F$494,6,FALSE),3),"")</f>
        <v/>
      </c>
      <c r="E203" s="73" t="str">
        <f>IF(O203 = 0,"",O203)</f>
        <v/>
      </c>
      <c r="F203" s="56" t="str">
        <f>IFERROR(E203/C203,"")</f>
        <v/>
      </c>
      <c r="G203" t="str">
        <f t="shared" si="9"/>
        <v/>
      </c>
      <c r="H203" t="str">
        <f t="shared" si="8"/>
        <v/>
      </c>
      <c r="I203" s="56" t="str">
        <f>IFERROR(E203/G203,"")</f>
        <v/>
      </c>
      <c r="J203" s="57" t="str">
        <f>IFERROR(1-(I203/$AC$3),"")</f>
        <v/>
      </c>
      <c r="L203">
        <f>MIN(SEARCH({0,1,2,3,4,5,6,7,8,9},K203&amp;"0123456789"))</f>
        <v>1</v>
      </c>
      <c r="M203" t="str">
        <f>LEFT(RIGHT(K203,LEN(K203)-L203+1),6)</f>
        <v/>
      </c>
      <c r="O203" s="70">
        <f>IFERROR(RIGHT(SUBSTITUTE(N203,"$",CHAR(9),2),LEN(N203)-FIND(CHAR(9),SUBSTITUTE(N203,"$",CHAR(9),2),1) ),N203)</f>
        <v>0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 t="str">
        <f t="shared" si="7"/>
        <v/>
      </c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</row>
    <row r="204" spans="2:123" hidden="1">
      <c r="B204" s="54" t="str">
        <f>TRIM(MID(SUBSTITUTE(A204," ",REPT(" ",LEN(A204))), (4-1)*LEN(A204)+1, LEN(A204)))</f>
        <v/>
      </c>
      <c r="C204" t="str">
        <f>IFERROR(VLOOKUP(A204,Processor_DB_Intel!$A$1:'Processor_DB_Intel'!$D$494,4,FALSE),"")</f>
        <v/>
      </c>
      <c r="D204" t="str">
        <f>IFERROR(LEFT(VLOOKUP(A204,Processor_DB_Intel!$A$1:'Processor_DB_Intel'!$F$494,6,FALSE),3),"")</f>
        <v/>
      </c>
      <c r="E204" s="73" t="str">
        <f>IF(O204 = 0,"",O204)</f>
        <v/>
      </c>
      <c r="F204" s="56" t="str">
        <f>IFERROR(E204/C204,"")</f>
        <v/>
      </c>
      <c r="G204" t="str">
        <f t="shared" si="9"/>
        <v/>
      </c>
      <c r="H204" t="str">
        <f t="shared" si="8"/>
        <v/>
      </c>
      <c r="I204" s="56" t="str">
        <f>IFERROR(E204/G204,"")</f>
        <v/>
      </c>
      <c r="J204" s="57" t="str">
        <f>IFERROR(1-(I204/$AC$3),"")</f>
        <v/>
      </c>
      <c r="L204">
        <f>MIN(SEARCH({0,1,2,3,4,5,6,7,8,9},K204&amp;"0123456789"))</f>
        <v>1</v>
      </c>
      <c r="M204" t="str">
        <f>LEFT(RIGHT(K204,LEN(K204)-L204+1),6)</f>
        <v/>
      </c>
      <c r="O204" s="70">
        <f>IFERROR(RIGHT(SUBSTITUTE(N204,"$",CHAR(9),2),LEN(N204)-FIND(CHAR(9),SUBSTITUTE(N204,"$",CHAR(9),2),1) ),N204)</f>
        <v>0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 t="str">
        <f t="shared" si="7"/>
        <v/>
      </c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</row>
    <row r="205" spans="2:123" hidden="1">
      <c r="B205" s="54" t="str">
        <f>TRIM(MID(SUBSTITUTE(A205," ",REPT(" ",LEN(A205))), (4-1)*LEN(A205)+1, LEN(A205)))</f>
        <v/>
      </c>
      <c r="C205" t="str">
        <f>IFERROR(VLOOKUP(A205,Processor_DB_Intel!$A$1:'Processor_DB_Intel'!$D$494,4,FALSE),"")</f>
        <v/>
      </c>
      <c r="D205" t="str">
        <f>IFERROR(LEFT(VLOOKUP(A205,Processor_DB_Intel!$A$1:'Processor_DB_Intel'!$F$494,6,FALSE),3),"")</f>
        <v/>
      </c>
      <c r="E205" s="73" t="str">
        <f>IF(O205 = 0,"",O205)</f>
        <v/>
      </c>
      <c r="F205" s="56" t="str">
        <f>IFERROR(E205/C205,"")</f>
        <v/>
      </c>
      <c r="G205" t="str">
        <f t="shared" si="9"/>
        <v/>
      </c>
      <c r="H205" t="str">
        <f t="shared" si="8"/>
        <v/>
      </c>
      <c r="I205" s="56" t="str">
        <f>IFERROR(E205/G205,"")</f>
        <v/>
      </c>
      <c r="J205" s="57" t="str">
        <f>IFERROR(1-(I205/$AC$3),"")</f>
        <v/>
      </c>
      <c r="L205">
        <f>MIN(SEARCH({0,1,2,3,4,5,6,7,8,9},K205&amp;"0123456789"))</f>
        <v>1</v>
      </c>
      <c r="M205" t="str">
        <f>LEFT(RIGHT(K205,LEN(K205)-L205+1),6)</f>
        <v/>
      </c>
      <c r="O205" s="70">
        <f>IFERROR(RIGHT(SUBSTITUTE(N205,"$",CHAR(9),2),LEN(N205)-FIND(CHAR(9),SUBSTITUTE(N205,"$",CHAR(9),2),1) ),N205)</f>
        <v>0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 t="str">
        <f t="shared" si="7"/>
        <v/>
      </c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</row>
    <row r="206" spans="2:123" hidden="1">
      <c r="B206" s="54" t="str">
        <f>TRIM(MID(SUBSTITUTE(A206," ",REPT(" ",LEN(A206))), (4-1)*LEN(A206)+1, LEN(A206)))</f>
        <v/>
      </c>
      <c r="C206" t="str">
        <f>IFERROR(VLOOKUP(A206,Processor_DB_Intel!$A$1:'Processor_DB_Intel'!$D$494,4,FALSE),"")</f>
        <v/>
      </c>
      <c r="D206" t="str">
        <f>IFERROR(LEFT(VLOOKUP(A206,Processor_DB_Intel!$A$1:'Processor_DB_Intel'!$F$494,6,FALSE),3),"")</f>
        <v/>
      </c>
      <c r="E206" s="73" t="str">
        <f>IF(O206 = 0,"",O206)</f>
        <v/>
      </c>
      <c r="F206" s="56" t="str">
        <f>IFERROR(E206/C206,"")</f>
        <v/>
      </c>
      <c r="G206" t="str">
        <f t="shared" si="9"/>
        <v/>
      </c>
      <c r="H206" t="str">
        <f t="shared" si="8"/>
        <v/>
      </c>
      <c r="I206" s="56" t="str">
        <f>IFERROR(E206/G206,"")</f>
        <v/>
      </c>
      <c r="J206" s="57" t="str">
        <f>IFERROR(1-(I206/$AC$3),"")</f>
        <v/>
      </c>
      <c r="L206">
        <f>MIN(SEARCH({0,1,2,3,4,5,6,7,8,9},K206&amp;"0123456789"))</f>
        <v>1</v>
      </c>
      <c r="M206" t="str">
        <f>LEFT(RIGHT(K206,LEN(K206)-L206+1),6)</f>
        <v/>
      </c>
      <c r="O206" s="70">
        <f>IFERROR(RIGHT(SUBSTITUTE(N206,"$",CHAR(9),2),LEN(N206)-FIND(CHAR(9),SUBSTITUTE(N206,"$",CHAR(9),2),1) ),N206)</f>
        <v>0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 t="str">
        <f t="shared" si="7"/>
        <v/>
      </c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</row>
    <row r="207" spans="2:123" hidden="1">
      <c r="B207" s="54" t="str">
        <f>TRIM(MID(SUBSTITUTE(A207," ",REPT(" ",LEN(A207))), (4-1)*LEN(A207)+1, LEN(A207)))</f>
        <v/>
      </c>
      <c r="C207" t="str">
        <f>IFERROR(VLOOKUP(A207,Processor_DB_Intel!$A$1:'Processor_DB_Intel'!$D$494,4,FALSE),"")</f>
        <v/>
      </c>
      <c r="D207" t="str">
        <f>IFERROR(LEFT(VLOOKUP(A207,Processor_DB_Intel!$A$1:'Processor_DB_Intel'!$F$494,6,FALSE),3),"")</f>
        <v/>
      </c>
      <c r="E207" s="73" t="str">
        <f>IF(O207 = 0,"",O207)</f>
        <v/>
      </c>
      <c r="F207" s="56" t="str">
        <f>IFERROR(E207/C207,"")</f>
        <v/>
      </c>
      <c r="G207" t="str">
        <f t="shared" si="9"/>
        <v/>
      </c>
      <c r="H207" t="str">
        <f t="shared" si="8"/>
        <v/>
      </c>
      <c r="I207" s="56" t="str">
        <f>IFERROR(E207/G207,"")</f>
        <v/>
      </c>
      <c r="J207" s="57" t="str">
        <f>IFERROR(1-(I207/$AC$3),"")</f>
        <v/>
      </c>
      <c r="L207">
        <f>MIN(SEARCH({0,1,2,3,4,5,6,7,8,9},K207&amp;"0123456789"))</f>
        <v>1</v>
      </c>
      <c r="M207" t="str">
        <f>LEFT(RIGHT(K207,LEN(K207)-L207+1),6)</f>
        <v/>
      </c>
      <c r="O207" s="70">
        <f>IFERROR(RIGHT(SUBSTITUTE(N207,"$",CHAR(9),2),LEN(N207)-FIND(CHAR(9),SUBSTITUTE(N207,"$",CHAR(9),2),1) ),N207)</f>
        <v>0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 t="str">
        <f t="shared" si="7"/>
        <v/>
      </c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</row>
    <row r="208" spans="2:123" hidden="1">
      <c r="B208" s="54" t="str">
        <f>TRIM(MID(SUBSTITUTE(A208," ",REPT(" ",LEN(A208))), (4-1)*LEN(A208)+1, LEN(A208)))</f>
        <v/>
      </c>
      <c r="C208" t="str">
        <f>IFERROR(VLOOKUP(A208,Processor_DB_Intel!$A$1:'Processor_DB_Intel'!$D$494,4,FALSE),"")</f>
        <v/>
      </c>
      <c r="D208" t="str">
        <f>IFERROR(LEFT(VLOOKUP(A208,Processor_DB_Intel!$A$1:'Processor_DB_Intel'!$F$494,6,FALSE),3),"")</f>
        <v/>
      </c>
      <c r="E208" s="73" t="str">
        <f>IF(O208 = 0,"",O208)</f>
        <v/>
      </c>
      <c r="F208" s="56" t="str">
        <f>IFERROR(E208/C208,"")</f>
        <v/>
      </c>
      <c r="G208" t="str">
        <f t="shared" si="9"/>
        <v/>
      </c>
      <c r="H208" t="str">
        <f t="shared" si="8"/>
        <v/>
      </c>
      <c r="I208" s="56" t="str">
        <f>IFERROR(E208/G208,"")</f>
        <v/>
      </c>
      <c r="J208" s="57" t="str">
        <f>IFERROR(1-(I208/$AC$3),"")</f>
        <v/>
      </c>
      <c r="L208">
        <f>MIN(SEARCH({0,1,2,3,4,5,6,7,8,9},K208&amp;"0123456789"))</f>
        <v>1</v>
      </c>
      <c r="M208" t="str">
        <f>LEFT(RIGHT(K208,LEN(K208)-L208+1),6)</f>
        <v/>
      </c>
      <c r="O208" s="70">
        <f>IFERROR(RIGHT(SUBSTITUTE(N208,"$",CHAR(9),2),LEN(N208)-FIND(CHAR(9),SUBSTITUTE(N208,"$",CHAR(9),2),1) ),N208)</f>
        <v>0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 t="str">
        <f t="shared" si="7"/>
        <v/>
      </c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</row>
    <row r="209" spans="2:123" hidden="1">
      <c r="B209" s="54" t="str">
        <f>TRIM(MID(SUBSTITUTE(A209," ",REPT(" ",LEN(A209))), (4-1)*LEN(A209)+1, LEN(A209)))</f>
        <v/>
      </c>
      <c r="C209" t="str">
        <f>IFERROR(VLOOKUP(A209,Processor_DB_Intel!$A$1:'Processor_DB_Intel'!$D$494,4,FALSE),"")</f>
        <v/>
      </c>
      <c r="D209" t="str">
        <f>IFERROR(LEFT(VLOOKUP(A209,Processor_DB_Intel!$A$1:'Processor_DB_Intel'!$F$494,6,FALSE),3),"")</f>
        <v/>
      </c>
      <c r="E209" s="73" t="str">
        <f>IF(O209 = 0,"",O209)</f>
        <v/>
      </c>
      <c r="F209" s="56" t="str">
        <f>IFERROR(E209/C209,"")</f>
        <v/>
      </c>
      <c r="G209" t="str">
        <f t="shared" si="9"/>
        <v/>
      </c>
      <c r="H209" t="str">
        <f t="shared" si="8"/>
        <v/>
      </c>
      <c r="I209" s="56" t="str">
        <f>IFERROR(E209/G209,"")</f>
        <v/>
      </c>
      <c r="J209" s="57" t="str">
        <f>IFERROR(1-(I209/$AC$3),"")</f>
        <v/>
      </c>
      <c r="L209">
        <f>MIN(SEARCH({0,1,2,3,4,5,6,7,8,9},K209&amp;"0123456789"))</f>
        <v>1</v>
      </c>
      <c r="M209" t="str">
        <f>LEFT(RIGHT(K209,LEN(K209)-L209+1),6)</f>
        <v/>
      </c>
      <c r="O209" s="70">
        <f>IFERROR(RIGHT(SUBSTITUTE(N209,"$",CHAR(9),2),LEN(N209)-FIND(CHAR(9),SUBSTITUTE(N209,"$",CHAR(9),2),1) ),N209)</f>
        <v>0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 t="str">
        <f t="shared" si="7"/>
        <v/>
      </c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</row>
    <row r="210" spans="2:123" hidden="1">
      <c r="B210" s="54" t="str">
        <f>TRIM(MID(SUBSTITUTE(A210," ",REPT(" ",LEN(A210))), (4-1)*LEN(A210)+1, LEN(A210)))</f>
        <v/>
      </c>
      <c r="C210" t="str">
        <f>IFERROR(VLOOKUP(A210,Processor_DB_Intel!$A$1:'Processor_DB_Intel'!$D$494,4,FALSE),"")</f>
        <v/>
      </c>
      <c r="D210" t="str">
        <f>IFERROR(LEFT(VLOOKUP(A210,Processor_DB_Intel!$A$1:'Processor_DB_Intel'!$F$494,6,FALSE),3),"")</f>
        <v/>
      </c>
      <c r="E210" s="73" t="str">
        <f>IF(O210 = 0,"",O210)</f>
        <v/>
      </c>
      <c r="F210" s="56" t="str">
        <f>IFERROR(E210/C210,"")</f>
        <v/>
      </c>
      <c r="G210" t="str">
        <f t="shared" si="9"/>
        <v/>
      </c>
      <c r="H210" t="str">
        <f t="shared" si="8"/>
        <v/>
      </c>
      <c r="I210" s="56" t="str">
        <f>IFERROR(E210/G210,"")</f>
        <v/>
      </c>
      <c r="J210" s="57" t="str">
        <f>IFERROR(1-(I210/$AC$3),"")</f>
        <v/>
      </c>
      <c r="L210">
        <f>MIN(SEARCH({0,1,2,3,4,5,6,7,8,9},K210&amp;"0123456789"))</f>
        <v>1</v>
      </c>
      <c r="M210" t="str">
        <f>LEFT(RIGHT(K210,LEN(K210)-L210+1),6)</f>
        <v/>
      </c>
      <c r="O210" s="70">
        <f>IFERROR(RIGHT(SUBSTITUTE(N210,"$",CHAR(9),2),LEN(N210)-FIND(CHAR(9),SUBSTITUTE(N210,"$",CHAR(9),2),1) ),N210)</f>
        <v>0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 t="str">
        <f t="shared" si="7"/>
        <v/>
      </c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</row>
    <row r="211" spans="2:123" hidden="1">
      <c r="B211" s="54" t="str">
        <f>TRIM(MID(SUBSTITUTE(A211," ",REPT(" ",LEN(A211))), (4-1)*LEN(A211)+1, LEN(A211)))</f>
        <v/>
      </c>
      <c r="C211" t="str">
        <f>IFERROR(VLOOKUP(A211,Processor_DB_Intel!$A$1:'Processor_DB_Intel'!$D$494,4,FALSE),"")</f>
        <v/>
      </c>
      <c r="D211" t="str">
        <f>IFERROR(LEFT(VLOOKUP(A211,Processor_DB_Intel!$A$1:'Processor_DB_Intel'!$F$494,6,FALSE),3),"")</f>
        <v/>
      </c>
      <c r="E211" s="73" t="str">
        <f>IF(O211 = 0,"",O211)</f>
        <v/>
      </c>
      <c r="F211" s="56" t="str">
        <f>IFERROR(E211/C211,"")</f>
        <v/>
      </c>
      <c r="G211" t="str">
        <f t="shared" si="9"/>
        <v/>
      </c>
      <c r="H211" t="str">
        <f t="shared" si="8"/>
        <v/>
      </c>
      <c r="I211" s="56" t="str">
        <f>IFERROR(E211/G211,"")</f>
        <v/>
      </c>
      <c r="J211" s="57" t="str">
        <f>IFERROR(1-(I211/$AC$3),"")</f>
        <v/>
      </c>
      <c r="L211">
        <f>MIN(SEARCH({0,1,2,3,4,5,6,7,8,9},K211&amp;"0123456789"))</f>
        <v>1</v>
      </c>
      <c r="M211" t="str">
        <f>LEFT(RIGHT(K211,LEN(K211)-L211+1),6)</f>
        <v/>
      </c>
      <c r="O211" s="70">
        <f>IFERROR(RIGHT(SUBSTITUTE(N211,"$",CHAR(9),2),LEN(N211)-FIND(CHAR(9),SUBSTITUTE(N211,"$",CHAR(9),2),1) ),N211)</f>
        <v>0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 t="str">
        <f t="shared" si="7"/>
        <v/>
      </c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</row>
    <row r="212" spans="2:123" hidden="1">
      <c r="B212" s="54" t="str">
        <f>TRIM(MID(SUBSTITUTE(A212," ",REPT(" ",LEN(A212))), (4-1)*LEN(A212)+1, LEN(A212)))</f>
        <v/>
      </c>
      <c r="C212" t="str">
        <f>IFERROR(VLOOKUP(A212,Processor_DB_Intel!$A$1:'Processor_DB_Intel'!$D$494,4,FALSE),"")</f>
        <v/>
      </c>
      <c r="D212" t="str">
        <f>IFERROR(LEFT(VLOOKUP(A212,Processor_DB_Intel!$A$1:'Processor_DB_Intel'!$F$494,6,FALSE),3),"")</f>
        <v/>
      </c>
      <c r="E212" s="73" t="str">
        <f>IF(O212 = 0,"",O212)</f>
        <v/>
      </c>
      <c r="F212" s="56" t="str">
        <f>IFERROR(E212/C212,"")</f>
        <v/>
      </c>
      <c r="G212" t="str">
        <f t="shared" si="9"/>
        <v/>
      </c>
      <c r="H212" t="str">
        <f t="shared" si="8"/>
        <v/>
      </c>
      <c r="I212" s="56" t="str">
        <f>IFERROR(E212/G212,"")</f>
        <v/>
      </c>
      <c r="J212" s="57" t="str">
        <f>IFERROR(1-(I212/$AC$3),"")</f>
        <v/>
      </c>
      <c r="L212">
        <f>MIN(SEARCH({0,1,2,3,4,5,6,7,8,9},K212&amp;"0123456789"))</f>
        <v>1</v>
      </c>
      <c r="M212" t="str">
        <f>LEFT(RIGHT(K212,LEN(K212)-L212+1),6)</f>
        <v/>
      </c>
      <c r="O212" s="70">
        <f>IFERROR(RIGHT(SUBSTITUTE(N212,"$",CHAR(9),2),LEN(N212)-FIND(CHAR(9),SUBSTITUTE(N212,"$",CHAR(9),2),1) ),N212)</f>
        <v>0</v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 t="str">
        <f t="shared" si="7"/>
        <v/>
      </c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</row>
    <row r="213" spans="2:123" hidden="1">
      <c r="B213" s="54" t="str">
        <f>TRIM(MID(SUBSTITUTE(A213," ",REPT(" ",LEN(A213))), (4-1)*LEN(A213)+1, LEN(A213)))</f>
        <v/>
      </c>
      <c r="C213" t="str">
        <f>IFERROR(VLOOKUP(A213,Processor_DB_Intel!$A$1:'Processor_DB_Intel'!$D$494,4,FALSE),"")</f>
        <v/>
      </c>
      <c r="D213" t="str">
        <f>IFERROR(LEFT(VLOOKUP(A213,Processor_DB_Intel!$A$1:'Processor_DB_Intel'!$F$494,6,FALSE),3),"")</f>
        <v/>
      </c>
      <c r="E213" s="73" t="str">
        <f>IF(O213 = 0,"",O213)</f>
        <v/>
      </c>
      <c r="F213" s="56" t="str">
        <f>IFERROR(E213/C213,"")</f>
        <v/>
      </c>
      <c r="G213" t="str">
        <f t="shared" si="9"/>
        <v/>
      </c>
      <c r="H213" t="str">
        <f t="shared" si="8"/>
        <v/>
      </c>
      <c r="I213" s="56" t="str">
        <f>IFERROR(E213/G213,"")</f>
        <v/>
      </c>
      <c r="J213" s="57" t="str">
        <f>IFERROR(1-(I213/$AC$3),"")</f>
        <v/>
      </c>
      <c r="L213">
        <f>MIN(SEARCH({0,1,2,3,4,5,6,7,8,9},K213&amp;"0123456789"))</f>
        <v>1</v>
      </c>
      <c r="M213" t="str">
        <f>LEFT(RIGHT(K213,LEN(K213)-L213+1),6)</f>
        <v/>
      </c>
      <c r="O213" s="70">
        <f>IFERROR(RIGHT(SUBSTITUTE(N213,"$",CHAR(9),2),LEN(N213)-FIND(CHAR(9),SUBSTITUTE(N213,"$",CHAR(9),2),1) ),N213)</f>
        <v>0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 t="str">
        <f t="shared" si="7"/>
        <v/>
      </c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</row>
    <row r="214" spans="2:123" hidden="1">
      <c r="B214" s="54" t="str">
        <f>TRIM(MID(SUBSTITUTE(A214," ",REPT(" ",LEN(A214))), (4-1)*LEN(A214)+1, LEN(A214)))</f>
        <v/>
      </c>
      <c r="C214" t="str">
        <f>IFERROR(VLOOKUP(A214,Processor_DB_Intel!$A$1:'Processor_DB_Intel'!$D$494,4,FALSE),"")</f>
        <v/>
      </c>
      <c r="D214" t="str">
        <f>IFERROR(LEFT(VLOOKUP(A214,Processor_DB_Intel!$A$1:'Processor_DB_Intel'!$F$494,6,FALSE),3),"")</f>
        <v/>
      </c>
      <c r="E214" s="73" t="str">
        <f>IF(O214 = 0,"",O214)</f>
        <v/>
      </c>
      <c r="F214" s="56" t="str">
        <f>IFERROR(E214/C214,"")</f>
        <v/>
      </c>
      <c r="G214" t="str">
        <f t="shared" si="9"/>
        <v/>
      </c>
      <c r="H214" t="str">
        <f t="shared" si="8"/>
        <v/>
      </c>
      <c r="I214" s="56" t="str">
        <f>IFERROR(E214/G214,"")</f>
        <v/>
      </c>
      <c r="J214" s="57" t="str">
        <f>IFERROR(1-(I214/$AC$3),"")</f>
        <v/>
      </c>
      <c r="L214">
        <f>MIN(SEARCH({0,1,2,3,4,5,6,7,8,9},K214&amp;"0123456789"))</f>
        <v>1</v>
      </c>
      <c r="M214" t="str">
        <f>LEFT(RIGHT(K214,LEN(K214)-L214+1),6)</f>
        <v/>
      </c>
      <c r="O214" s="70">
        <f>IFERROR(RIGHT(SUBSTITUTE(N214,"$",CHAR(9),2),LEN(N214)-FIND(CHAR(9),SUBSTITUTE(N214,"$",CHAR(9),2),1) ),N214)</f>
        <v>0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 t="str">
        <f t="shared" si="7"/>
        <v/>
      </c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</row>
    <row r="215" spans="2:123" hidden="1">
      <c r="B215" s="54" t="str">
        <f>TRIM(MID(SUBSTITUTE(A215," ",REPT(" ",LEN(A215))), (4-1)*LEN(A215)+1, LEN(A215)))</f>
        <v/>
      </c>
      <c r="C215" t="str">
        <f>IFERROR(VLOOKUP(A215,Processor_DB_Intel!$A$1:'Processor_DB_Intel'!$D$494,4,FALSE),"")</f>
        <v/>
      </c>
      <c r="D215" t="str">
        <f>IFERROR(LEFT(VLOOKUP(A215,Processor_DB_Intel!$A$1:'Processor_DB_Intel'!$F$494,6,FALSE),3),"")</f>
        <v/>
      </c>
      <c r="E215" s="73" t="str">
        <f>IF(O215 = 0,"",O215)</f>
        <v/>
      </c>
      <c r="F215" s="56" t="str">
        <f>IFERROR(E215/C215,"")</f>
        <v/>
      </c>
      <c r="G215" t="str">
        <f t="shared" si="9"/>
        <v/>
      </c>
      <c r="H215" t="str">
        <f t="shared" si="8"/>
        <v/>
      </c>
      <c r="I215" s="56" t="str">
        <f>IFERROR(E215/G215,"")</f>
        <v/>
      </c>
      <c r="J215" s="57" t="str">
        <f>IFERROR(1-(I215/$AC$3),"")</f>
        <v/>
      </c>
      <c r="L215">
        <f>MIN(SEARCH({0,1,2,3,4,5,6,7,8,9},K215&amp;"0123456789"))</f>
        <v>1</v>
      </c>
      <c r="M215" t="str">
        <f>LEFT(RIGHT(K215,LEN(K215)-L215+1),6)</f>
        <v/>
      </c>
      <c r="O215" s="70">
        <f>IFERROR(RIGHT(SUBSTITUTE(N215,"$",CHAR(9),2),LEN(N215)-FIND(CHAR(9),SUBSTITUTE(N215,"$",CHAR(9),2),1) ),N215)</f>
        <v>0</v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 t="str">
        <f t="shared" si="7"/>
        <v/>
      </c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</row>
    <row r="216" spans="2:123" hidden="1">
      <c r="B216" s="54" t="str">
        <f>TRIM(MID(SUBSTITUTE(A216," ",REPT(" ",LEN(A216))), (4-1)*LEN(A216)+1, LEN(A216)))</f>
        <v/>
      </c>
      <c r="C216" t="str">
        <f>IFERROR(VLOOKUP(A216,Processor_DB_Intel!$A$1:'Processor_DB_Intel'!$D$494,4,FALSE),"")</f>
        <v/>
      </c>
      <c r="D216" t="str">
        <f>IFERROR(LEFT(VLOOKUP(A216,Processor_DB_Intel!$A$1:'Processor_DB_Intel'!$F$494,6,FALSE),3),"")</f>
        <v/>
      </c>
      <c r="E216" s="73" t="str">
        <f>IF(O216 = 0,"",O216)</f>
        <v/>
      </c>
      <c r="F216" s="56" t="str">
        <f>IFERROR(E216/C216,"")</f>
        <v/>
      </c>
      <c r="G216" t="str">
        <f t="shared" si="9"/>
        <v/>
      </c>
      <c r="H216" t="str">
        <f t="shared" si="8"/>
        <v/>
      </c>
      <c r="I216" s="56" t="str">
        <f>IFERROR(E216/G216,"")</f>
        <v/>
      </c>
      <c r="J216" s="57" t="str">
        <f>IFERROR(1-(I216/$AC$3),"")</f>
        <v/>
      </c>
      <c r="L216">
        <f>MIN(SEARCH({0,1,2,3,4,5,6,7,8,9},K216&amp;"0123456789"))</f>
        <v>1</v>
      </c>
      <c r="M216" t="str">
        <f>LEFT(RIGHT(K216,LEN(K216)-L216+1),6)</f>
        <v/>
      </c>
      <c r="O216" s="70">
        <f>IFERROR(RIGHT(SUBSTITUTE(N216,"$",CHAR(9),2),LEN(N216)-FIND(CHAR(9),SUBSTITUTE(N216,"$",CHAR(9),2),1) ),N216)</f>
        <v>0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 t="str">
        <f t="shared" si="7"/>
        <v/>
      </c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</row>
    <row r="217" spans="2:123" hidden="1">
      <c r="B217" s="54" t="str">
        <f>TRIM(MID(SUBSTITUTE(A217," ",REPT(" ",LEN(A217))), (4-1)*LEN(A217)+1, LEN(A217)))</f>
        <v/>
      </c>
      <c r="C217" t="str">
        <f>IFERROR(VLOOKUP(A217,Processor_DB_Intel!$A$1:'Processor_DB_Intel'!$D$494,4,FALSE),"")</f>
        <v/>
      </c>
      <c r="D217" t="str">
        <f>IFERROR(LEFT(VLOOKUP(A217,Processor_DB_Intel!$A$1:'Processor_DB_Intel'!$F$494,6,FALSE),3),"")</f>
        <v/>
      </c>
      <c r="E217" s="73" t="str">
        <f>IF(O217 = 0,"",O217)</f>
        <v/>
      </c>
      <c r="F217" s="56" t="str">
        <f>IFERROR(E217/C217,"")</f>
        <v/>
      </c>
      <c r="G217" t="str">
        <f t="shared" si="9"/>
        <v/>
      </c>
      <c r="H217" t="str">
        <f t="shared" si="8"/>
        <v/>
      </c>
      <c r="I217" s="56" t="str">
        <f>IFERROR(E217/G217,"")</f>
        <v/>
      </c>
      <c r="J217" s="57" t="str">
        <f>IFERROR(1-(I217/$AC$3),"")</f>
        <v/>
      </c>
      <c r="L217">
        <f>MIN(SEARCH({0,1,2,3,4,5,6,7,8,9},K217&amp;"0123456789"))</f>
        <v>1</v>
      </c>
      <c r="M217" t="str">
        <f>LEFT(RIGHT(K217,LEN(K217)-L217+1),6)</f>
        <v/>
      </c>
      <c r="O217" s="70">
        <f>IFERROR(RIGHT(SUBSTITUTE(N217,"$",CHAR(9),2),LEN(N217)-FIND(CHAR(9),SUBSTITUTE(N217,"$",CHAR(9),2),1) ),N217)</f>
        <v>0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 t="str">
        <f t="shared" si="7"/>
        <v/>
      </c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</row>
    <row r="218" spans="2:123" hidden="1">
      <c r="B218" s="54" t="str">
        <f>TRIM(MID(SUBSTITUTE(A218," ",REPT(" ",LEN(A218))), (4-1)*LEN(A218)+1, LEN(A218)))</f>
        <v/>
      </c>
      <c r="C218" t="str">
        <f>IFERROR(VLOOKUP(A218,Processor_DB_Intel!$A$1:'Processor_DB_Intel'!$D$494,4,FALSE),"")</f>
        <v/>
      </c>
      <c r="D218" t="str">
        <f>IFERROR(LEFT(VLOOKUP(A218,Processor_DB_Intel!$A$1:'Processor_DB_Intel'!$F$494,6,FALSE),3),"")</f>
        <v/>
      </c>
      <c r="E218" s="73" t="str">
        <f>IF(O218 = 0,"",O218)</f>
        <v/>
      </c>
      <c r="F218" s="56" t="str">
        <f>IFERROR(E218/C218,"")</f>
        <v/>
      </c>
      <c r="G218" t="str">
        <f t="shared" si="9"/>
        <v/>
      </c>
      <c r="H218" t="str">
        <f t="shared" si="8"/>
        <v/>
      </c>
      <c r="I218" s="56" t="str">
        <f>IFERROR(E218/G218,"")</f>
        <v/>
      </c>
      <c r="J218" s="57" t="str">
        <f>IFERROR(1-(I218/$AC$3),"")</f>
        <v/>
      </c>
      <c r="L218">
        <f>MIN(SEARCH({0,1,2,3,4,5,6,7,8,9},K218&amp;"0123456789"))</f>
        <v>1</v>
      </c>
      <c r="M218" t="str">
        <f>LEFT(RIGHT(K218,LEN(K218)-L218+1),6)</f>
        <v/>
      </c>
      <c r="O218" s="70">
        <f>IFERROR(RIGHT(SUBSTITUTE(N218,"$",CHAR(9),2),LEN(N218)-FIND(CHAR(9),SUBSTITUTE(N218,"$",CHAR(9),2),1) ),N218)</f>
        <v>0</v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 t="str">
        <f t="shared" si="7"/>
        <v/>
      </c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</row>
    <row r="219" spans="2:123" hidden="1">
      <c r="B219" s="54" t="str">
        <f>TRIM(MID(SUBSTITUTE(A219," ",REPT(" ",LEN(A219))), (4-1)*LEN(A219)+1, LEN(A219)))</f>
        <v/>
      </c>
      <c r="C219" t="str">
        <f>IFERROR(VLOOKUP(A219,Processor_DB_Intel!$A$1:'Processor_DB_Intel'!$D$494,4,FALSE),"")</f>
        <v/>
      </c>
      <c r="D219" t="str">
        <f>IFERROR(LEFT(VLOOKUP(A219,Processor_DB_Intel!$A$1:'Processor_DB_Intel'!$F$494,6,FALSE),3),"")</f>
        <v/>
      </c>
      <c r="E219" s="73" t="str">
        <f>IF(O219 = 0,"",O219)</f>
        <v/>
      </c>
      <c r="F219" s="56" t="str">
        <f>IFERROR(E219/C219,"")</f>
        <v/>
      </c>
      <c r="G219" t="str">
        <f t="shared" si="9"/>
        <v/>
      </c>
      <c r="H219" t="str">
        <f t="shared" si="8"/>
        <v/>
      </c>
      <c r="I219" s="56" t="str">
        <f>IFERROR(E219/G219,"")</f>
        <v/>
      </c>
      <c r="J219" s="57" t="str">
        <f>IFERROR(1-(I219/$AC$3),"")</f>
        <v/>
      </c>
      <c r="L219">
        <f>MIN(SEARCH({0,1,2,3,4,5,6,7,8,9},K219&amp;"0123456789"))</f>
        <v>1</v>
      </c>
      <c r="M219" t="str">
        <f>LEFT(RIGHT(K219,LEN(K219)-L219+1),6)</f>
        <v/>
      </c>
      <c r="O219" s="70">
        <f>IFERROR(RIGHT(SUBSTITUTE(N219,"$",CHAR(9),2),LEN(N219)-FIND(CHAR(9),SUBSTITUTE(N219,"$",CHAR(9),2),1) ),N219)</f>
        <v>0</v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 t="str">
        <f t="shared" si="7"/>
        <v/>
      </c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</row>
    <row r="220" spans="2:123" hidden="1">
      <c r="B220" s="54" t="str">
        <f>TRIM(MID(SUBSTITUTE(A220," ",REPT(" ",LEN(A220))), (4-1)*LEN(A220)+1, LEN(A220)))</f>
        <v/>
      </c>
      <c r="C220" t="str">
        <f>IFERROR(VLOOKUP(A220,Processor_DB_Intel!$A$1:'Processor_DB_Intel'!$D$494,4,FALSE),"")</f>
        <v/>
      </c>
      <c r="D220" t="str">
        <f>IFERROR(LEFT(VLOOKUP(A220,Processor_DB_Intel!$A$1:'Processor_DB_Intel'!$F$494,6,FALSE),3),"")</f>
        <v/>
      </c>
      <c r="E220" s="73" t="str">
        <f>IF(O220 = 0,"",O220)</f>
        <v/>
      </c>
      <c r="F220" s="56" t="str">
        <f>IFERROR(E220/C220,"")</f>
        <v/>
      </c>
      <c r="G220" t="str">
        <f t="shared" si="9"/>
        <v/>
      </c>
      <c r="H220" t="str">
        <f t="shared" si="8"/>
        <v/>
      </c>
      <c r="I220" s="56" t="str">
        <f>IFERROR(E220/G220,"")</f>
        <v/>
      </c>
      <c r="J220" s="57" t="str">
        <f>IFERROR(1-(I220/$AC$3),"")</f>
        <v/>
      </c>
      <c r="L220">
        <f>MIN(SEARCH({0,1,2,3,4,5,6,7,8,9},K220&amp;"0123456789"))</f>
        <v>1</v>
      </c>
      <c r="M220" t="str">
        <f>LEFT(RIGHT(K220,LEN(K220)-L220+1),6)</f>
        <v/>
      </c>
      <c r="O220" s="70">
        <f>IFERROR(RIGHT(SUBSTITUTE(N220,"$",CHAR(9),2),LEN(N220)-FIND(CHAR(9),SUBSTITUTE(N220,"$",CHAR(9),2),1) ),N220)</f>
        <v>0</v>
      </c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 t="str">
        <f t="shared" si="7"/>
        <v/>
      </c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</row>
    <row r="221" spans="2:123" hidden="1">
      <c r="B221" s="54" t="str">
        <f>TRIM(MID(SUBSTITUTE(A221," ",REPT(" ",LEN(A221))), (4-1)*LEN(A221)+1, LEN(A221)))</f>
        <v/>
      </c>
      <c r="C221" t="str">
        <f>IFERROR(VLOOKUP(A221,Processor_DB_Intel!$A$1:'Processor_DB_Intel'!$D$494,4,FALSE),"")</f>
        <v/>
      </c>
      <c r="D221" t="str">
        <f>IFERROR(LEFT(VLOOKUP(A221,Processor_DB_Intel!$A$1:'Processor_DB_Intel'!$F$494,6,FALSE),3),"")</f>
        <v/>
      </c>
      <c r="E221" s="73" t="str">
        <f>IF(O221 = 0,"",O221)</f>
        <v/>
      </c>
      <c r="F221" s="56" t="str">
        <f>IFERROR(E221/C221,"")</f>
        <v/>
      </c>
      <c r="G221" t="str">
        <f t="shared" si="9"/>
        <v/>
      </c>
      <c r="H221" t="str">
        <f t="shared" si="8"/>
        <v/>
      </c>
      <c r="I221" s="56" t="str">
        <f>IFERROR(E221/G221,"")</f>
        <v/>
      </c>
      <c r="J221" s="57" t="str">
        <f>IFERROR(1-(I221/$AC$3),"")</f>
        <v/>
      </c>
      <c r="L221">
        <f>MIN(SEARCH({0,1,2,3,4,5,6,7,8,9},K221&amp;"0123456789"))</f>
        <v>1</v>
      </c>
      <c r="M221" t="str">
        <f>LEFT(RIGHT(K221,LEN(K221)-L221+1),6)</f>
        <v/>
      </c>
      <c r="O221" s="70">
        <f>IFERROR(RIGHT(SUBSTITUTE(N221,"$",CHAR(9),2),LEN(N221)-FIND(CHAR(9),SUBSTITUTE(N221,"$",CHAR(9),2),1) ),N221)</f>
        <v>0</v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 t="str">
        <f t="shared" si="7"/>
        <v/>
      </c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</row>
    <row r="222" spans="2:123" hidden="1">
      <c r="B222" s="54" t="str">
        <f>TRIM(MID(SUBSTITUTE(A222," ",REPT(" ",LEN(A222))), (4-1)*LEN(A222)+1, LEN(A222)))</f>
        <v/>
      </c>
      <c r="C222" t="str">
        <f>IFERROR(VLOOKUP(A222,Processor_DB_Intel!$A$1:'Processor_DB_Intel'!$D$494,4,FALSE),"")</f>
        <v/>
      </c>
      <c r="D222" t="str">
        <f>IFERROR(LEFT(VLOOKUP(A222,Processor_DB_Intel!$A$1:'Processor_DB_Intel'!$F$494,6,FALSE),3),"")</f>
        <v/>
      </c>
      <c r="E222" s="73" t="str">
        <f>IF(O222 = 0,"",O222)</f>
        <v/>
      </c>
      <c r="F222" s="56" t="str">
        <f>IFERROR(E222/C222,"")</f>
        <v/>
      </c>
      <c r="G222" t="str">
        <f t="shared" si="9"/>
        <v/>
      </c>
      <c r="H222" t="str">
        <f t="shared" si="8"/>
        <v/>
      </c>
      <c r="I222" s="56" t="str">
        <f>IFERROR(E222/G222,"")</f>
        <v/>
      </c>
      <c r="J222" s="57" t="str">
        <f>IFERROR(1-(I222/$AC$3),"")</f>
        <v/>
      </c>
      <c r="L222">
        <f>MIN(SEARCH({0,1,2,3,4,5,6,7,8,9},K222&amp;"0123456789"))</f>
        <v>1</v>
      </c>
      <c r="M222" t="str">
        <f>LEFT(RIGHT(K222,LEN(K222)-L222+1),6)</f>
        <v/>
      </c>
      <c r="O222" s="70">
        <f>IFERROR(RIGHT(SUBSTITUTE(N222,"$",CHAR(9),2),LEN(N222)-FIND(CHAR(9),SUBSTITUTE(N222,"$",CHAR(9),2),1) ),N222)</f>
        <v>0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 t="str">
        <f t="shared" si="7"/>
        <v/>
      </c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</row>
    <row r="223" spans="2:123" hidden="1">
      <c r="B223" s="54" t="str">
        <f>TRIM(MID(SUBSTITUTE(A223," ",REPT(" ",LEN(A223))), (4-1)*LEN(A223)+1, LEN(A223)))</f>
        <v/>
      </c>
      <c r="C223" t="str">
        <f>IFERROR(VLOOKUP(A223,Processor_DB_Intel!$A$1:'Processor_DB_Intel'!$D$494,4,FALSE),"")</f>
        <v/>
      </c>
      <c r="D223" t="str">
        <f>IFERROR(LEFT(VLOOKUP(A223,Processor_DB_Intel!$A$1:'Processor_DB_Intel'!$F$494,6,FALSE),3),"")</f>
        <v/>
      </c>
      <c r="E223" s="73" t="str">
        <f>IF(O223 = 0,"",O223)</f>
        <v/>
      </c>
      <c r="F223" s="56" t="str">
        <f>IFERROR(E223/C223,"")</f>
        <v/>
      </c>
      <c r="G223" t="str">
        <f t="shared" si="9"/>
        <v/>
      </c>
      <c r="H223" t="str">
        <f t="shared" si="8"/>
        <v/>
      </c>
      <c r="I223" s="56" t="str">
        <f>IFERROR(E223/G223,"")</f>
        <v/>
      </c>
      <c r="J223" s="57" t="str">
        <f>IFERROR(1-(I223/$AC$3),"")</f>
        <v/>
      </c>
      <c r="L223">
        <f>MIN(SEARCH({0,1,2,3,4,5,6,7,8,9},K223&amp;"0123456789"))</f>
        <v>1</v>
      </c>
      <c r="M223" t="str">
        <f>LEFT(RIGHT(K223,LEN(K223)-L223+1),6)</f>
        <v/>
      </c>
      <c r="O223" s="70">
        <f>IFERROR(RIGHT(SUBSTITUTE(N223,"$",CHAR(9),2),LEN(N223)-FIND(CHAR(9),SUBSTITUTE(N223,"$",CHAR(9),2),1) ),N223)</f>
        <v>0</v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 t="str">
        <f t="shared" si="7"/>
        <v/>
      </c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</row>
    <row r="224" spans="2:123" hidden="1">
      <c r="B224" s="54" t="str">
        <f>TRIM(MID(SUBSTITUTE(A224," ",REPT(" ",LEN(A224))), (4-1)*LEN(A224)+1, LEN(A224)))</f>
        <v/>
      </c>
      <c r="C224" t="str">
        <f>IFERROR(VLOOKUP(A224,Processor_DB_Intel!$A$1:'Processor_DB_Intel'!$D$494,4,FALSE),"")</f>
        <v/>
      </c>
      <c r="D224" t="str">
        <f>IFERROR(LEFT(VLOOKUP(A224,Processor_DB_Intel!$A$1:'Processor_DB_Intel'!$F$494,6,FALSE),3),"")</f>
        <v/>
      </c>
      <c r="E224" s="73" t="str">
        <f>IF(O224 = 0,"",O224)</f>
        <v/>
      </c>
      <c r="F224" s="56" t="str">
        <f>IFERROR(E224/C224,"")</f>
        <v/>
      </c>
      <c r="G224" t="str">
        <f t="shared" si="9"/>
        <v/>
      </c>
      <c r="H224" t="str">
        <f t="shared" si="8"/>
        <v/>
      </c>
      <c r="I224" s="56" t="str">
        <f>IFERROR(E224/G224,"")</f>
        <v/>
      </c>
      <c r="J224" s="57" t="str">
        <f>IFERROR(1-(I224/$AC$3),"")</f>
        <v/>
      </c>
      <c r="L224">
        <f>MIN(SEARCH({0,1,2,3,4,5,6,7,8,9},K224&amp;"0123456789"))</f>
        <v>1</v>
      </c>
      <c r="M224" t="str">
        <f>LEFT(RIGHT(K224,LEN(K224)-L224+1),6)</f>
        <v/>
      </c>
      <c r="O224" s="70">
        <f>IFERROR(RIGHT(SUBSTITUTE(N224,"$",CHAR(9),2),LEN(N224)-FIND(CHAR(9),SUBSTITUTE(N224,"$",CHAR(9),2),1) ),N224)</f>
        <v>0</v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 t="str">
        <f t="shared" si="7"/>
        <v/>
      </c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</row>
    <row r="225" spans="2:123" hidden="1">
      <c r="B225" s="54" t="str">
        <f>TRIM(MID(SUBSTITUTE(A225," ",REPT(" ",LEN(A225))), (4-1)*LEN(A225)+1, LEN(A225)))</f>
        <v/>
      </c>
      <c r="C225" t="str">
        <f>IFERROR(VLOOKUP(A225,Processor_DB_Intel!$A$1:'Processor_DB_Intel'!$D$494,4,FALSE),"")</f>
        <v/>
      </c>
      <c r="D225" t="str">
        <f>IFERROR(LEFT(VLOOKUP(A225,Processor_DB_Intel!$A$1:'Processor_DB_Intel'!$F$494,6,FALSE),3),"")</f>
        <v/>
      </c>
      <c r="E225" s="73" t="str">
        <f>IF(O225 = 0,"",O225)</f>
        <v/>
      </c>
      <c r="F225" s="56" t="str">
        <f>IFERROR(E225/C225,"")</f>
        <v/>
      </c>
      <c r="G225" t="str">
        <f t="shared" si="9"/>
        <v/>
      </c>
      <c r="H225" t="str">
        <f t="shared" si="8"/>
        <v/>
      </c>
      <c r="I225" s="56" t="str">
        <f>IFERROR(E225/G225,"")</f>
        <v/>
      </c>
      <c r="J225" s="57" t="str">
        <f>IFERROR(1-(I225/$AC$3),"")</f>
        <v/>
      </c>
      <c r="L225">
        <f>MIN(SEARCH({0,1,2,3,4,5,6,7,8,9},K225&amp;"0123456789"))</f>
        <v>1</v>
      </c>
      <c r="M225" t="str">
        <f>LEFT(RIGHT(K225,LEN(K225)-L225+1),6)</f>
        <v/>
      </c>
      <c r="O225" s="70">
        <f>IFERROR(RIGHT(SUBSTITUTE(N225,"$",CHAR(9),2),LEN(N225)-FIND(CHAR(9),SUBSTITUTE(N225,"$",CHAR(9),2),1) ),N225)</f>
        <v>0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 t="str">
        <f t="shared" si="7"/>
        <v/>
      </c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</row>
    <row r="226" spans="2:123" hidden="1">
      <c r="B226" s="54" t="str">
        <f>TRIM(MID(SUBSTITUTE(A226," ",REPT(" ",LEN(A226))), (4-1)*LEN(A226)+1, LEN(A226)))</f>
        <v/>
      </c>
      <c r="C226" t="str">
        <f>IFERROR(VLOOKUP(A226,Processor_DB_Intel!$A$1:'Processor_DB_Intel'!$D$494,4,FALSE),"")</f>
        <v/>
      </c>
      <c r="D226" t="str">
        <f>IFERROR(LEFT(VLOOKUP(A226,Processor_DB_Intel!$A$1:'Processor_DB_Intel'!$F$494,6,FALSE),3),"")</f>
        <v/>
      </c>
      <c r="E226" s="73" t="str">
        <f>IF(O226 = 0,"",O226)</f>
        <v/>
      </c>
      <c r="F226" s="56" t="str">
        <f>IFERROR(E226/C226,"")</f>
        <v/>
      </c>
      <c r="G226" t="str">
        <f t="shared" si="9"/>
        <v/>
      </c>
      <c r="H226" t="str">
        <f t="shared" si="8"/>
        <v/>
      </c>
      <c r="I226" s="56" t="str">
        <f>IFERROR(E226/G226,"")</f>
        <v/>
      </c>
      <c r="J226" s="57" t="str">
        <f>IFERROR(1-(I226/$AC$3),"")</f>
        <v/>
      </c>
      <c r="L226">
        <f>MIN(SEARCH({0,1,2,3,4,5,6,7,8,9},K226&amp;"0123456789"))</f>
        <v>1</v>
      </c>
      <c r="M226" t="str">
        <f>LEFT(RIGHT(K226,LEN(K226)-L226+1),6)</f>
        <v/>
      </c>
      <c r="O226" s="70">
        <f>IFERROR(RIGHT(SUBSTITUTE(N226,"$",CHAR(9),2),LEN(N226)-FIND(CHAR(9),SUBSTITUTE(N226,"$",CHAR(9),2),1) ),N226)</f>
        <v>0</v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 t="str">
        <f t="shared" si="7"/>
        <v/>
      </c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</row>
    <row r="227" spans="2:123" hidden="1">
      <c r="B227" s="54" t="str">
        <f>TRIM(MID(SUBSTITUTE(A227," ",REPT(" ",LEN(A227))), (4-1)*LEN(A227)+1, LEN(A227)))</f>
        <v/>
      </c>
      <c r="C227" t="str">
        <f>IFERROR(VLOOKUP(A227,Processor_DB_Intel!$A$1:'Processor_DB_Intel'!$D$494,4,FALSE),"")</f>
        <v/>
      </c>
      <c r="D227" t="str">
        <f>IFERROR(LEFT(VLOOKUP(A227,Processor_DB_Intel!$A$1:'Processor_DB_Intel'!$F$494,6,FALSE),3),"")</f>
        <v/>
      </c>
      <c r="E227" s="73" t="str">
        <f>IF(O227 = 0,"",O227)</f>
        <v/>
      </c>
      <c r="F227" s="56" t="str">
        <f>IFERROR(E227/C227,"")</f>
        <v/>
      </c>
      <c r="G227" t="str">
        <f t="shared" si="9"/>
        <v/>
      </c>
      <c r="H227" t="str">
        <f t="shared" si="8"/>
        <v/>
      </c>
      <c r="I227" s="56" t="str">
        <f>IFERROR(E227/G227,"")</f>
        <v/>
      </c>
      <c r="J227" s="57" t="str">
        <f>IFERROR(1-(I227/$AC$3),"")</f>
        <v/>
      </c>
      <c r="L227">
        <f>MIN(SEARCH({0,1,2,3,4,5,6,7,8,9},K227&amp;"0123456789"))</f>
        <v>1</v>
      </c>
      <c r="M227" t="str">
        <f>LEFT(RIGHT(K227,LEN(K227)-L227+1),6)</f>
        <v/>
      </c>
      <c r="O227" s="70">
        <f>IFERROR(RIGHT(SUBSTITUTE(N227,"$",CHAR(9),2),LEN(N227)-FIND(CHAR(9),SUBSTITUTE(N227,"$",CHAR(9),2),1) ),N227)</f>
        <v>0</v>
      </c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 t="str">
        <f t="shared" si="7"/>
        <v/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</row>
    <row r="228" spans="2:123" hidden="1">
      <c r="B228" s="54" t="str">
        <f>TRIM(MID(SUBSTITUTE(A228," ",REPT(" ",LEN(A228))), (4-1)*LEN(A228)+1, LEN(A228)))</f>
        <v/>
      </c>
      <c r="C228" t="str">
        <f>IFERROR(VLOOKUP(A228,Processor_DB_Intel!$A$1:'Processor_DB_Intel'!$D$494,4,FALSE),"")</f>
        <v/>
      </c>
      <c r="D228" t="str">
        <f>IFERROR(LEFT(VLOOKUP(A228,Processor_DB_Intel!$A$1:'Processor_DB_Intel'!$F$494,6,FALSE),3),"")</f>
        <v/>
      </c>
      <c r="E228" s="73" t="str">
        <f>IF(O228 = 0,"",O228)</f>
        <v/>
      </c>
      <c r="F228" s="56" t="str">
        <f>IFERROR(E228/C228,"")</f>
        <v/>
      </c>
      <c r="G228" t="str">
        <f t="shared" si="9"/>
        <v/>
      </c>
      <c r="H228" t="str">
        <f t="shared" si="8"/>
        <v/>
      </c>
      <c r="I228" s="56" t="str">
        <f>IFERROR(E228/G228,"")</f>
        <v/>
      </c>
      <c r="J228" s="57" t="str">
        <f>IFERROR(1-(I228/$AC$3),"")</f>
        <v/>
      </c>
      <c r="L228">
        <f>MIN(SEARCH({0,1,2,3,4,5,6,7,8,9},K228&amp;"0123456789"))</f>
        <v>1</v>
      </c>
      <c r="M228" t="str">
        <f>LEFT(RIGHT(K228,LEN(K228)-L228+1),6)</f>
        <v/>
      </c>
      <c r="O228" s="70">
        <f>IFERROR(RIGHT(SUBSTITUTE(N228,"$",CHAR(9),2),LEN(N228)-FIND(CHAR(9),SUBSTITUTE(N228,"$",CHAR(9),2),1) ),N228)</f>
        <v>0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 t="str">
        <f t="shared" si="7"/>
        <v/>
      </c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</row>
    <row r="229" spans="2:123" hidden="1">
      <c r="B229" s="54" t="str">
        <f>TRIM(MID(SUBSTITUTE(A229," ",REPT(" ",LEN(A229))), (4-1)*LEN(A229)+1, LEN(A229)))</f>
        <v/>
      </c>
      <c r="C229" t="str">
        <f>IFERROR(VLOOKUP(A229,Processor_DB_Intel!$A$1:'Processor_DB_Intel'!$D$494,4,FALSE),"")</f>
        <v/>
      </c>
      <c r="D229" t="str">
        <f>IFERROR(LEFT(VLOOKUP(A229,Processor_DB_Intel!$A$1:'Processor_DB_Intel'!$F$494,6,FALSE),3),"")</f>
        <v/>
      </c>
      <c r="E229" s="73" t="str">
        <f>IF(O229 = 0,"",O229)</f>
        <v/>
      </c>
      <c r="F229" s="56" t="str">
        <f>IFERROR(E229/C229,"")</f>
        <v/>
      </c>
      <c r="G229" t="str">
        <f t="shared" si="9"/>
        <v/>
      </c>
      <c r="H229" t="str">
        <f t="shared" si="8"/>
        <v/>
      </c>
      <c r="I229" s="56" t="str">
        <f>IFERROR(E229/G229,"")</f>
        <v/>
      </c>
      <c r="J229" s="57" t="str">
        <f>IFERROR(1-(I229/$AC$3),"")</f>
        <v/>
      </c>
      <c r="L229">
        <f>MIN(SEARCH({0,1,2,3,4,5,6,7,8,9},K229&amp;"0123456789"))</f>
        <v>1</v>
      </c>
      <c r="M229" t="str">
        <f>LEFT(RIGHT(K229,LEN(K229)-L229+1),6)</f>
        <v/>
      </c>
      <c r="O229" s="70">
        <f>IFERROR(RIGHT(SUBSTITUTE(N229,"$",CHAR(9),2),LEN(N229)-FIND(CHAR(9),SUBSTITUTE(N229,"$",CHAR(9),2),1) ),N229)</f>
        <v>0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 t="str">
        <f t="shared" si="7"/>
        <v/>
      </c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</row>
    <row r="230" spans="2:123" hidden="1">
      <c r="B230" s="54" t="str">
        <f>TRIM(MID(SUBSTITUTE(A230," ",REPT(" ",LEN(A230))), (4-1)*LEN(A230)+1, LEN(A230)))</f>
        <v/>
      </c>
      <c r="C230" t="str">
        <f>IFERROR(VLOOKUP(A230,Processor_DB_Intel!$A$1:'Processor_DB_Intel'!$D$494,4,FALSE),"")</f>
        <v/>
      </c>
      <c r="D230" t="str">
        <f>IFERROR(LEFT(VLOOKUP(A230,Processor_DB_Intel!$A$1:'Processor_DB_Intel'!$F$494,6,FALSE),3),"")</f>
        <v/>
      </c>
      <c r="E230" s="73" t="str">
        <f>IF(O230 = 0,"",O230)</f>
        <v/>
      </c>
      <c r="F230" s="56" t="str">
        <f>IFERROR(E230/C230,"")</f>
        <v/>
      </c>
      <c r="G230" t="str">
        <f t="shared" si="9"/>
        <v/>
      </c>
      <c r="H230" t="str">
        <f t="shared" si="8"/>
        <v/>
      </c>
      <c r="I230" s="56" t="str">
        <f>IFERROR(E230/G230,"")</f>
        <v/>
      </c>
      <c r="J230" s="57" t="str">
        <f>IFERROR(1-(I230/$AC$3),"")</f>
        <v/>
      </c>
      <c r="L230">
        <f>MIN(SEARCH({0,1,2,3,4,5,6,7,8,9},K230&amp;"0123456789"))</f>
        <v>1</v>
      </c>
      <c r="M230" t="str">
        <f>LEFT(RIGHT(K230,LEN(K230)-L230+1),6)</f>
        <v/>
      </c>
      <c r="O230" s="70">
        <f>IFERROR(RIGHT(SUBSTITUTE(N230,"$",CHAR(9),2),LEN(N230)-FIND(CHAR(9),SUBSTITUTE(N230,"$",CHAR(9),2),1) ),N230)</f>
        <v>0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 t="str">
        <f t="shared" si="7"/>
        <v/>
      </c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</row>
    <row r="231" spans="2:123" hidden="1">
      <c r="B231" s="54" t="str">
        <f>TRIM(MID(SUBSTITUTE(A231," ",REPT(" ",LEN(A231))), (4-1)*LEN(A231)+1, LEN(A231)))</f>
        <v/>
      </c>
      <c r="C231" t="str">
        <f>IFERROR(VLOOKUP(A231,Processor_DB_Intel!$A$1:'Processor_DB_Intel'!$D$494,4,FALSE),"")</f>
        <v/>
      </c>
      <c r="D231" t="str">
        <f>IFERROR(LEFT(VLOOKUP(A231,Processor_DB_Intel!$A$1:'Processor_DB_Intel'!$F$494,6,FALSE),3),"")</f>
        <v/>
      </c>
      <c r="E231" s="73" t="str">
        <f>IF(O231 = 0,"",O231)</f>
        <v/>
      </c>
      <c r="F231" s="56" t="str">
        <f>IFERROR(E231/C231,"")</f>
        <v/>
      </c>
      <c r="G231" t="str">
        <f t="shared" si="9"/>
        <v/>
      </c>
      <c r="H231" t="str">
        <f t="shared" si="8"/>
        <v/>
      </c>
      <c r="I231" s="56" t="str">
        <f>IFERROR(E231/G231,"")</f>
        <v/>
      </c>
      <c r="J231" s="57" t="str">
        <f>IFERROR(1-(I231/$AC$3),"")</f>
        <v/>
      </c>
      <c r="L231">
        <f>MIN(SEARCH({0,1,2,3,4,5,6,7,8,9},K231&amp;"0123456789"))</f>
        <v>1</v>
      </c>
      <c r="M231" t="str">
        <f>LEFT(RIGHT(K231,LEN(K231)-L231+1),6)</f>
        <v/>
      </c>
      <c r="O231" s="70">
        <f>IFERROR(RIGHT(SUBSTITUTE(N231,"$",CHAR(9),2),LEN(N231)-FIND(CHAR(9),SUBSTITUTE(N231,"$",CHAR(9),2),1) ),N231)</f>
        <v>0</v>
      </c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 t="str">
        <f t="shared" si="7"/>
        <v/>
      </c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</row>
    <row r="232" spans="2:123" hidden="1">
      <c r="B232" s="54" t="str">
        <f>TRIM(MID(SUBSTITUTE(A232," ",REPT(" ",LEN(A232))), (4-1)*LEN(A232)+1, LEN(A232)))</f>
        <v/>
      </c>
      <c r="C232" t="str">
        <f>IFERROR(VLOOKUP(A232,Processor_DB_Intel!$A$1:'Processor_DB_Intel'!$D$494,4,FALSE),"")</f>
        <v/>
      </c>
      <c r="D232" t="str">
        <f>IFERROR(LEFT(VLOOKUP(A232,Processor_DB_Intel!$A$1:'Processor_DB_Intel'!$F$494,6,FALSE),3),"")</f>
        <v/>
      </c>
      <c r="E232" s="73" t="str">
        <f>IF(O232 = 0,"",O232)</f>
        <v/>
      </c>
      <c r="F232" s="56" t="str">
        <f>IFERROR(E232/C232,"")</f>
        <v/>
      </c>
      <c r="G232" t="str">
        <f t="shared" si="9"/>
        <v/>
      </c>
      <c r="H232" t="str">
        <f t="shared" si="8"/>
        <v/>
      </c>
      <c r="I232" s="56" t="str">
        <f>IFERROR(E232/G232,"")</f>
        <v/>
      </c>
      <c r="J232" s="57" t="str">
        <f>IFERROR(1-(I232/$AC$3),"")</f>
        <v/>
      </c>
      <c r="L232">
        <f>MIN(SEARCH({0,1,2,3,4,5,6,7,8,9},K232&amp;"0123456789"))</f>
        <v>1</v>
      </c>
      <c r="M232" t="str">
        <f>LEFT(RIGHT(K232,LEN(K232)-L232+1),6)</f>
        <v/>
      </c>
      <c r="O232" s="70">
        <f>IFERROR(RIGHT(SUBSTITUTE(N232,"$",CHAR(9),2),LEN(N232)-FIND(CHAR(9),SUBSTITUTE(N232,"$",CHAR(9),2),1) ),N232)</f>
        <v>0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 t="str">
        <f t="shared" si="7"/>
        <v/>
      </c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</row>
    <row r="233" spans="2:123" hidden="1">
      <c r="B233" s="54" t="str">
        <f>TRIM(MID(SUBSTITUTE(A233," ",REPT(" ",LEN(A233))), (4-1)*LEN(A233)+1, LEN(A233)))</f>
        <v/>
      </c>
      <c r="C233" t="str">
        <f>IFERROR(VLOOKUP(A233,Processor_DB_Intel!$A$1:'Processor_DB_Intel'!$D$494,4,FALSE),"")</f>
        <v/>
      </c>
      <c r="D233" t="str">
        <f>IFERROR(LEFT(VLOOKUP(A233,Processor_DB_Intel!$A$1:'Processor_DB_Intel'!$F$494,6,FALSE),3),"")</f>
        <v/>
      </c>
      <c r="E233" s="73" t="str">
        <f>IF(O233 = 0,"",O233)</f>
        <v/>
      </c>
      <c r="F233" s="56" t="str">
        <f>IFERROR(E233/C233,"")</f>
        <v/>
      </c>
      <c r="G233" t="str">
        <f t="shared" si="9"/>
        <v/>
      </c>
      <c r="H233" t="str">
        <f t="shared" si="8"/>
        <v/>
      </c>
      <c r="I233" s="56" t="str">
        <f>IFERROR(E233/G233,"")</f>
        <v/>
      </c>
      <c r="J233" s="57" t="str">
        <f>IFERROR(1-(I233/$AC$3),"")</f>
        <v/>
      </c>
      <c r="L233">
        <f>MIN(SEARCH({0,1,2,3,4,5,6,7,8,9},K233&amp;"0123456789"))</f>
        <v>1</v>
      </c>
      <c r="M233" t="str">
        <f>LEFT(RIGHT(K233,LEN(K233)-L233+1),6)</f>
        <v/>
      </c>
      <c r="O233" s="70">
        <f>IFERROR(RIGHT(SUBSTITUTE(N233,"$",CHAR(9),2),LEN(N233)-FIND(CHAR(9),SUBSTITUTE(N233,"$",CHAR(9),2),1) ),N233)</f>
        <v>0</v>
      </c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 t="str">
        <f t="shared" si="7"/>
        <v/>
      </c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</row>
    <row r="234" spans="2:123" hidden="1">
      <c r="B234" s="54" t="str">
        <f>TRIM(MID(SUBSTITUTE(A234," ",REPT(" ",LEN(A234))), (4-1)*LEN(A234)+1, LEN(A234)))</f>
        <v/>
      </c>
      <c r="C234" t="str">
        <f>IFERROR(VLOOKUP(A234,Processor_DB_Intel!$A$1:'Processor_DB_Intel'!$D$494,4,FALSE),"")</f>
        <v/>
      </c>
      <c r="D234" t="str">
        <f>IFERROR(LEFT(VLOOKUP(A234,Processor_DB_Intel!$A$1:'Processor_DB_Intel'!$F$494,6,FALSE),3),"")</f>
        <v/>
      </c>
      <c r="E234" s="73" t="str">
        <f>IF(O234 = 0,"",O234)</f>
        <v/>
      </c>
      <c r="F234" s="56" t="str">
        <f>IFERROR(E234/C234,"")</f>
        <v/>
      </c>
      <c r="G234" t="str">
        <f t="shared" si="9"/>
        <v/>
      </c>
      <c r="H234" t="str">
        <f t="shared" si="8"/>
        <v/>
      </c>
      <c r="I234" s="56" t="str">
        <f>IFERROR(E234/G234,"")</f>
        <v/>
      </c>
      <c r="J234" s="57" t="str">
        <f>IFERROR(1-(I234/$AC$3),"")</f>
        <v/>
      </c>
      <c r="L234">
        <f>MIN(SEARCH({0,1,2,3,4,5,6,7,8,9},K234&amp;"0123456789"))</f>
        <v>1</v>
      </c>
      <c r="M234" t="str">
        <f>LEFT(RIGHT(K234,LEN(K234)-L234+1),6)</f>
        <v/>
      </c>
      <c r="O234" s="70">
        <f>IFERROR(RIGHT(SUBSTITUTE(N234,"$",CHAR(9),2),LEN(N234)-FIND(CHAR(9),SUBSTITUTE(N234,"$",CHAR(9),2),1) ),N234)</f>
        <v>0</v>
      </c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 t="str">
        <f t="shared" si="7"/>
        <v/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</row>
    <row r="235" spans="2:123" hidden="1">
      <c r="B235" s="54" t="str">
        <f>TRIM(MID(SUBSTITUTE(A235," ",REPT(" ",LEN(A235))), (4-1)*LEN(A235)+1, LEN(A235)))</f>
        <v/>
      </c>
      <c r="C235" t="str">
        <f>IFERROR(VLOOKUP(A235,Processor_DB_Intel!$A$1:'Processor_DB_Intel'!$D$494,4,FALSE),"")</f>
        <v/>
      </c>
      <c r="D235" t="str">
        <f>IFERROR(LEFT(VLOOKUP(A235,Processor_DB_Intel!$A$1:'Processor_DB_Intel'!$F$494,6,FALSE),3),"")</f>
        <v/>
      </c>
      <c r="E235" s="73" t="str">
        <f>IF(O235 = 0,"",O235)</f>
        <v/>
      </c>
      <c r="F235" s="56" t="str">
        <f>IFERROR(E235/C235,"")</f>
        <v/>
      </c>
      <c r="G235" t="str">
        <f t="shared" si="9"/>
        <v/>
      </c>
      <c r="H235" t="str">
        <f t="shared" si="8"/>
        <v/>
      </c>
      <c r="I235" s="56" t="str">
        <f>IFERROR(E235/G235,"")</f>
        <v/>
      </c>
      <c r="J235" s="57" t="str">
        <f>IFERROR(1-(I235/$AC$3),"")</f>
        <v/>
      </c>
      <c r="L235">
        <f>MIN(SEARCH({0,1,2,3,4,5,6,7,8,9},K235&amp;"0123456789"))</f>
        <v>1</v>
      </c>
      <c r="M235" t="str">
        <f>LEFT(RIGHT(K235,LEN(K235)-L235+1),6)</f>
        <v/>
      </c>
      <c r="O235" s="70">
        <f>IFERROR(RIGHT(SUBSTITUTE(N235,"$",CHAR(9),2),LEN(N235)-FIND(CHAR(9),SUBSTITUTE(N235,"$",CHAR(9),2),1) ),N235)</f>
        <v>0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 t="str">
        <f t="shared" si="7"/>
        <v/>
      </c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</row>
    <row r="236" spans="2:123" hidden="1">
      <c r="B236" s="54" t="str">
        <f>TRIM(MID(SUBSTITUTE(A236," ",REPT(" ",LEN(A236))), (4-1)*LEN(A236)+1, LEN(A236)))</f>
        <v/>
      </c>
      <c r="C236" t="str">
        <f>IFERROR(VLOOKUP(A236,Processor_DB_Intel!$A$1:'Processor_DB_Intel'!$D$494,4,FALSE),"")</f>
        <v/>
      </c>
      <c r="D236" t="str">
        <f>IFERROR(LEFT(VLOOKUP(A236,Processor_DB_Intel!$A$1:'Processor_DB_Intel'!$F$494,6,FALSE),3),"")</f>
        <v/>
      </c>
      <c r="E236" s="73" t="str">
        <f>IF(O236 = 0,"",O236)</f>
        <v/>
      </c>
      <c r="F236" s="56" t="str">
        <f>IFERROR(E236/C236,"")</f>
        <v/>
      </c>
      <c r="G236" t="str">
        <f t="shared" si="9"/>
        <v/>
      </c>
      <c r="H236" t="str">
        <f t="shared" si="8"/>
        <v/>
      </c>
      <c r="I236" s="56" t="str">
        <f>IFERROR(E236/G236,"")</f>
        <v/>
      </c>
      <c r="J236" s="57" t="str">
        <f>IFERROR(1-(I236/$AC$3),"")</f>
        <v/>
      </c>
      <c r="L236">
        <f>MIN(SEARCH({0,1,2,3,4,5,6,7,8,9},K236&amp;"0123456789"))</f>
        <v>1</v>
      </c>
      <c r="M236" t="str">
        <f>LEFT(RIGHT(K236,LEN(K236)-L236+1),6)</f>
        <v/>
      </c>
      <c r="O236" s="70">
        <f>IFERROR(RIGHT(SUBSTITUTE(N236,"$",CHAR(9),2),LEN(N236)-FIND(CHAR(9),SUBSTITUTE(N236,"$",CHAR(9),2),1) ),N236)</f>
        <v>0</v>
      </c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 t="str">
        <f t="shared" si="7"/>
        <v/>
      </c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</row>
    <row r="237" spans="2:123" hidden="1">
      <c r="B237" s="54" t="str">
        <f>TRIM(MID(SUBSTITUTE(A237," ",REPT(" ",LEN(A237))), (4-1)*LEN(A237)+1, LEN(A237)))</f>
        <v/>
      </c>
      <c r="C237" t="str">
        <f>IFERROR(VLOOKUP(A237,Processor_DB_Intel!$A$1:'Processor_DB_Intel'!$D$494,4,FALSE),"")</f>
        <v/>
      </c>
      <c r="D237" t="str">
        <f>IFERROR(LEFT(VLOOKUP(A237,Processor_DB_Intel!$A$1:'Processor_DB_Intel'!$F$494,6,FALSE),3),"")</f>
        <v/>
      </c>
      <c r="E237" s="73" t="str">
        <f>IF(O237 = 0,"",O237)</f>
        <v/>
      </c>
      <c r="F237" s="56" t="str">
        <f>IFERROR(E237/C237,"")</f>
        <v/>
      </c>
      <c r="G237" t="str">
        <f t="shared" si="9"/>
        <v/>
      </c>
      <c r="H237" t="str">
        <f t="shared" si="8"/>
        <v/>
      </c>
      <c r="I237" s="56" t="str">
        <f>IFERROR(E237/G237,"")</f>
        <v/>
      </c>
      <c r="J237" s="57" t="str">
        <f>IFERROR(1-(I237/$AC$3),"")</f>
        <v/>
      </c>
      <c r="L237">
        <f>MIN(SEARCH({0,1,2,3,4,5,6,7,8,9},K237&amp;"0123456789"))</f>
        <v>1</v>
      </c>
      <c r="M237" t="str">
        <f>LEFT(RIGHT(K237,LEN(K237)-L237+1),6)</f>
        <v/>
      </c>
      <c r="O237" s="70">
        <f>IFERROR(RIGHT(SUBSTITUTE(N237,"$",CHAR(9),2),LEN(N237)-FIND(CHAR(9),SUBSTITUTE(N237,"$",CHAR(9),2),1) ),N237)</f>
        <v>0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 t="str">
        <f t="shared" si="7"/>
        <v/>
      </c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</row>
    <row r="238" spans="2:123" hidden="1">
      <c r="B238" s="54" t="str">
        <f>TRIM(MID(SUBSTITUTE(A238," ",REPT(" ",LEN(A238))), (4-1)*LEN(A238)+1, LEN(A238)))</f>
        <v/>
      </c>
      <c r="C238" t="str">
        <f>IFERROR(VLOOKUP(A238,Processor_DB_Intel!$A$1:'Processor_DB_Intel'!$D$494,4,FALSE),"")</f>
        <v/>
      </c>
      <c r="D238" t="str">
        <f>IFERROR(LEFT(VLOOKUP(A238,Processor_DB_Intel!$A$1:'Processor_DB_Intel'!$F$494,6,FALSE),3),"")</f>
        <v/>
      </c>
      <c r="E238" s="73" t="str">
        <f>IF(O238 = 0,"",O238)</f>
        <v/>
      </c>
      <c r="F238" s="56" t="str">
        <f>IFERROR(E238/C238,"")</f>
        <v/>
      </c>
      <c r="G238" t="str">
        <f t="shared" si="9"/>
        <v/>
      </c>
      <c r="H238" t="str">
        <f t="shared" si="8"/>
        <v/>
      </c>
      <c r="I238" s="56" t="str">
        <f>IFERROR(E238/G238,"")</f>
        <v/>
      </c>
      <c r="J238" s="57" t="str">
        <f>IFERROR(1-(I238/$AC$3),"")</f>
        <v/>
      </c>
      <c r="L238">
        <f>MIN(SEARCH({0,1,2,3,4,5,6,7,8,9},K238&amp;"0123456789"))</f>
        <v>1</v>
      </c>
      <c r="M238" t="str">
        <f>LEFT(RIGHT(K238,LEN(K238)-L238+1),6)</f>
        <v/>
      </c>
      <c r="O238" s="70">
        <f>IFERROR(RIGHT(SUBSTITUTE(N238,"$",CHAR(9),2),LEN(N238)-FIND(CHAR(9),SUBSTITUTE(N238,"$",CHAR(9),2),1) ),N238)</f>
        <v>0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 t="str">
        <f t="shared" si="7"/>
        <v/>
      </c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</row>
    <row r="239" spans="2:123" hidden="1">
      <c r="B239" s="54" t="str">
        <f>TRIM(MID(SUBSTITUTE(A239," ",REPT(" ",LEN(A239))), (4-1)*LEN(A239)+1, LEN(A239)))</f>
        <v/>
      </c>
      <c r="C239" t="str">
        <f>IFERROR(VLOOKUP(A239,Processor_DB_Intel!$A$1:'Processor_DB_Intel'!$D$494,4,FALSE),"")</f>
        <v/>
      </c>
      <c r="D239" t="str">
        <f>IFERROR(LEFT(VLOOKUP(A239,Processor_DB_Intel!$A$1:'Processor_DB_Intel'!$F$494,6,FALSE),3),"")</f>
        <v/>
      </c>
      <c r="E239" s="73" t="str">
        <f>IF(O239 = 0,"",O239)</f>
        <v/>
      </c>
      <c r="F239" s="56" t="str">
        <f>IFERROR(E239/C239,"")</f>
        <v/>
      </c>
      <c r="G239" t="str">
        <f t="shared" si="9"/>
        <v/>
      </c>
      <c r="H239" t="str">
        <f t="shared" si="8"/>
        <v/>
      </c>
      <c r="I239" s="56" t="str">
        <f>IFERROR(E239/G239,"")</f>
        <v/>
      </c>
      <c r="J239" s="57" t="str">
        <f>IFERROR(1-(I239/$AC$3),"")</f>
        <v/>
      </c>
      <c r="L239">
        <f>MIN(SEARCH({0,1,2,3,4,5,6,7,8,9},K239&amp;"0123456789"))</f>
        <v>1</v>
      </c>
      <c r="M239" t="str">
        <f>LEFT(RIGHT(K239,LEN(K239)-L239+1),6)</f>
        <v/>
      </c>
      <c r="O239" s="70">
        <f>IFERROR(RIGHT(SUBSTITUTE(N239,"$",CHAR(9),2),LEN(N239)-FIND(CHAR(9),SUBSTITUTE(N239,"$",CHAR(9),2),1) ),N239)</f>
        <v>0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 t="str">
        <f t="shared" si="7"/>
        <v/>
      </c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</row>
    <row r="240" spans="2:123" hidden="1">
      <c r="B240" s="54" t="str">
        <f>TRIM(MID(SUBSTITUTE(A240," ",REPT(" ",LEN(A240))), (4-1)*LEN(A240)+1, LEN(A240)))</f>
        <v/>
      </c>
      <c r="C240" t="str">
        <f>IFERROR(VLOOKUP(A240,Processor_DB_Intel!$A$1:'Processor_DB_Intel'!$D$494,4,FALSE),"")</f>
        <v/>
      </c>
      <c r="D240" t="str">
        <f>IFERROR(LEFT(VLOOKUP(A240,Processor_DB_Intel!$A$1:'Processor_DB_Intel'!$F$494,6,FALSE),3),"")</f>
        <v/>
      </c>
      <c r="E240" s="73" t="str">
        <f>IF(O240 = 0,"",O240)</f>
        <v/>
      </c>
      <c r="F240" s="56" t="str">
        <f>IFERROR(E240/C240,"")</f>
        <v/>
      </c>
      <c r="G240" t="str">
        <f t="shared" si="9"/>
        <v/>
      </c>
      <c r="H240" t="str">
        <f t="shared" si="8"/>
        <v/>
      </c>
      <c r="I240" s="56" t="str">
        <f>IFERROR(E240/G240,"")</f>
        <v/>
      </c>
      <c r="J240" s="57" t="str">
        <f>IFERROR(1-(I240/$AC$3),"")</f>
        <v/>
      </c>
      <c r="L240">
        <f>MIN(SEARCH({0,1,2,3,4,5,6,7,8,9},K240&amp;"0123456789"))</f>
        <v>1</v>
      </c>
      <c r="M240" t="str">
        <f>LEFT(RIGHT(K240,LEN(K240)-L240+1),6)</f>
        <v/>
      </c>
      <c r="O240" s="70">
        <f>IFERROR(RIGHT(SUBSTITUTE(N240,"$",CHAR(9),2),LEN(N240)-FIND(CHAR(9),SUBSTITUTE(N240,"$",CHAR(9),2),1) ),N240)</f>
        <v>0</v>
      </c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 t="str">
        <f t="shared" si="7"/>
        <v/>
      </c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</row>
    <row r="241" spans="2:123" hidden="1">
      <c r="B241" s="54" t="str">
        <f>TRIM(MID(SUBSTITUTE(A241," ",REPT(" ",LEN(A241))), (4-1)*LEN(A241)+1, LEN(A241)))</f>
        <v/>
      </c>
      <c r="C241" t="str">
        <f>IFERROR(VLOOKUP(A241,Processor_DB_Intel!$A$1:'Processor_DB_Intel'!$D$494,4,FALSE),"")</f>
        <v/>
      </c>
      <c r="D241" t="str">
        <f>IFERROR(LEFT(VLOOKUP(A241,Processor_DB_Intel!$A$1:'Processor_DB_Intel'!$F$494,6,FALSE),3),"")</f>
        <v/>
      </c>
      <c r="E241" s="73" t="str">
        <f>IF(O241 = 0,"",O241)</f>
        <v/>
      </c>
      <c r="F241" s="56" t="str">
        <f>IFERROR(E241/C241,"")</f>
        <v/>
      </c>
      <c r="G241" t="str">
        <f t="shared" si="9"/>
        <v/>
      </c>
      <c r="H241" t="str">
        <f t="shared" si="8"/>
        <v/>
      </c>
      <c r="I241" s="56" t="str">
        <f>IFERROR(E241/G241,"")</f>
        <v/>
      </c>
      <c r="J241" s="57" t="str">
        <f>IFERROR(1-(I241/$AC$3),"")</f>
        <v/>
      </c>
      <c r="L241">
        <f>MIN(SEARCH({0,1,2,3,4,5,6,7,8,9},K241&amp;"0123456789"))</f>
        <v>1</v>
      </c>
      <c r="M241" t="str">
        <f>LEFT(RIGHT(K241,LEN(K241)-L241+1),6)</f>
        <v/>
      </c>
      <c r="O241" s="70">
        <f>IFERROR(RIGHT(SUBSTITUTE(N241,"$",CHAR(9),2),LEN(N241)-FIND(CHAR(9),SUBSTITUTE(N241,"$",CHAR(9),2),1) ),N241)</f>
        <v>0</v>
      </c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 t="str">
        <f t="shared" si="7"/>
        <v/>
      </c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</row>
    <row r="242" spans="2:123" hidden="1">
      <c r="B242" s="54" t="str">
        <f>TRIM(MID(SUBSTITUTE(A242," ",REPT(" ",LEN(A242))), (4-1)*LEN(A242)+1, LEN(A242)))</f>
        <v/>
      </c>
      <c r="C242" t="str">
        <f>IFERROR(VLOOKUP(A242,Processor_DB_Intel!$A$1:'Processor_DB_Intel'!$D$494,4,FALSE),"")</f>
        <v/>
      </c>
      <c r="D242" t="str">
        <f>IFERROR(LEFT(VLOOKUP(A242,Processor_DB_Intel!$A$1:'Processor_DB_Intel'!$F$494,6,FALSE),3),"")</f>
        <v/>
      </c>
      <c r="E242" s="73" t="str">
        <f>IF(O242 = 0,"",O242)</f>
        <v/>
      </c>
      <c r="F242" s="56" t="str">
        <f>IFERROR(E242/C242,"")</f>
        <v/>
      </c>
      <c r="G242" t="str">
        <f t="shared" si="9"/>
        <v/>
      </c>
      <c r="H242" t="str">
        <f t="shared" si="8"/>
        <v/>
      </c>
      <c r="I242" s="56" t="str">
        <f>IFERROR(E242/G242,"")</f>
        <v/>
      </c>
      <c r="J242" s="57" t="str">
        <f>IFERROR(1-(I242/$AC$3),"")</f>
        <v/>
      </c>
      <c r="L242">
        <f>MIN(SEARCH({0,1,2,3,4,5,6,7,8,9},K242&amp;"0123456789"))</f>
        <v>1</v>
      </c>
      <c r="M242" t="str">
        <f>LEFT(RIGHT(K242,LEN(K242)-L242+1),6)</f>
        <v/>
      </c>
      <c r="O242" s="70">
        <f>IFERROR(RIGHT(SUBSTITUTE(N242,"$",CHAR(9),2),LEN(N242)-FIND(CHAR(9),SUBSTITUTE(N242,"$",CHAR(9),2),1) ),N242)</f>
        <v>0</v>
      </c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 t="str">
        <f t="shared" si="7"/>
        <v/>
      </c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</row>
    <row r="243" spans="2:123" hidden="1">
      <c r="B243" s="54" t="str">
        <f>TRIM(MID(SUBSTITUTE(A243," ",REPT(" ",LEN(A243))), (4-1)*LEN(A243)+1, LEN(A243)))</f>
        <v/>
      </c>
      <c r="C243" t="str">
        <f>IFERROR(VLOOKUP(A243,Processor_DB_Intel!$A$1:'Processor_DB_Intel'!$D$494,4,FALSE),"")</f>
        <v/>
      </c>
      <c r="D243" t="str">
        <f>IFERROR(LEFT(VLOOKUP(A243,Processor_DB_Intel!$A$1:'Processor_DB_Intel'!$F$494,6,FALSE),3),"")</f>
        <v/>
      </c>
      <c r="E243" s="73" t="str">
        <f>IF(O243 = 0,"",O243)</f>
        <v/>
      </c>
      <c r="F243" s="56" t="str">
        <f>IFERROR(E243/C243,"")</f>
        <v/>
      </c>
      <c r="G243" t="str">
        <f t="shared" si="9"/>
        <v/>
      </c>
      <c r="H243" t="str">
        <f t="shared" si="8"/>
        <v/>
      </c>
      <c r="I243" s="56" t="str">
        <f>IFERROR(E243/G243,"")</f>
        <v/>
      </c>
      <c r="J243" s="57" t="str">
        <f>IFERROR(1-(I243/$AC$3),"")</f>
        <v/>
      </c>
      <c r="L243">
        <f>MIN(SEARCH({0,1,2,3,4,5,6,7,8,9},K243&amp;"0123456789"))</f>
        <v>1</v>
      </c>
      <c r="M243" t="str">
        <f>LEFT(RIGHT(K243,LEN(K243)-L243+1),6)</f>
        <v/>
      </c>
      <c r="O243" s="70">
        <f>IFERROR(RIGHT(SUBSTITUTE(N243,"$",CHAR(9),2),LEN(N243)-FIND(CHAR(9),SUBSTITUTE(N243,"$",CHAR(9),2),1) ),N243)</f>
        <v>0</v>
      </c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 t="str">
        <f t="shared" si="7"/>
        <v/>
      </c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</row>
    <row r="244" spans="2:123" hidden="1">
      <c r="B244" s="54" t="str">
        <f>TRIM(MID(SUBSTITUTE(A244," ",REPT(" ",LEN(A244))), (4-1)*LEN(A244)+1, LEN(A244)))</f>
        <v/>
      </c>
      <c r="C244" t="str">
        <f>IFERROR(VLOOKUP(A244,Processor_DB_Intel!$A$1:'Processor_DB_Intel'!$D$494,4,FALSE),"")</f>
        <v/>
      </c>
      <c r="D244" t="str">
        <f>IFERROR(LEFT(VLOOKUP(A244,Processor_DB_Intel!$A$1:'Processor_DB_Intel'!$F$494,6,FALSE),3),"")</f>
        <v/>
      </c>
      <c r="E244" s="73" t="str">
        <f>IF(O244 = 0,"",O244)</f>
        <v/>
      </c>
      <c r="F244" s="56" t="str">
        <f>IFERROR(E244/C244,"")</f>
        <v/>
      </c>
      <c r="G244" t="str">
        <f t="shared" si="9"/>
        <v/>
      </c>
      <c r="H244" t="str">
        <f t="shared" si="8"/>
        <v/>
      </c>
      <c r="I244" s="56" t="str">
        <f>IFERROR(E244/G244,"")</f>
        <v/>
      </c>
      <c r="J244" s="57" t="str">
        <f>IFERROR(1-(I244/$AC$3),"")</f>
        <v/>
      </c>
      <c r="L244">
        <f>MIN(SEARCH({0,1,2,3,4,5,6,7,8,9},K244&amp;"0123456789"))</f>
        <v>1</v>
      </c>
      <c r="M244" t="str">
        <f>LEFT(RIGHT(K244,LEN(K244)-L244+1),6)</f>
        <v/>
      </c>
      <c r="O244" s="70">
        <f>IFERROR(RIGHT(SUBSTITUTE(N244,"$",CHAR(9),2),LEN(N244)-FIND(CHAR(9),SUBSTITUTE(N244,"$",CHAR(9),2),1) ),N244)</f>
        <v>0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 t="str">
        <f t="shared" si="7"/>
        <v/>
      </c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</row>
    <row r="245" spans="2:123" hidden="1">
      <c r="B245" s="54" t="str">
        <f>TRIM(MID(SUBSTITUTE(A245," ",REPT(" ",LEN(A245))), (4-1)*LEN(A245)+1, LEN(A245)))</f>
        <v/>
      </c>
      <c r="C245" t="str">
        <f>IFERROR(VLOOKUP(A245,Processor_DB_Intel!$A$1:'Processor_DB_Intel'!$D$494,4,FALSE),"")</f>
        <v/>
      </c>
      <c r="D245" t="str">
        <f>IFERROR(LEFT(VLOOKUP(A245,Processor_DB_Intel!$A$1:'Processor_DB_Intel'!$F$494,6,FALSE),3),"")</f>
        <v/>
      </c>
      <c r="E245" s="73" t="str">
        <f>IF(O245 = 0,"",O245)</f>
        <v/>
      </c>
      <c r="F245" s="56" t="str">
        <f>IFERROR(E245/C245,"")</f>
        <v/>
      </c>
      <c r="G245" t="str">
        <f t="shared" si="9"/>
        <v/>
      </c>
      <c r="H245" t="str">
        <f t="shared" si="8"/>
        <v/>
      </c>
      <c r="I245" s="56" t="str">
        <f>IFERROR(E245/G245,"")</f>
        <v/>
      </c>
      <c r="J245" s="57" t="str">
        <f>IFERROR(1-(I245/$AC$3),"")</f>
        <v/>
      </c>
      <c r="L245">
        <f>MIN(SEARCH({0,1,2,3,4,5,6,7,8,9},K245&amp;"0123456789"))</f>
        <v>1</v>
      </c>
      <c r="M245" t="str">
        <f>LEFT(RIGHT(K245,LEN(K245)-L245+1),6)</f>
        <v/>
      </c>
      <c r="O245" s="70">
        <f>IFERROR(RIGHT(SUBSTITUTE(N245,"$",CHAR(9),2),LEN(N245)-FIND(CHAR(9),SUBSTITUTE(N245,"$",CHAR(9),2),1) ),N245)</f>
        <v>0</v>
      </c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 t="str">
        <f t="shared" si="7"/>
        <v/>
      </c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</row>
    <row r="246" spans="2:123" hidden="1">
      <c r="B246" s="54" t="str">
        <f>TRIM(MID(SUBSTITUTE(A246," ",REPT(" ",LEN(A246))), (4-1)*LEN(A246)+1, LEN(A246)))</f>
        <v/>
      </c>
      <c r="C246" t="str">
        <f>IFERROR(VLOOKUP(A246,Processor_DB_Intel!$A$1:'Processor_DB_Intel'!$D$494,4,FALSE),"")</f>
        <v/>
      </c>
      <c r="D246" t="str">
        <f>IFERROR(LEFT(VLOOKUP(A246,Processor_DB_Intel!$A$1:'Processor_DB_Intel'!$F$494,6,FALSE),3),"")</f>
        <v/>
      </c>
      <c r="E246" s="73" t="str">
        <f>IF(O246 = 0,"",O246)</f>
        <v/>
      </c>
      <c r="F246" s="56" t="str">
        <f>IFERROR(E246/C246,"")</f>
        <v/>
      </c>
      <c r="G246" t="str">
        <f t="shared" si="9"/>
        <v/>
      </c>
      <c r="H246" t="str">
        <f t="shared" si="8"/>
        <v/>
      </c>
      <c r="I246" s="56" t="str">
        <f>IFERROR(E246/G246,"")</f>
        <v/>
      </c>
      <c r="J246" s="57" t="str">
        <f>IFERROR(1-(I246/$AC$3),"")</f>
        <v/>
      </c>
      <c r="L246">
        <f>MIN(SEARCH({0,1,2,3,4,5,6,7,8,9},K246&amp;"0123456789"))</f>
        <v>1</v>
      </c>
      <c r="M246" t="str">
        <f>LEFT(RIGHT(K246,LEN(K246)-L246+1),6)</f>
        <v/>
      </c>
      <c r="O246" s="70">
        <f>IFERROR(RIGHT(SUBSTITUTE(N246,"$",CHAR(9),2),LEN(N246)-FIND(CHAR(9),SUBSTITUTE(N246,"$",CHAR(9),2),1) ),N246)</f>
        <v>0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 t="str">
        <f t="shared" si="7"/>
        <v/>
      </c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</row>
    <row r="247" spans="2:123" hidden="1">
      <c r="B247" s="54" t="str">
        <f>TRIM(MID(SUBSTITUTE(A247," ",REPT(" ",LEN(A247))), (4-1)*LEN(A247)+1, LEN(A247)))</f>
        <v/>
      </c>
      <c r="C247" t="str">
        <f>IFERROR(VLOOKUP(A247,Processor_DB_Intel!$A$1:'Processor_DB_Intel'!$D$494,4,FALSE),"")</f>
        <v/>
      </c>
      <c r="D247" t="str">
        <f>IFERROR(LEFT(VLOOKUP(A247,Processor_DB_Intel!$A$1:'Processor_DB_Intel'!$F$494,6,FALSE),3),"")</f>
        <v/>
      </c>
      <c r="E247" s="73" t="str">
        <f>IF(O247 = 0,"",O247)</f>
        <v/>
      </c>
      <c r="F247" s="56" t="str">
        <f>IFERROR(E247/C247,"")</f>
        <v/>
      </c>
      <c r="G247" t="str">
        <f t="shared" si="9"/>
        <v/>
      </c>
      <c r="H247" t="str">
        <f t="shared" si="8"/>
        <v/>
      </c>
      <c r="I247" s="56" t="str">
        <f>IFERROR(E247/G247,"")</f>
        <v/>
      </c>
      <c r="J247" s="57" t="str">
        <f>IFERROR(1-(I247/$AC$3),"")</f>
        <v/>
      </c>
      <c r="L247">
        <f>MIN(SEARCH({0,1,2,3,4,5,6,7,8,9},K247&amp;"0123456789"))</f>
        <v>1</v>
      </c>
      <c r="M247" t="str">
        <f>LEFT(RIGHT(K247,LEN(K247)-L247+1),6)</f>
        <v/>
      </c>
      <c r="O247" s="70">
        <f>IFERROR(RIGHT(SUBSTITUTE(N247,"$",CHAR(9),2),LEN(N247)-FIND(CHAR(9),SUBSTITUTE(N247,"$",CHAR(9),2),1) ),N247)</f>
        <v>0</v>
      </c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 t="str">
        <f t="shared" si="7"/>
        <v/>
      </c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</row>
    <row r="248" spans="2:123" hidden="1">
      <c r="B248" s="54" t="str">
        <f>TRIM(MID(SUBSTITUTE(A248," ",REPT(" ",LEN(A248))), (4-1)*LEN(A248)+1, LEN(A248)))</f>
        <v/>
      </c>
      <c r="C248" t="str">
        <f>IFERROR(VLOOKUP(A248,Processor_DB_Intel!$A$1:'Processor_DB_Intel'!$D$494,4,FALSE),"")</f>
        <v/>
      </c>
      <c r="D248" t="str">
        <f>IFERROR(LEFT(VLOOKUP(A248,Processor_DB_Intel!$A$1:'Processor_DB_Intel'!$F$494,6,FALSE),3),"")</f>
        <v/>
      </c>
      <c r="E248" s="73" t="str">
        <f>IF(O248 = 0,"",O248)</f>
        <v/>
      </c>
      <c r="F248" s="56" t="str">
        <f>IFERROR(E248/C248,"")</f>
        <v/>
      </c>
      <c r="G248" t="str">
        <f t="shared" si="9"/>
        <v/>
      </c>
      <c r="H248" t="str">
        <f t="shared" si="8"/>
        <v/>
      </c>
      <c r="I248" s="56" t="str">
        <f>IFERROR(E248/G248,"")</f>
        <v/>
      </c>
      <c r="J248" s="57" t="str">
        <f>IFERROR(1-(I248/$AC$3),"")</f>
        <v/>
      </c>
      <c r="L248">
        <f>MIN(SEARCH({0,1,2,3,4,5,6,7,8,9},K248&amp;"0123456789"))</f>
        <v>1</v>
      </c>
      <c r="M248" t="str">
        <f>LEFT(RIGHT(K248,LEN(K248)-L248+1),6)</f>
        <v/>
      </c>
      <c r="O248" s="70">
        <f>IFERROR(RIGHT(SUBSTITUTE(N248,"$",CHAR(9),2),LEN(N248)-FIND(CHAR(9),SUBSTITUTE(N248,"$",CHAR(9),2),1) ),N248)</f>
        <v>0</v>
      </c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 t="str">
        <f t="shared" si="7"/>
        <v/>
      </c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</row>
    <row r="249" spans="2:123" hidden="1">
      <c r="B249" s="54" t="str">
        <f>TRIM(MID(SUBSTITUTE(A249," ",REPT(" ",LEN(A249))), (4-1)*LEN(A249)+1, LEN(A249)))</f>
        <v/>
      </c>
      <c r="C249" t="str">
        <f>IFERROR(VLOOKUP(A249,Processor_DB_Intel!$A$1:'Processor_DB_Intel'!$D$494,4,FALSE),"")</f>
        <v/>
      </c>
      <c r="D249" t="str">
        <f>IFERROR(LEFT(VLOOKUP(A249,Processor_DB_Intel!$A$1:'Processor_DB_Intel'!$F$494,6,FALSE),3),"")</f>
        <v/>
      </c>
      <c r="E249" s="73" t="str">
        <f>IF(O249 = 0,"",O249)</f>
        <v/>
      </c>
      <c r="F249" s="56" t="str">
        <f>IFERROR(E249/C249,"")</f>
        <v/>
      </c>
      <c r="G249" t="str">
        <f t="shared" si="9"/>
        <v/>
      </c>
      <c r="H249" t="str">
        <f t="shared" si="8"/>
        <v/>
      </c>
      <c r="I249" s="56" t="str">
        <f>IFERROR(E249/G249,"")</f>
        <v/>
      </c>
      <c r="J249" s="57" t="str">
        <f>IFERROR(1-(I249/$AC$3),"")</f>
        <v/>
      </c>
      <c r="L249">
        <f>MIN(SEARCH({0,1,2,3,4,5,6,7,8,9},K249&amp;"0123456789"))</f>
        <v>1</v>
      </c>
      <c r="M249" t="str">
        <f>LEFT(RIGHT(K249,LEN(K249)-L249+1),6)</f>
        <v/>
      </c>
      <c r="O249" s="70">
        <f>IFERROR(RIGHT(SUBSTITUTE(N249,"$",CHAR(9),2),LEN(N249)-FIND(CHAR(9),SUBSTITUTE(N249,"$",CHAR(9),2),1) ),N249)</f>
        <v>0</v>
      </c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 t="str">
        <f t="shared" si="7"/>
        <v/>
      </c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</row>
    <row r="250" spans="2:123" hidden="1">
      <c r="B250" s="54" t="str">
        <f>TRIM(MID(SUBSTITUTE(A250," ",REPT(" ",LEN(A250))), (4-1)*LEN(A250)+1, LEN(A250)))</f>
        <v/>
      </c>
      <c r="C250" t="str">
        <f>IFERROR(VLOOKUP(A250,Processor_DB_Intel!$A$1:'Processor_DB_Intel'!$D$494,4,FALSE),"")</f>
        <v/>
      </c>
      <c r="D250" t="str">
        <f>IFERROR(LEFT(VLOOKUP(A250,Processor_DB_Intel!$A$1:'Processor_DB_Intel'!$F$494,6,FALSE),3),"")</f>
        <v/>
      </c>
      <c r="E250" s="73" t="str">
        <f>IF(O250 = 0,"",O250)</f>
        <v/>
      </c>
      <c r="F250" s="56" t="str">
        <f>IFERROR(E250/C250,"")</f>
        <v/>
      </c>
      <c r="G250" t="str">
        <f t="shared" si="9"/>
        <v/>
      </c>
      <c r="H250" t="str">
        <f t="shared" si="8"/>
        <v/>
      </c>
      <c r="I250" s="56" t="str">
        <f>IFERROR(E250/G250,"")</f>
        <v/>
      </c>
      <c r="J250" s="57" t="str">
        <f>IFERROR(1-(I250/$AC$3),"")</f>
        <v/>
      </c>
      <c r="L250">
        <f>MIN(SEARCH({0,1,2,3,4,5,6,7,8,9},K250&amp;"0123456789"))</f>
        <v>1</v>
      </c>
      <c r="M250" t="str">
        <f>LEFT(RIGHT(K250,LEN(K250)-L250+1),6)</f>
        <v/>
      </c>
      <c r="O250" s="70">
        <f>IFERROR(RIGHT(SUBSTITUTE(N250,"$",CHAR(9),2),LEN(N250)-FIND(CHAR(9),SUBSTITUTE(N250,"$",CHAR(9),2),1) ),N250)</f>
        <v>0</v>
      </c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 t="str">
        <f t="shared" si="7"/>
        <v/>
      </c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</row>
    <row r="251" spans="2:123" hidden="1">
      <c r="B251" s="54" t="str">
        <f>TRIM(MID(SUBSTITUTE(A251," ",REPT(" ",LEN(A251))), (4-1)*LEN(A251)+1, LEN(A251)))</f>
        <v/>
      </c>
      <c r="C251" t="str">
        <f>IFERROR(VLOOKUP(A251,Processor_DB_Intel!$A$1:'Processor_DB_Intel'!$D$494,4,FALSE),"")</f>
        <v/>
      </c>
      <c r="D251" t="str">
        <f>IFERROR(LEFT(VLOOKUP(A251,Processor_DB_Intel!$A$1:'Processor_DB_Intel'!$F$494,6,FALSE),3),"")</f>
        <v/>
      </c>
      <c r="E251" s="73" t="str">
        <f>IF(O251 = 0,"",O251)</f>
        <v/>
      </c>
      <c r="F251" s="56" t="str">
        <f>IFERROR(E251/C251,"")</f>
        <v/>
      </c>
      <c r="G251" t="str">
        <f t="shared" si="9"/>
        <v/>
      </c>
      <c r="H251" t="str">
        <f t="shared" si="8"/>
        <v/>
      </c>
      <c r="I251" s="56" t="str">
        <f>IFERROR(E251/G251,"")</f>
        <v/>
      </c>
      <c r="J251" s="57" t="str">
        <f>IFERROR(1-(I251/$AC$3),"")</f>
        <v/>
      </c>
      <c r="L251">
        <f>MIN(SEARCH({0,1,2,3,4,5,6,7,8,9},K251&amp;"0123456789"))</f>
        <v>1</v>
      </c>
      <c r="M251" t="str">
        <f>LEFT(RIGHT(K251,LEN(K251)-L251+1),6)</f>
        <v/>
      </c>
      <c r="O251" s="70">
        <f>IFERROR(RIGHT(SUBSTITUTE(N251,"$",CHAR(9),2),LEN(N251)-FIND(CHAR(9),SUBSTITUTE(N251,"$",CHAR(9),2),1) ),N251)</f>
        <v>0</v>
      </c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 t="str">
        <f t="shared" si="7"/>
        <v/>
      </c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</row>
    <row r="252" spans="2:123" hidden="1">
      <c r="B252" s="54" t="str">
        <f>TRIM(MID(SUBSTITUTE(A252," ",REPT(" ",LEN(A252))), (4-1)*LEN(A252)+1, LEN(A252)))</f>
        <v/>
      </c>
      <c r="C252" t="str">
        <f>IFERROR(VLOOKUP(A252,Processor_DB_Intel!$A$1:'Processor_DB_Intel'!$D$494,4,FALSE),"")</f>
        <v/>
      </c>
      <c r="D252" t="str">
        <f>IFERROR(LEFT(VLOOKUP(A252,Processor_DB_Intel!$A$1:'Processor_DB_Intel'!$F$494,6,FALSE),3),"")</f>
        <v/>
      </c>
      <c r="E252" s="73" t="str">
        <f>IF(O252 = 0,"",O252)</f>
        <v/>
      </c>
      <c r="F252" s="56" t="str">
        <f>IFERROR(E252/C252,"")</f>
        <v/>
      </c>
      <c r="G252" t="str">
        <f t="shared" si="9"/>
        <v/>
      </c>
      <c r="H252" t="str">
        <f t="shared" si="8"/>
        <v/>
      </c>
      <c r="I252" s="56" t="str">
        <f>IFERROR(E252/G252,"")</f>
        <v/>
      </c>
      <c r="J252" s="57" t="str">
        <f>IFERROR(1-(I252/$AC$3),"")</f>
        <v/>
      </c>
      <c r="L252">
        <f>MIN(SEARCH({0,1,2,3,4,5,6,7,8,9},K252&amp;"0123456789"))</f>
        <v>1</v>
      </c>
      <c r="M252" t="str">
        <f>LEFT(RIGHT(K252,LEN(K252)-L252+1),6)</f>
        <v/>
      </c>
      <c r="O252" s="70">
        <f>IFERROR(RIGHT(SUBSTITUTE(N252,"$",CHAR(9),2),LEN(N252)-FIND(CHAR(9),SUBSTITUTE(N252,"$",CHAR(9),2),1) ),N252)</f>
        <v>0</v>
      </c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 t="str">
        <f t="shared" si="7"/>
        <v/>
      </c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</row>
    <row r="253" spans="2:123" hidden="1">
      <c r="B253" s="54" t="str">
        <f>TRIM(MID(SUBSTITUTE(A253," ",REPT(" ",LEN(A253))), (4-1)*LEN(A253)+1, LEN(A253)))</f>
        <v/>
      </c>
      <c r="C253" t="str">
        <f>IFERROR(VLOOKUP(A253,Processor_DB_Intel!$A$1:'Processor_DB_Intel'!$D$494,4,FALSE),"")</f>
        <v/>
      </c>
      <c r="D253" t="str">
        <f>IFERROR(LEFT(VLOOKUP(A253,Processor_DB_Intel!$A$1:'Processor_DB_Intel'!$F$494,6,FALSE),3),"")</f>
        <v/>
      </c>
      <c r="E253" s="73" t="str">
        <f>IF(O253 = 0,"",O253)</f>
        <v/>
      </c>
      <c r="F253" s="56" t="str">
        <f>IFERROR(E253/C253,"")</f>
        <v/>
      </c>
      <c r="G253" t="str">
        <f t="shared" si="9"/>
        <v/>
      </c>
      <c r="H253" t="str">
        <f t="shared" si="8"/>
        <v/>
      </c>
      <c r="I253" s="56" t="str">
        <f>IFERROR(E253/G253,"")</f>
        <v/>
      </c>
      <c r="J253" s="57" t="str">
        <f>IFERROR(1-(I253/$AC$3),"")</f>
        <v/>
      </c>
      <c r="L253">
        <f>MIN(SEARCH({0,1,2,3,4,5,6,7,8,9},K253&amp;"0123456789"))</f>
        <v>1</v>
      </c>
      <c r="M253" t="str">
        <f>LEFT(RIGHT(K253,LEN(K253)-L253+1),6)</f>
        <v/>
      </c>
      <c r="O253" s="70">
        <f>IFERROR(RIGHT(SUBSTITUTE(N253,"$",CHAR(9),2),LEN(N253)-FIND(CHAR(9),SUBSTITUTE(N253,"$",CHAR(9),2),1) ),N253)</f>
        <v>0</v>
      </c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 t="str">
        <f t="shared" si="7"/>
        <v/>
      </c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</row>
    <row r="254" spans="2:123" hidden="1">
      <c r="B254" s="54" t="str">
        <f>TRIM(MID(SUBSTITUTE(A254," ",REPT(" ",LEN(A254))), (4-1)*LEN(A254)+1, LEN(A254)))</f>
        <v/>
      </c>
      <c r="C254" t="str">
        <f>IFERROR(VLOOKUP(A254,Processor_DB_Intel!$A$1:'Processor_DB_Intel'!$D$494,4,FALSE),"")</f>
        <v/>
      </c>
      <c r="D254" t="str">
        <f>IFERROR(LEFT(VLOOKUP(A254,Processor_DB_Intel!$A$1:'Processor_DB_Intel'!$F$494,6,FALSE),3),"")</f>
        <v/>
      </c>
      <c r="E254" s="73" t="str">
        <f>IF(O254 = 0,"",O254)</f>
        <v/>
      </c>
      <c r="F254" s="56" t="str">
        <f>IFERROR(E254/C254,"")</f>
        <v/>
      </c>
      <c r="G254" t="str">
        <f t="shared" si="9"/>
        <v/>
      </c>
      <c r="H254" t="str">
        <f t="shared" si="8"/>
        <v/>
      </c>
      <c r="I254" s="56" t="str">
        <f>IFERROR(E254/G254,"")</f>
        <v/>
      </c>
      <c r="J254" s="57" t="str">
        <f>IFERROR(1-(I254/$AC$3),"")</f>
        <v/>
      </c>
      <c r="L254">
        <f>MIN(SEARCH({0,1,2,3,4,5,6,7,8,9},K254&amp;"0123456789"))</f>
        <v>1</v>
      </c>
      <c r="M254" t="str">
        <f>LEFT(RIGHT(K254,LEN(K254)-L254+1),6)</f>
        <v/>
      </c>
      <c r="O254" s="70">
        <f>IFERROR(RIGHT(SUBSTITUTE(N254,"$",CHAR(9),2),LEN(N254)-FIND(CHAR(9),SUBSTITUTE(N254,"$",CHAR(9),2),1) ),N254)</f>
        <v>0</v>
      </c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 t="str">
        <f t="shared" si="7"/>
        <v/>
      </c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</row>
    <row r="255" spans="2:123" hidden="1">
      <c r="B255" s="54" t="str">
        <f>TRIM(MID(SUBSTITUTE(A255," ",REPT(" ",LEN(A255))), (4-1)*LEN(A255)+1, LEN(A255)))</f>
        <v/>
      </c>
      <c r="C255" t="str">
        <f>IFERROR(VLOOKUP(A255,Processor_DB_Intel!$A$1:'Processor_DB_Intel'!$D$494,4,FALSE),"")</f>
        <v/>
      </c>
      <c r="D255" t="str">
        <f>IFERROR(LEFT(VLOOKUP(A255,Processor_DB_Intel!$A$1:'Processor_DB_Intel'!$F$494,6,FALSE),3),"")</f>
        <v/>
      </c>
      <c r="E255" s="73" t="str">
        <f>IF(O255 = 0,"",O255)</f>
        <v/>
      </c>
      <c r="F255" s="56" t="str">
        <f>IFERROR(E255/C255,"")</f>
        <v/>
      </c>
      <c r="G255" t="str">
        <f t="shared" si="9"/>
        <v/>
      </c>
      <c r="H255" t="str">
        <f t="shared" si="8"/>
        <v/>
      </c>
      <c r="I255" s="56" t="str">
        <f>IFERROR(E255/G255,"")</f>
        <v/>
      </c>
      <c r="J255" s="57" t="str">
        <f>IFERROR(1-(I255/$AC$3),"")</f>
        <v/>
      </c>
      <c r="L255">
        <f>MIN(SEARCH({0,1,2,3,4,5,6,7,8,9},K255&amp;"0123456789"))</f>
        <v>1</v>
      </c>
      <c r="M255" t="str">
        <f>LEFT(RIGHT(K255,LEN(K255)-L255+1),6)</f>
        <v/>
      </c>
      <c r="O255" s="70">
        <f>IFERROR(RIGHT(SUBSTITUTE(N255,"$",CHAR(9),2),LEN(N255)-FIND(CHAR(9),SUBSTITUTE(N255,"$",CHAR(9),2),1) ),N255)</f>
        <v>0</v>
      </c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 t="str">
        <f t="shared" si="7"/>
        <v/>
      </c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</row>
    <row r="256" spans="2:123" hidden="1">
      <c r="B256" s="54" t="str">
        <f>TRIM(MID(SUBSTITUTE(A256," ",REPT(" ",LEN(A256))), (4-1)*LEN(A256)+1, LEN(A256)))</f>
        <v/>
      </c>
      <c r="C256" t="str">
        <f>IFERROR(VLOOKUP(A256,Processor_DB_Intel!$A$1:'Processor_DB_Intel'!$D$494,4,FALSE),"")</f>
        <v/>
      </c>
      <c r="D256" t="str">
        <f>IFERROR(LEFT(VLOOKUP(A256,Processor_DB_Intel!$A$1:'Processor_DB_Intel'!$F$494,6,FALSE),3),"")</f>
        <v/>
      </c>
      <c r="E256" s="73" t="str">
        <f>IF(O256 = 0,"",O256)</f>
        <v/>
      </c>
      <c r="F256" s="56" t="str">
        <f>IFERROR(E256/C256,"")</f>
        <v/>
      </c>
      <c r="G256" t="str">
        <f t="shared" si="9"/>
        <v/>
      </c>
      <c r="H256" t="str">
        <f t="shared" si="8"/>
        <v/>
      </c>
      <c r="I256" s="56" t="str">
        <f>IFERROR(E256/G256,"")</f>
        <v/>
      </c>
      <c r="J256" s="57" t="str">
        <f>IFERROR(1-(I256/$AC$3),"")</f>
        <v/>
      </c>
      <c r="L256">
        <f>MIN(SEARCH({0,1,2,3,4,5,6,7,8,9},K256&amp;"0123456789"))</f>
        <v>1</v>
      </c>
      <c r="M256" t="str">
        <f>LEFT(RIGHT(K256,LEN(K256)-L256+1),6)</f>
        <v/>
      </c>
      <c r="O256" s="70">
        <f>IFERROR(RIGHT(SUBSTITUTE(N256,"$",CHAR(9),2),LEN(N256)-FIND(CHAR(9),SUBSTITUTE(N256,"$",CHAR(9),2),1) ),N256)</f>
        <v>0</v>
      </c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 t="str">
        <f t="shared" si="7"/>
        <v/>
      </c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</row>
    <row r="257" spans="2:123" hidden="1">
      <c r="B257" s="54" t="str">
        <f>TRIM(MID(SUBSTITUTE(A257," ",REPT(" ",LEN(A257))), (4-1)*LEN(A257)+1, LEN(A257)))</f>
        <v/>
      </c>
      <c r="C257" t="str">
        <f>IFERROR(VLOOKUP(A257,Processor_DB_Intel!$A$1:'Processor_DB_Intel'!$D$494,4,FALSE),"")</f>
        <v/>
      </c>
      <c r="D257" t="str">
        <f>IFERROR(LEFT(VLOOKUP(A257,Processor_DB_Intel!$A$1:'Processor_DB_Intel'!$F$494,6,FALSE),3),"")</f>
        <v/>
      </c>
      <c r="E257" s="73" t="str">
        <f>IF(O257 = 0,"",O257)</f>
        <v/>
      </c>
      <c r="F257" s="56" t="str">
        <f>IFERROR(E257/C257,"")</f>
        <v/>
      </c>
      <c r="G257" t="str">
        <f t="shared" si="9"/>
        <v/>
      </c>
      <c r="H257" t="str">
        <f t="shared" si="8"/>
        <v/>
      </c>
      <c r="I257" s="56" t="str">
        <f>IFERROR(E257/G257,"")</f>
        <v/>
      </c>
      <c r="J257" s="57" t="str">
        <f>IFERROR(1-(I257/$AC$3),"")</f>
        <v/>
      </c>
      <c r="L257">
        <f>MIN(SEARCH({0,1,2,3,4,5,6,7,8,9},K257&amp;"0123456789"))</f>
        <v>1</v>
      </c>
      <c r="M257" t="str">
        <f>LEFT(RIGHT(K257,LEN(K257)-L257+1),6)</f>
        <v/>
      </c>
      <c r="O257" s="70">
        <f>IFERROR(RIGHT(SUBSTITUTE(N257,"$",CHAR(9),2),LEN(N257)-FIND(CHAR(9),SUBSTITUTE(N257,"$",CHAR(9),2),1) ),N257)</f>
        <v>0</v>
      </c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 t="str">
        <f t="shared" si="7"/>
        <v/>
      </c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</row>
    <row r="258" spans="2:123" hidden="1">
      <c r="B258" s="54" t="str">
        <f>TRIM(MID(SUBSTITUTE(A258," ",REPT(" ",LEN(A258))), (4-1)*LEN(A258)+1, LEN(A258)))</f>
        <v/>
      </c>
      <c r="C258" t="str">
        <f>IFERROR(VLOOKUP(A258,Processor_DB_Intel!$A$1:'Processor_DB_Intel'!$D$494,4,FALSE),"")</f>
        <v/>
      </c>
      <c r="D258" t="str">
        <f>IFERROR(LEFT(VLOOKUP(A258,Processor_DB_Intel!$A$1:'Processor_DB_Intel'!$F$494,6,FALSE),3),"")</f>
        <v/>
      </c>
      <c r="E258" s="73" t="str">
        <f>IF(O258 = 0,"",O258)</f>
        <v/>
      </c>
      <c r="F258" s="56" t="str">
        <f>IFERROR(E258/C258,"")</f>
        <v/>
      </c>
      <c r="G258" t="str">
        <f t="shared" si="9"/>
        <v/>
      </c>
      <c r="H258" t="str">
        <f t="shared" si="8"/>
        <v/>
      </c>
      <c r="I258" s="56" t="str">
        <f>IFERROR(E258/G258,"")</f>
        <v/>
      </c>
      <c r="J258" s="57" t="str">
        <f>IFERROR(1-(I258/$AC$3),"")</f>
        <v/>
      </c>
      <c r="L258">
        <f>MIN(SEARCH({0,1,2,3,4,5,6,7,8,9},K258&amp;"0123456789"))</f>
        <v>1</v>
      </c>
      <c r="M258" t="str">
        <f>LEFT(RIGHT(K258,LEN(K258)-L258+1),6)</f>
        <v/>
      </c>
      <c r="O258" s="70">
        <f>IFERROR(RIGHT(SUBSTITUTE(N258,"$",CHAR(9),2),LEN(N258)-FIND(CHAR(9),SUBSTITUTE(N258,"$",CHAR(9),2),1) ),N258)</f>
        <v>0</v>
      </c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 t="str">
        <f t="shared" si="7"/>
        <v/>
      </c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</row>
    <row r="259" spans="2:123" hidden="1">
      <c r="B259" s="54" t="str">
        <f>TRIM(MID(SUBSTITUTE(A259," ",REPT(" ",LEN(A259))), (4-1)*LEN(A259)+1, LEN(A259)))</f>
        <v/>
      </c>
      <c r="C259" t="str">
        <f>IFERROR(VLOOKUP(A259,Processor_DB_Intel!$A$1:'Processor_DB_Intel'!$D$494,4,FALSE),"")</f>
        <v/>
      </c>
      <c r="D259" t="str">
        <f>IFERROR(LEFT(VLOOKUP(A259,Processor_DB_Intel!$A$1:'Processor_DB_Intel'!$F$494,6,FALSE),3),"")</f>
        <v/>
      </c>
      <c r="E259" s="73" t="str">
        <f>IF(O259 = 0,"",O259)</f>
        <v/>
      </c>
      <c r="F259" s="56" t="str">
        <f>IFERROR(E259/C259,"")</f>
        <v/>
      </c>
      <c r="G259" t="str">
        <f t="shared" si="9"/>
        <v/>
      </c>
      <c r="H259" t="str">
        <f t="shared" si="8"/>
        <v/>
      </c>
      <c r="I259" s="56" t="str">
        <f>IFERROR(E259/G259,"")</f>
        <v/>
      </c>
      <c r="J259" s="57" t="str">
        <f>IFERROR(1-(I259/$AC$3),"")</f>
        <v/>
      </c>
      <c r="L259">
        <f>MIN(SEARCH({0,1,2,3,4,5,6,7,8,9},K259&amp;"0123456789"))</f>
        <v>1</v>
      </c>
      <c r="M259" t="str">
        <f>LEFT(RIGHT(K259,LEN(K259)-L259+1),6)</f>
        <v/>
      </c>
      <c r="O259" s="70">
        <f>IFERROR(RIGHT(SUBSTITUTE(N259,"$",CHAR(9),2),LEN(N259)-FIND(CHAR(9),SUBSTITUTE(N259,"$",CHAR(9),2),1) ),N259)</f>
        <v>0</v>
      </c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 t="str">
        <f t="shared" si="7"/>
        <v/>
      </c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</row>
    <row r="260" spans="2:123" hidden="1">
      <c r="B260" s="54" t="str">
        <f>TRIM(MID(SUBSTITUTE(A260," ",REPT(" ",LEN(A260))), (4-1)*LEN(A260)+1, LEN(A260)))</f>
        <v/>
      </c>
      <c r="C260" t="str">
        <f>IFERROR(VLOOKUP(A260,Processor_DB_Intel!$A$1:'Processor_DB_Intel'!$D$494,4,FALSE),"")</f>
        <v/>
      </c>
      <c r="D260" t="str">
        <f>IFERROR(LEFT(VLOOKUP(A260,Processor_DB_Intel!$A$1:'Processor_DB_Intel'!$F$494,6,FALSE),3),"")</f>
        <v/>
      </c>
      <c r="E260" s="73" t="str">
        <f>IF(O260 = 0,"",O260)</f>
        <v/>
      </c>
      <c r="F260" s="56" t="str">
        <f>IFERROR(E260/C260,"")</f>
        <v/>
      </c>
      <c r="G260" t="str">
        <f t="shared" si="9"/>
        <v/>
      </c>
      <c r="H260" t="str">
        <f t="shared" si="8"/>
        <v/>
      </c>
      <c r="I260" s="56" t="str">
        <f>IFERROR(E260/G260,"")</f>
        <v/>
      </c>
      <c r="J260" s="57" t="str">
        <f>IFERROR(1-(I260/$AC$3),"")</f>
        <v/>
      </c>
      <c r="L260">
        <f>MIN(SEARCH({0,1,2,3,4,5,6,7,8,9},K260&amp;"0123456789"))</f>
        <v>1</v>
      </c>
      <c r="M260" t="str">
        <f>LEFT(RIGHT(K260,LEN(K260)-L260+1),6)</f>
        <v/>
      </c>
      <c r="O260" s="70">
        <f>IFERROR(RIGHT(SUBSTITUTE(N260,"$",CHAR(9),2),LEN(N260)-FIND(CHAR(9),SUBSTITUTE(N260,"$",CHAR(9),2),1) ),N260)</f>
        <v>0</v>
      </c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 t="str">
        <f t="shared" si="7"/>
        <v/>
      </c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</row>
    <row r="261" spans="2:123" hidden="1">
      <c r="B261" s="54" t="str">
        <f>TRIM(MID(SUBSTITUTE(A261," ",REPT(" ",LEN(A261))), (4-1)*LEN(A261)+1, LEN(A261)))</f>
        <v/>
      </c>
      <c r="C261" t="str">
        <f>IFERROR(VLOOKUP(A261,Processor_DB_Intel!$A$1:'Processor_DB_Intel'!$D$494,4,FALSE),"")</f>
        <v/>
      </c>
      <c r="D261" t="str">
        <f>IFERROR(LEFT(VLOOKUP(A261,Processor_DB_Intel!$A$1:'Processor_DB_Intel'!$F$494,6,FALSE),3),"")</f>
        <v/>
      </c>
      <c r="E261" s="73" t="str">
        <f>IF(O261 = 0,"",O261)</f>
        <v/>
      </c>
      <c r="F261" s="56" t="str">
        <f>IFERROR(E261/C261,"")</f>
        <v/>
      </c>
      <c r="G261" t="str">
        <f t="shared" si="9"/>
        <v/>
      </c>
      <c r="H261" t="str">
        <f t="shared" si="8"/>
        <v/>
      </c>
      <c r="I261" s="56" t="str">
        <f>IFERROR(E261/G261,"")</f>
        <v/>
      </c>
      <c r="J261" s="57" t="str">
        <f>IFERROR(1-(I261/$AC$3),"")</f>
        <v/>
      </c>
      <c r="L261">
        <f>MIN(SEARCH({0,1,2,3,4,5,6,7,8,9},K261&amp;"0123456789"))</f>
        <v>1</v>
      </c>
      <c r="M261" t="str">
        <f>LEFT(RIGHT(K261,LEN(K261)-L261+1),6)</f>
        <v/>
      </c>
      <c r="O261" s="70">
        <f>IFERROR(RIGHT(SUBSTITUTE(N261,"$",CHAR(9),2),LEN(N261)-FIND(CHAR(9),SUBSTITUTE(N261,"$",CHAR(9),2),1) ),N261)</f>
        <v>0</v>
      </c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 t="str">
        <f t="shared" si="7"/>
        <v/>
      </c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</row>
    <row r="262" spans="2:123" hidden="1">
      <c r="B262" s="54" t="str">
        <f>TRIM(MID(SUBSTITUTE(A262," ",REPT(" ",LEN(A262))), (4-1)*LEN(A262)+1, LEN(A262)))</f>
        <v/>
      </c>
      <c r="C262" t="str">
        <f>IFERROR(VLOOKUP(A262,Processor_DB_Intel!$A$1:'Processor_DB_Intel'!$D$494,4,FALSE),"")</f>
        <v/>
      </c>
      <c r="D262" t="str">
        <f>IFERROR(LEFT(VLOOKUP(A262,Processor_DB_Intel!$A$1:'Processor_DB_Intel'!$F$494,6,FALSE),3),"")</f>
        <v/>
      </c>
      <c r="E262" s="73" t="str">
        <f>IF(O262 = 0,"",O262)</f>
        <v/>
      </c>
      <c r="F262" s="56" t="str">
        <f>IFERROR(E262/C262,"")</f>
        <v/>
      </c>
      <c r="G262" t="str">
        <f t="shared" si="9"/>
        <v/>
      </c>
      <c r="H262" t="str">
        <f t="shared" si="8"/>
        <v/>
      </c>
      <c r="I262" s="56" t="str">
        <f>IFERROR(E262/G262,"")</f>
        <v/>
      </c>
      <c r="J262" s="57" t="str">
        <f>IFERROR(1-(I262/$AC$3),"")</f>
        <v/>
      </c>
      <c r="L262">
        <f>MIN(SEARCH({0,1,2,3,4,5,6,7,8,9},K262&amp;"0123456789"))</f>
        <v>1</v>
      </c>
      <c r="M262" t="str">
        <f>LEFT(RIGHT(K262,LEN(K262)-L262+1),6)</f>
        <v/>
      </c>
      <c r="O262" s="70">
        <f>IFERROR(RIGHT(SUBSTITUTE(N262,"$",CHAR(9),2),LEN(N262)-FIND(CHAR(9),SUBSTITUTE(N262,"$",CHAR(9),2),1) ),N262)</f>
        <v>0</v>
      </c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 t="str">
        <f t="shared" ref="AA262:AA300" si="10">_xlfn.IFNA(I262,0)</f>
        <v/>
      </c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</row>
    <row r="263" spans="2:123" hidden="1">
      <c r="B263" s="54" t="str">
        <f>TRIM(MID(SUBSTITUTE(A263," ",REPT(" ",LEN(A263))), (4-1)*LEN(A263)+1, LEN(A263)))</f>
        <v/>
      </c>
      <c r="C263" t="str">
        <f>IFERROR(VLOOKUP(A263,Processor_DB_Intel!$A$1:'Processor_DB_Intel'!$D$494,4,FALSE),"")</f>
        <v/>
      </c>
      <c r="D263" t="str">
        <f>IFERROR(LEFT(VLOOKUP(A263,Processor_DB_Intel!$A$1:'Processor_DB_Intel'!$F$494,6,FALSE),3),"")</f>
        <v/>
      </c>
      <c r="E263" s="73" t="str">
        <f>IF(O263 = 0,"",O263)</f>
        <v/>
      </c>
      <c r="F263" s="56" t="str">
        <f>IFERROR(E263/C263,"")</f>
        <v/>
      </c>
      <c r="G263" t="str">
        <f t="shared" si="9"/>
        <v/>
      </c>
      <c r="H263" t="str">
        <f t="shared" ref="H263:H300" si="11">IFERROR(G263*2,"")</f>
        <v/>
      </c>
      <c r="I263" s="56" t="str">
        <f>IFERROR(E263/G263,"")</f>
        <v/>
      </c>
      <c r="J263" s="57" t="str">
        <f>IFERROR(1-(I263/$AC$3),"")</f>
        <v/>
      </c>
      <c r="L263">
        <f>MIN(SEARCH({0,1,2,3,4,5,6,7,8,9},K263&amp;"0123456789"))</f>
        <v>1</v>
      </c>
      <c r="M263" t="str">
        <f>LEFT(RIGHT(K263,LEN(K263)-L263+1),6)</f>
        <v/>
      </c>
      <c r="O263" s="70">
        <f>IFERROR(RIGHT(SUBSTITUTE(N263,"$",CHAR(9),2),LEN(N263)-FIND(CHAR(9),SUBSTITUTE(N263,"$",CHAR(9),2),1) ),N263)</f>
        <v>0</v>
      </c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 t="str">
        <f t="shared" si="10"/>
        <v/>
      </c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</row>
    <row r="264" spans="2:123" hidden="1">
      <c r="B264" s="54" t="str">
        <f>TRIM(MID(SUBSTITUTE(A264," ",REPT(" ",LEN(A264))), (4-1)*LEN(A264)+1, LEN(A264)))</f>
        <v/>
      </c>
      <c r="C264" t="str">
        <f>IFERROR(VLOOKUP(A264,Processor_DB_Intel!$A$1:'Processor_DB_Intel'!$D$494,4,FALSE),"")</f>
        <v/>
      </c>
      <c r="D264" t="str">
        <f>IFERROR(LEFT(VLOOKUP(A264,Processor_DB_Intel!$A$1:'Processor_DB_Intel'!$F$494,6,FALSE),3),"")</f>
        <v/>
      </c>
      <c r="E264" s="73" t="str">
        <f>IF(O264 = 0,"",O264)</f>
        <v/>
      </c>
      <c r="F264" s="56" t="str">
        <f>IFERROR(E264/C264,"")</f>
        <v/>
      </c>
      <c r="G264" t="str">
        <f t="shared" ref="G264:G300" si="12">IFERROR(C264*D264,"")</f>
        <v/>
      </c>
      <c r="H264" t="str">
        <f t="shared" si="11"/>
        <v/>
      </c>
      <c r="I264" s="56" t="str">
        <f>IFERROR(E264/G264,"")</f>
        <v/>
      </c>
      <c r="J264" s="57" t="str">
        <f>IFERROR(1-(I264/$AC$3),"")</f>
        <v/>
      </c>
      <c r="L264">
        <f>MIN(SEARCH({0,1,2,3,4,5,6,7,8,9},K264&amp;"0123456789"))</f>
        <v>1</v>
      </c>
      <c r="M264" t="str">
        <f>LEFT(RIGHT(K264,LEN(K264)-L264+1),6)</f>
        <v/>
      </c>
      <c r="O264" s="70">
        <f>IFERROR(RIGHT(SUBSTITUTE(N264,"$",CHAR(9),2),LEN(N264)-FIND(CHAR(9),SUBSTITUTE(N264,"$",CHAR(9),2),1) ),N264)</f>
        <v>0</v>
      </c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 t="str">
        <f t="shared" si="10"/>
        <v/>
      </c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</row>
    <row r="265" spans="2:123" hidden="1">
      <c r="B265" s="54" t="str">
        <f>TRIM(MID(SUBSTITUTE(A265," ",REPT(" ",LEN(A265))), (4-1)*LEN(A265)+1, LEN(A265)))</f>
        <v/>
      </c>
      <c r="C265" t="str">
        <f>IFERROR(VLOOKUP(A265,Processor_DB_Intel!$A$1:'Processor_DB_Intel'!$D$494,4,FALSE),"")</f>
        <v/>
      </c>
      <c r="D265" t="str">
        <f>IFERROR(LEFT(VLOOKUP(A265,Processor_DB_Intel!$A$1:'Processor_DB_Intel'!$F$494,6,FALSE),3),"")</f>
        <v/>
      </c>
      <c r="E265" s="73" t="str">
        <f>IF(O265 = 0,"",O265)</f>
        <v/>
      </c>
      <c r="F265" s="56" t="str">
        <f>IFERROR(E265/C265,"")</f>
        <v/>
      </c>
      <c r="G265" t="str">
        <f t="shared" si="12"/>
        <v/>
      </c>
      <c r="H265" t="str">
        <f t="shared" si="11"/>
        <v/>
      </c>
      <c r="I265" s="56" t="str">
        <f>IFERROR(E265/G265,"")</f>
        <v/>
      </c>
      <c r="J265" s="57" t="str">
        <f>IFERROR(1-(I265/$AC$3),"")</f>
        <v/>
      </c>
      <c r="L265">
        <f>MIN(SEARCH({0,1,2,3,4,5,6,7,8,9},K265&amp;"0123456789"))</f>
        <v>1</v>
      </c>
      <c r="M265" t="str">
        <f>LEFT(RIGHT(K265,LEN(K265)-L265+1),6)</f>
        <v/>
      </c>
      <c r="O265" s="70">
        <f>IFERROR(RIGHT(SUBSTITUTE(N265,"$",CHAR(9),2),LEN(N265)-FIND(CHAR(9),SUBSTITUTE(N265,"$",CHAR(9),2),1) ),N265)</f>
        <v>0</v>
      </c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 t="str">
        <f t="shared" si="10"/>
        <v/>
      </c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</row>
    <row r="266" spans="2:123" hidden="1">
      <c r="B266" s="54" t="str">
        <f>TRIM(MID(SUBSTITUTE(A266," ",REPT(" ",LEN(A266))), (4-1)*LEN(A266)+1, LEN(A266)))</f>
        <v/>
      </c>
      <c r="C266" t="str">
        <f>IFERROR(VLOOKUP(A266,Processor_DB_Intel!$A$1:'Processor_DB_Intel'!$D$494,4,FALSE),"")</f>
        <v/>
      </c>
      <c r="D266" t="str">
        <f>IFERROR(LEFT(VLOOKUP(A266,Processor_DB_Intel!$A$1:'Processor_DB_Intel'!$F$494,6,FALSE),3),"")</f>
        <v/>
      </c>
      <c r="E266" s="73" t="str">
        <f>IF(O266 = 0,"",O266)</f>
        <v/>
      </c>
      <c r="F266" s="56" t="str">
        <f>IFERROR(E266/C266,"")</f>
        <v/>
      </c>
      <c r="G266" t="str">
        <f t="shared" si="12"/>
        <v/>
      </c>
      <c r="H266" t="str">
        <f t="shared" si="11"/>
        <v/>
      </c>
      <c r="I266" s="56" t="str">
        <f>IFERROR(E266/G266,"")</f>
        <v/>
      </c>
      <c r="J266" s="57" t="str">
        <f>IFERROR(1-(I266/$AC$3),"")</f>
        <v/>
      </c>
      <c r="L266">
        <f>MIN(SEARCH({0,1,2,3,4,5,6,7,8,9},K266&amp;"0123456789"))</f>
        <v>1</v>
      </c>
      <c r="M266" t="str">
        <f>LEFT(RIGHT(K266,LEN(K266)-L266+1),6)</f>
        <v/>
      </c>
      <c r="O266" s="70">
        <f>IFERROR(RIGHT(SUBSTITUTE(N266,"$",CHAR(9),2),LEN(N266)-FIND(CHAR(9),SUBSTITUTE(N266,"$",CHAR(9),2),1) ),N266)</f>
        <v>0</v>
      </c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 t="str">
        <f t="shared" si="10"/>
        <v/>
      </c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</row>
    <row r="267" spans="2:123" hidden="1">
      <c r="B267" s="54" t="str">
        <f>TRIM(MID(SUBSTITUTE(A267," ",REPT(" ",LEN(A267))), (4-1)*LEN(A267)+1, LEN(A267)))</f>
        <v/>
      </c>
      <c r="C267" t="str">
        <f>IFERROR(VLOOKUP(A267,Processor_DB_Intel!$A$1:'Processor_DB_Intel'!$D$494,4,FALSE),"")</f>
        <v/>
      </c>
      <c r="D267" t="str">
        <f>IFERROR(LEFT(VLOOKUP(A267,Processor_DB_Intel!$A$1:'Processor_DB_Intel'!$F$494,6,FALSE),3),"")</f>
        <v/>
      </c>
      <c r="E267" s="73" t="str">
        <f>IF(O267 = 0,"",O267)</f>
        <v/>
      </c>
      <c r="F267" s="56" t="str">
        <f>IFERROR(E267/C267,"")</f>
        <v/>
      </c>
      <c r="G267" t="str">
        <f t="shared" si="12"/>
        <v/>
      </c>
      <c r="H267" t="str">
        <f t="shared" si="11"/>
        <v/>
      </c>
      <c r="I267" s="56" t="str">
        <f>IFERROR(E267/G267,"")</f>
        <v/>
      </c>
      <c r="J267" s="57" t="str">
        <f>IFERROR(1-(I267/$AC$3),"")</f>
        <v/>
      </c>
      <c r="L267">
        <f>MIN(SEARCH({0,1,2,3,4,5,6,7,8,9},K267&amp;"0123456789"))</f>
        <v>1</v>
      </c>
      <c r="M267" t="str">
        <f>LEFT(RIGHT(K267,LEN(K267)-L267+1),6)</f>
        <v/>
      </c>
      <c r="O267" s="70">
        <f>IFERROR(RIGHT(SUBSTITUTE(N267,"$",CHAR(9),2),LEN(N267)-FIND(CHAR(9),SUBSTITUTE(N267,"$",CHAR(9),2),1) ),N267)</f>
        <v>0</v>
      </c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 t="str">
        <f t="shared" si="10"/>
        <v/>
      </c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</row>
    <row r="268" spans="2:123" hidden="1">
      <c r="B268" s="54" t="str">
        <f>TRIM(MID(SUBSTITUTE(A268," ",REPT(" ",LEN(A268))), (4-1)*LEN(A268)+1, LEN(A268)))</f>
        <v/>
      </c>
      <c r="C268" t="str">
        <f>IFERROR(VLOOKUP(A268,Processor_DB_Intel!$A$1:'Processor_DB_Intel'!$D$494,4,FALSE),"")</f>
        <v/>
      </c>
      <c r="D268" t="str">
        <f>IFERROR(LEFT(VLOOKUP(A268,Processor_DB_Intel!$A$1:'Processor_DB_Intel'!$F$494,6,FALSE),3),"")</f>
        <v/>
      </c>
      <c r="E268" s="73" t="str">
        <f>IF(O268 = 0,"",O268)</f>
        <v/>
      </c>
      <c r="F268" s="56" t="str">
        <f>IFERROR(E268/C268,"")</f>
        <v/>
      </c>
      <c r="G268" t="str">
        <f t="shared" si="12"/>
        <v/>
      </c>
      <c r="H268" t="str">
        <f t="shared" si="11"/>
        <v/>
      </c>
      <c r="I268" s="56" t="str">
        <f>IFERROR(E268/G268,"")</f>
        <v/>
      </c>
      <c r="J268" s="57" t="str">
        <f>IFERROR(1-(I268/$AC$3),"")</f>
        <v/>
      </c>
      <c r="L268">
        <f>MIN(SEARCH({0,1,2,3,4,5,6,7,8,9},K268&amp;"0123456789"))</f>
        <v>1</v>
      </c>
      <c r="M268" t="str">
        <f>LEFT(RIGHT(K268,LEN(K268)-L268+1),6)</f>
        <v/>
      </c>
      <c r="O268" s="70">
        <f>IFERROR(RIGHT(SUBSTITUTE(N268,"$",CHAR(9),2),LEN(N268)-FIND(CHAR(9),SUBSTITUTE(N268,"$",CHAR(9),2),1) ),N268)</f>
        <v>0</v>
      </c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 t="str">
        <f t="shared" si="10"/>
        <v/>
      </c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</row>
    <row r="269" spans="2:123" hidden="1">
      <c r="B269" s="54" t="str">
        <f>TRIM(MID(SUBSTITUTE(A269," ",REPT(" ",LEN(A269))), (4-1)*LEN(A269)+1, LEN(A269)))</f>
        <v/>
      </c>
      <c r="C269" t="str">
        <f>IFERROR(VLOOKUP(A269,Processor_DB_Intel!$A$1:'Processor_DB_Intel'!$D$494,4,FALSE),"")</f>
        <v/>
      </c>
      <c r="D269" t="str">
        <f>IFERROR(LEFT(VLOOKUP(A269,Processor_DB_Intel!$A$1:'Processor_DB_Intel'!$F$494,6,FALSE),3),"")</f>
        <v/>
      </c>
      <c r="E269" s="73" t="str">
        <f>IF(O269 = 0,"",O269)</f>
        <v/>
      </c>
      <c r="F269" s="56" t="str">
        <f>IFERROR(E269/C269,"")</f>
        <v/>
      </c>
      <c r="G269" t="str">
        <f t="shared" si="12"/>
        <v/>
      </c>
      <c r="H269" t="str">
        <f t="shared" si="11"/>
        <v/>
      </c>
      <c r="I269" s="56" t="str">
        <f>IFERROR(E269/G269,"")</f>
        <v/>
      </c>
      <c r="J269" s="57" t="str">
        <f>IFERROR(1-(I269/$AC$3),"")</f>
        <v/>
      </c>
      <c r="L269">
        <f>MIN(SEARCH({0,1,2,3,4,5,6,7,8,9},K269&amp;"0123456789"))</f>
        <v>1</v>
      </c>
      <c r="M269" t="str">
        <f>LEFT(RIGHT(K269,LEN(K269)-L269+1),6)</f>
        <v/>
      </c>
      <c r="O269" s="70">
        <f>IFERROR(RIGHT(SUBSTITUTE(N269,"$",CHAR(9),2),LEN(N269)-FIND(CHAR(9),SUBSTITUTE(N269,"$",CHAR(9),2),1) ),N269)</f>
        <v>0</v>
      </c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 t="str">
        <f t="shared" si="10"/>
        <v/>
      </c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</row>
    <row r="270" spans="2:123" hidden="1">
      <c r="B270" s="54" t="str">
        <f>TRIM(MID(SUBSTITUTE(A270," ",REPT(" ",LEN(A270))), (4-1)*LEN(A270)+1, LEN(A270)))</f>
        <v/>
      </c>
      <c r="C270" t="str">
        <f>IFERROR(VLOOKUP(A270,Processor_DB_Intel!$A$1:'Processor_DB_Intel'!$D$494,4,FALSE),"")</f>
        <v/>
      </c>
      <c r="D270" t="str">
        <f>IFERROR(LEFT(VLOOKUP(A270,Processor_DB_Intel!$A$1:'Processor_DB_Intel'!$F$494,6,FALSE),3),"")</f>
        <v/>
      </c>
      <c r="E270" s="73" t="str">
        <f>IF(O270 = 0,"",O270)</f>
        <v/>
      </c>
      <c r="F270" s="56" t="str">
        <f>IFERROR(E270/C270,"")</f>
        <v/>
      </c>
      <c r="G270" t="str">
        <f t="shared" si="12"/>
        <v/>
      </c>
      <c r="H270" t="str">
        <f t="shared" si="11"/>
        <v/>
      </c>
      <c r="I270" s="56" t="str">
        <f>IFERROR(E270/G270,"")</f>
        <v/>
      </c>
      <c r="J270" s="57" t="str">
        <f>IFERROR(1-(I270/$AC$3),"")</f>
        <v/>
      </c>
      <c r="L270">
        <f>MIN(SEARCH({0,1,2,3,4,5,6,7,8,9},K270&amp;"0123456789"))</f>
        <v>1</v>
      </c>
      <c r="M270" t="str">
        <f>LEFT(RIGHT(K270,LEN(K270)-L270+1),6)</f>
        <v/>
      </c>
      <c r="O270" s="70">
        <f>IFERROR(RIGHT(SUBSTITUTE(N270,"$",CHAR(9),2),LEN(N270)-FIND(CHAR(9),SUBSTITUTE(N270,"$",CHAR(9),2),1) ),N270)</f>
        <v>0</v>
      </c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 t="str">
        <f t="shared" si="10"/>
        <v/>
      </c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</row>
    <row r="271" spans="2:123" hidden="1">
      <c r="B271" s="54" t="str">
        <f>TRIM(MID(SUBSTITUTE(A271," ",REPT(" ",LEN(A271))), (4-1)*LEN(A271)+1, LEN(A271)))</f>
        <v/>
      </c>
      <c r="C271" t="str">
        <f>IFERROR(VLOOKUP(A271,Processor_DB_Intel!$A$1:'Processor_DB_Intel'!$D$494,4,FALSE),"")</f>
        <v/>
      </c>
      <c r="D271" t="str">
        <f>IFERROR(LEFT(VLOOKUP(A271,Processor_DB_Intel!$A$1:'Processor_DB_Intel'!$F$494,6,FALSE),3),"")</f>
        <v/>
      </c>
      <c r="E271" s="73" t="str">
        <f>IF(O271 = 0,"",O271)</f>
        <v/>
      </c>
      <c r="F271" s="56" t="str">
        <f>IFERROR(E271/C271,"")</f>
        <v/>
      </c>
      <c r="G271" t="str">
        <f t="shared" si="12"/>
        <v/>
      </c>
      <c r="H271" t="str">
        <f t="shared" si="11"/>
        <v/>
      </c>
      <c r="I271" s="56" t="str">
        <f>IFERROR(E271/G271,"")</f>
        <v/>
      </c>
      <c r="J271" s="57" t="str">
        <f>IFERROR(1-(I271/$AC$3),"")</f>
        <v/>
      </c>
      <c r="L271">
        <f>MIN(SEARCH({0,1,2,3,4,5,6,7,8,9},K271&amp;"0123456789"))</f>
        <v>1</v>
      </c>
      <c r="M271" t="str">
        <f>LEFT(RIGHT(K271,LEN(K271)-L271+1),6)</f>
        <v/>
      </c>
      <c r="O271" s="70">
        <f>IFERROR(RIGHT(SUBSTITUTE(N271,"$",CHAR(9),2),LEN(N271)-FIND(CHAR(9),SUBSTITUTE(N271,"$",CHAR(9),2),1) ),N271)</f>
        <v>0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 t="str">
        <f t="shared" si="10"/>
        <v/>
      </c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</row>
    <row r="272" spans="2:123" hidden="1">
      <c r="B272" s="54" t="str">
        <f>TRIM(MID(SUBSTITUTE(A272," ",REPT(" ",LEN(A272))), (4-1)*LEN(A272)+1, LEN(A272)))</f>
        <v/>
      </c>
      <c r="C272" t="str">
        <f>IFERROR(VLOOKUP(A272,Processor_DB_Intel!$A$1:'Processor_DB_Intel'!$D$494,4,FALSE),"")</f>
        <v/>
      </c>
      <c r="D272" t="str">
        <f>IFERROR(LEFT(VLOOKUP(A272,Processor_DB_Intel!$A$1:'Processor_DB_Intel'!$F$494,6,FALSE),3),"")</f>
        <v/>
      </c>
      <c r="E272" s="73" t="str">
        <f>IF(O272 = 0,"",O272)</f>
        <v/>
      </c>
      <c r="F272" s="56" t="str">
        <f>IFERROR(E272/C272,"")</f>
        <v/>
      </c>
      <c r="G272" t="str">
        <f t="shared" si="12"/>
        <v/>
      </c>
      <c r="H272" t="str">
        <f t="shared" si="11"/>
        <v/>
      </c>
      <c r="I272" s="56" t="str">
        <f>IFERROR(E272/G272,"")</f>
        <v/>
      </c>
      <c r="J272" s="57" t="str">
        <f>IFERROR(1-(I272/$AC$3),"")</f>
        <v/>
      </c>
      <c r="L272">
        <f>MIN(SEARCH({0,1,2,3,4,5,6,7,8,9},K272&amp;"0123456789"))</f>
        <v>1</v>
      </c>
      <c r="M272" t="str">
        <f>LEFT(RIGHT(K272,LEN(K272)-L272+1),6)</f>
        <v/>
      </c>
      <c r="O272" s="70">
        <f>IFERROR(RIGHT(SUBSTITUTE(N272,"$",CHAR(9),2),LEN(N272)-FIND(CHAR(9),SUBSTITUTE(N272,"$",CHAR(9),2),1) ),N272)</f>
        <v>0</v>
      </c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 t="str">
        <f t="shared" si="10"/>
        <v/>
      </c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</row>
    <row r="273" spans="2:123" hidden="1">
      <c r="B273" s="54" t="str">
        <f>TRIM(MID(SUBSTITUTE(A273," ",REPT(" ",LEN(A273))), (4-1)*LEN(A273)+1, LEN(A273)))</f>
        <v/>
      </c>
      <c r="C273" t="str">
        <f>IFERROR(VLOOKUP(A273,Processor_DB_Intel!$A$1:'Processor_DB_Intel'!$D$494,4,FALSE),"")</f>
        <v/>
      </c>
      <c r="D273" t="str">
        <f>IFERROR(LEFT(VLOOKUP(A273,Processor_DB_Intel!$A$1:'Processor_DB_Intel'!$F$494,6,FALSE),3),"")</f>
        <v/>
      </c>
      <c r="E273" s="73" t="str">
        <f>IF(O273 = 0,"",O273)</f>
        <v/>
      </c>
      <c r="F273" s="56" t="str">
        <f>IFERROR(E273/C273,"")</f>
        <v/>
      </c>
      <c r="G273" t="str">
        <f t="shared" si="12"/>
        <v/>
      </c>
      <c r="H273" t="str">
        <f t="shared" si="11"/>
        <v/>
      </c>
      <c r="I273" s="56" t="str">
        <f>IFERROR(E273/G273,"")</f>
        <v/>
      </c>
      <c r="J273" s="57" t="str">
        <f>IFERROR(1-(I273/$AC$3),"")</f>
        <v/>
      </c>
      <c r="L273">
        <f>MIN(SEARCH({0,1,2,3,4,5,6,7,8,9},K273&amp;"0123456789"))</f>
        <v>1</v>
      </c>
      <c r="M273" t="str">
        <f>LEFT(RIGHT(K273,LEN(K273)-L273+1),6)</f>
        <v/>
      </c>
      <c r="O273" s="70">
        <f>IFERROR(RIGHT(SUBSTITUTE(N273,"$",CHAR(9),2),LEN(N273)-FIND(CHAR(9),SUBSTITUTE(N273,"$",CHAR(9),2),1) ),N273)</f>
        <v>0</v>
      </c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 t="str">
        <f t="shared" si="10"/>
        <v/>
      </c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</row>
    <row r="274" spans="2:123" hidden="1">
      <c r="B274" s="54" t="str">
        <f>TRIM(MID(SUBSTITUTE(A274," ",REPT(" ",LEN(A274))), (4-1)*LEN(A274)+1, LEN(A274)))</f>
        <v/>
      </c>
      <c r="C274" t="str">
        <f>IFERROR(VLOOKUP(A274,Processor_DB_Intel!$A$1:'Processor_DB_Intel'!$D$494,4,FALSE),"")</f>
        <v/>
      </c>
      <c r="D274" t="str">
        <f>IFERROR(LEFT(VLOOKUP(A274,Processor_DB_Intel!$A$1:'Processor_DB_Intel'!$F$494,6,FALSE),3),"")</f>
        <v/>
      </c>
      <c r="E274" s="73" t="str">
        <f>IF(O274 = 0,"",O274)</f>
        <v/>
      </c>
      <c r="F274" s="56" t="str">
        <f>IFERROR(E274/C274,"")</f>
        <v/>
      </c>
      <c r="G274" t="str">
        <f t="shared" si="12"/>
        <v/>
      </c>
      <c r="H274" t="str">
        <f t="shared" si="11"/>
        <v/>
      </c>
      <c r="I274" s="56" t="str">
        <f>IFERROR(E274/G274,"")</f>
        <v/>
      </c>
      <c r="J274" s="57" t="str">
        <f>IFERROR(1-(I274/$AC$3),"")</f>
        <v/>
      </c>
      <c r="L274">
        <f>MIN(SEARCH({0,1,2,3,4,5,6,7,8,9},K274&amp;"0123456789"))</f>
        <v>1</v>
      </c>
      <c r="M274" t="str">
        <f>LEFT(RIGHT(K274,LEN(K274)-L274+1),6)</f>
        <v/>
      </c>
      <c r="O274" s="70">
        <f>IFERROR(RIGHT(SUBSTITUTE(N274,"$",CHAR(9),2),LEN(N274)-FIND(CHAR(9),SUBSTITUTE(N274,"$",CHAR(9),2),1) ),N274)</f>
        <v>0</v>
      </c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 t="str">
        <f t="shared" si="10"/>
        <v/>
      </c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</row>
    <row r="275" spans="2:123" hidden="1">
      <c r="B275" s="54" t="str">
        <f>TRIM(MID(SUBSTITUTE(A275," ",REPT(" ",LEN(A275))), (4-1)*LEN(A275)+1, LEN(A275)))</f>
        <v/>
      </c>
      <c r="C275" t="str">
        <f>IFERROR(VLOOKUP(A275,Processor_DB_Intel!$A$1:'Processor_DB_Intel'!$D$494,4,FALSE),"")</f>
        <v/>
      </c>
      <c r="D275" t="str">
        <f>IFERROR(LEFT(VLOOKUP(A275,Processor_DB_Intel!$A$1:'Processor_DB_Intel'!$F$494,6,FALSE),3),"")</f>
        <v/>
      </c>
      <c r="E275" s="73" t="str">
        <f>IF(O275 = 0,"",O275)</f>
        <v/>
      </c>
      <c r="F275" s="56" t="str">
        <f>IFERROR(E275/C275,"")</f>
        <v/>
      </c>
      <c r="G275" t="str">
        <f t="shared" si="12"/>
        <v/>
      </c>
      <c r="H275" t="str">
        <f t="shared" si="11"/>
        <v/>
      </c>
      <c r="I275" s="56" t="str">
        <f>IFERROR(E275/G275,"")</f>
        <v/>
      </c>
      <c r="J275" s="57" t="str">
        <f>IFERROR(1-(I275/$AC$3),"")</f>
        <v/>
      </c>
      <c r="L275">
        <f>MIN(SEARCH({0,1,2,3,4,5,6,7,8,9},K275&amp;"0123456789"))</f>
        <v>1</v>
      </c>
      <c r="M275" t="str">
        <f>LEFT(RIGHT(K275,LEN(K275)-L275+1),6)</f>
        <v/>
      </c>
      <c r="O275" s="70">
        <f>IFERROR(RIGHT(SUBSTITUTE(N275,"$",CHAR(9),2),LEN(N275)-FIND(CHAR(9),SUBSTITUTE(N275,"$",CHAR(9),2),1) ),N275)</f>
        <v>0</v>
      </c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 t="str">
        <f t="shared" si="10"/>
        <v/>
      </c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</row>
    <row r="276" spans="2:123" hidden="1">
      <c r="B276" s="54" t="str">
        <f>TRIM(MID(SUBSTITUTE(A276," ",REPT(" ",LEN(A276))), (4-1)*LEN(A276)+1, LEN(A276)))</f>
        <v/>
      </c>
      <c r="C276" t="str">
        <f>IFERROR(VLOOKUP(A276,Processor_DB_Intel!$A$1:'Processor_DB_Intel'!$D$494,4,FALSE),"")</f>
        <v/>
      </c>
      <c r="D276" t="str">
        <f>IFERROR(LEFT(VLOOKUP(A276,Processor_DB_Intel!$A$1:'Processor_DB_Intel'!$F$494,6,FALSE),3),"")</f>
        <v/>
      </c>
      <c r="E276" s="73" t="str">
        <f>IF(O276 = 0,"",O276)</f>
        <v/>
      </c>
      <c r="F276" s="56" t="str">
        <f>IFERROR(E276/C276,"")</f>
        <v/>
      </c>
      <c r="G276" t="str">
        <f t="shared" si="12"/>
        <v/>
      </c>
      <c r="H276" t="str">
        <f t="shared" si="11"/>
        <v/>
      </c>
      <c r="I276" s="56" t="str">
        <f>IFERROR(E276/G276,"")</f>
        <v/>
      </c>
      <c r="J276" s="57" t="str">
        <f>IFERROR(1-(I276/$AC$3),"")</f>
        <v/>
      </c>
      <c r="L276">
        <f>MIN(SEARCH({0,1,2,3,4,5,6,7,8,9},K276&amp;"0123456789"))</f>
        <v>1</v>
      </c>
      <c r="M276" t="str">
        <f>LEFT(RIGHT(K276,LEN(K276)-L276+1),6)</f>
        <v/>
      </c>
      <c r="O276" s="70">
        <f>IFERROR(RIGHT(SUBSTITUTE(N276,"$",CHAR(9),2),LEN(N276)-FIND(CHAR(9),SUBSTITUTE(N276,"$",CHAR(9),2),1) ),N276)</f>
        <v>0</v>
      </c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 t="str">
        <f t="shared" si="10"/>
        <v/>
      </c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</row>
    <row r="277" spans="2:123" hidden="1">
      <c r="B277" s="54" t="str">
        <f>TRIM(MID(SUBSTITUTE(A277," ",REPT(" ",LEN(A277))), (4-1)*LEN(A277)+1, LEN(A277)))</f>
        <v/>
      </c>
      <c r="C277" t="str">
        <f>IFERROR(VLOOKUP(A277,Processor_DB_Intel!$A$1:'Processor_DB_Intel'!$D$494,4,FALSE),"")</f>
        <v/>
      </c>
      <c r="D277" t="str">
        <f>IFERROR(LEFT(VLOOKUP(A277,Processor_DB_Intel!$A$1:'Processor_DB_Intel'!$F$494,6,FALSE),3),"")</f>
        <v/>
      </c>
      <c r="E277" s="73" t="str">
        <f>IF(O277 = 0,"",O277)</f>
        <v/>
      </c>
      <c r="F277" s="56" t="str">
        <f>IFERROR(E277/C277,"")</f>
        <v/>
      </c>
      <c r="G277" t="str">
        <f t="shared" si="12"/>
        <v/>
      </c>
      <c r="H277" t="str">
        <f t="shared" si="11"/>
        <v/>
      </c>
      <c r="I277" s="56" t="str">
        <f>IFERROR(E277/G277,"")</f>
        <v/>
      </c>
      <c r="J277" s="57" t="str">
        <f>IFERROR(1-(I277/$AC$3),"")</f>
        <v/>
      </c>
      <c r="L277">
        <f>MIN(SEARCH({0,1,2,3,4,5,6,7,8,9},K277&amp;"0123456789"))</f>
        <v>1</v>
      </c>
      <c r="M277" t="str">
        <f>LEFT(RIGHT(K277,LEN(K277)-L277+1),6)</f>
        <v/>
      </c>
      <c r="O277" s="70">
        <f>IFERROR(RIGHT(SUBSTITUTE(N277,"$",CHAR(9),2),LEN(N277)-FIND(CHAR(9),SUBSTITUTE(N277,"$",CHAR(9),2),1) ),N277)</f>
        <v>0</v>
      </c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 t="str">
        <f t="shared" si="10"/>
        <v/>
      </c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</row>
    <row r="278" spans="2:123" hidden="1">
      <c r="B278" s="54" t="str">
        <f>TRIM(MID(SUBSTITUTE(A278," ",REPT(" ",LEN(A278))), (4-1)*LEN(A278)+1, LEN(A278)))</f>
        <v/>
      </c>
      <c r="C278" t="str">
        <f>IFERROR(VLOOKUP(A278,Processor_DB_Intel!$A$1:'Processor_DB_Intel'!$D$494,4,FALSE),"")</f>
        <v/>
      </c>
      <c r="D278" t="str">
        <f>IFERROR(LEFT(VLOOKUP(A278,Processor_DB_Intel!$A$1:'Processor_DB_Intel'!$F$494,6,FALSE),3),"")</f>
        <v/>
      </c>
      <c r="E278" s="73" t="str">
        <f>IF(O278 = 0,"",O278)</f>
        <v/>
      </c>
      <c r="F278" s="56" t="str">
        <f>IFERROR(E278/C278,"")</f>
        <v/>
      </c>
      <c r="G278" t="str">
        <f t="shared" si="12"/>
        <v/>
      </c>
      <c r="H278" t="str">
        <f t="shared" si="11"/>
        <v/>
      </c>
      <c r="I278" s="56" t="str">
        <f>IFERROR(E278/G278,"")</f>
        <v/>
      </c>
      <c r="J278" s="57" t="str">
        <f>IFERROR(1-(I278/$AC$3),"")</f>
        <v/>
      </c>
      <c r="L278">
        <f>MIN(SEARCH({0,1,2,3,4,5,6,7,8,9},K278&amp;"0123456789"))</f>
        <v>1</v>
      </c>
      <c r="M278" t="str">
        <f>LEFT(RIGHT(K278,LEN(K278)-L278+1),6)</f>
        <v/>
      </c>
      <c r="O278" s="70">
        <f>IFERROR(RIGHT(SUBSTITUTE(N278,"$",CHAR(9),2),LEN(N278)-FIND(CHAR(9),SUBSTITUTE(N278,"$",CHAR(9),2),1) ),N278)</f>
        <v>0</v>
      </c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 t="str">
        <f t="shared" si="10"/>
        <v/>
      </c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</row>
    <row r="279" spans="2:123" hidden="1">
      <c r="B279" s="54" t="str">
        <f>TRIM(MID(SUBSTITUTE(A279," ",REPT(" ",LEN(A279))), (4-1)*LEN(A279)+1, LEN(A279)))</f>
        <v/>
      </c>
      <c r="C279" t="str">
        <f>IFERROR(VLOOKUP(A279,Processor_DB_Intel!$A$1:'Processor_DB_Intel'!$D$494,4,FALSE),"")</f>
        <v/>
      </c>
      <c r="D279" t="str">
        <f>IFERROR(LEFT(VLOOKUP(A279,Processor_DB_Intel!$A$1:'Processor_DB_Intel'!$F$494,6,FALSE),3),"")</f>
        <v/>
      </c>
      <c r="E279" s="73" t="str">
        <f>IF(O279 = 0,"",O279)</f>
        <v/>
      </c>
      <c r="F279" s="56" t="str">
        <f>IFERROR(E279/C279,"")</f>
        <v/>
      </c>
      <c r="G279" t="str">
        <f t="shared" si="12"/>
        <v/>
      </c>
      <c r="H279" t="str">
        <f t="shared" si="11"/>
        <v/>
      </c>
      <c r="I279" s="56" t="str">
        <f>IFERROR(E279/G279,"")</f>
        <v/>
      </c>
      <c r="J279" s="57" t="str">
        <f>IFERROR(1-(I279/$AC$3),"")</f>
        <v/>
      </c>
      <c r="L279">
        <f>MIN(SEARCH({0,1,2,3,4,5,6,7,8,9},K279&amp;"0123456789"))</f>
        <v>1</v>
      </c>
      <c r="M279" t="str">
        <f>LEFT(RIGHT(K279,LEN(K279)-L279+1),6)</f>
        <v/>
      </c>
      <c r="O279" s="70">
        <f>IFERROR(RIGHT(SUBSTITUTE(N279,"$",CHAR(9),2),LEN(N279)-FIND(CHAR(9),SUBSTITUTE(N279,"$",CHAR(9),2),1) ),N279)</f>
        <v>0</v>
      </c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 t="str">
        <f t="shared" si="10"/>
        <v/>
      </c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</row>
    <row r="280" spans="2:123" hidden="1">
      <c r="B280" s="54" t="str">
        <f>TRIM(MID(SUBSTITUTE(A280," ",REPT(" ",LEN(A280))), (4-1)*LEN(A280)+1, LEN(A280)))</f>
        <v/>
      </c>
      <c r="C280" t="str">
        <f>IFERROR(VLOOKUP(A280,Processor_DB_Intel!$A$1:'Processor_DB_Intel'!$D$494,4,FALSE),"")</f>
        <v/>
      </c>
      <c r="D280" t="str">
        <f>IFERROR(LEFT(VLOOKUP(A280,Processor_DB_Intel!$A$1:'Processor_DB_Intel'!$F$494,6,FALSE),3),"")</f>
        <v/>
      </c>
      <c r="E280" s="73" t="str">
        <f>IF(O280 = 0,"",O280)</f>
        <v/>
      </c>
      <c r="F280" s="56" t="str">
        <f>IFERROR(E280/C280,"")</f>
        <v/>
      </c>
      <c r="G280" t="str">
        <f t="shared" si="12"/>
        <v/>
      </c>
      <c r="H280" t="str">
        <f t="shared" si="11"/>
        <v/>
      </c>
      <c r="I280" s="56" t="str">
        <f>IFERROR(E280/G280,"")</f>
        <v/>
      </c>
      <c r="J280" s="57" t="str">
        <f>IFERROR(1-(I280/$AC$3),"")</f>
        <v/>
      </c>
      <c r="L280">
        <f>MIN(SEARCH({0,1,2,3,4,5,6,7,8,9},K280&amp;"0123456789"))</f>
        <v>1</v>
      </c>
      <c r="M280" t="str">
        <f>LEFT(RIGHT(K280,LEN(K280)-L280+1),6)</f>
        <v/>
      </c>
      <c r="O280" s="70">
        <f>IFERROR(RIGHT(SUBSTITUTE(N280,"$",CHAR(9),2),LEN(N280)-FIND(CHAR(9),SUBSTITUTE(N280,"$",CHAR(9),2),1) ),N280)</f>
        <v>0</v>
      </c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 t="str">
        <f t="shared" si="10"/>
        <v/>
      </c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</row>
    <row r="281" spans="2:123" hidden="1">
      <c r="B281" s="54" t="str">
        <f>TRIM(MID(SUBSTITUTE(A281," ",REPT(" ",LEN(A281))), (4-1)*LEN(A281)+1, LEN(A281)))</f>
        <v/>
      </c>
      <c r="C281" t="str">
        <f>IFERROR(VLOOKUP(A281,Processor_DB_Intel!$A$1:'Processor_DB_Intel'!$D$494,4,FALSE),"")</f>
        <v/>
      </c>
      <c r="D281" t="str">
        <f>IFERROR(LEFT(VLOOKUP(A281,Processor_DB_Intel!$A$1:'Processor_DB_Intel'!$F$494,6,FALSE),3),"")</f>
        <v/>
      </c>
      <c r="E281" s="73" t="str">
        <f>IF(O281 = 0,"",O281)</f>
        <v/>
      </c>
      <c r="F281" s="56" t="str">
        <f>IFERROR(E281/C281,"")</f>
        <v/>
      </c>
      <c r="G281" t="str">
        <f t="shared" si="12"/>
        <v/>
      </c>
      <c r="H281" t="str">
        <f t="shared" si="11"/>
        <v/>
      </c>
      <c r="I281" s="56" t="str">
        <f>IFERROR(E281/G281,"")</f>
        <v/>
      </c>
      <c r="J281" s="57" t="str">
        <f>IFERROR(1-(I281/$AC$3),"")</f>
        <v/>
      </c>
      <c r="L281">
        <f>MIN(SEARCH({0,1,2,3,4,5,6,7,8,9},K281&amp;"0123456789"))</f>
        <v>1</v>
      </c>
      <c r="M281" t="str">
        <f>LEFT(RIGHT(K281,LEN(K281)-L281+1),6)</f>
        <v/>
      </c>
      <c r="O281" s="70">
        <f>IFERROR(RIGHT(SUBSTITUTE(N281,"$",CHAR(9),2),LEN(N281)-FIND(CHAR(9),SUBSTITUTE(N281,"$",CHAR(9),2),1) ),N281)</f>
        <v>0</v>
      </c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 t="str">
        <f t="shared" si="10"/>
        <v/>
      </c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</row>
    <row r="282" spans="2:123" hidden="1">
      <c r="B282" s="54" t="str">
        <f>TRIM(MID(SUBSTITUTE(A282," ",REPT(" ",LEN(A282))), (4-1)*LEN(A282)+1, LEN(A282)))</f>
        <v/>
      </c>
      <c r="C282" t="str">
        <f>IFERROR(VLOOKUP(A282,Processor_DB_Intel!$A$1:'Processor_DB_Intel'!$D$494,4,FALSE),"")</f>
        <v/>
      </c>
      <c r="D282" t="str">
        <f>IFERROR(LEFT(VLOOKUP(A282,Processor_DB_Intel!$A$1:'Processor_DB_Intel'!$F$494,6,FALSE),3),"")</f>
        <v/>
      </c>
      <c r="E282" s="73" t="str">
        <f>IF(O282 = 0,"",O282)</f>
        <v/>
      </c>
      <c r="F282" s="56" t="str">
        <f>IFERROR(E282/C282,"")</f>
        <v/>
      </c>
      <c r="G282" t="str">
        <f t="shared" si="12"/>
        <v/>
      </c>
      <c r="H282" t="str">
        <f t="shared" si="11"/>
        <v/>
      </c>
      <c r="I282" s="56" t="str">
        <f>IFERROR(E282/G282,"")</f>
        <v/>
      </c>
      <c r="J282" s="57" t="str">
        <f>IFERROR(1-(I282/$AC$3),"")</f>
        <v/>
      </c>
      <c r="L282">
        <f>MIN(SEARCH({0,1,2,3,4,5,6,7,8,9},K282&amp;"0123456789"))</f>
        <v>1</v>
      </c>
      <c r="M282" t="str">
        <f>LEFT(RIGHT(K282,LEN(K282)-L282+1),6)</f>
        <v/>
      </c>
      <c r="O282" s="70">
        <f>IFERROR(RIGHT(SUBSTITUTE(N282,"$",CHAR(9),2),LEN(N282)-FIND(CHAR(9),SUBSTITUTE(N282,"$",CHAR(9),2),1) ),N282)</f>
        <v>0</v>
      </c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 t="str">
        <f t="shared" si="10"/>
        <v/>
      </c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</row>
    <row r="283" spans="2:123" hidden="1">
      <c r="B283" s="54" t="str">
        <f>TRIM(MID(SUBSTITUTE(A283," ",REPT(" ",LEN(A283))), (4-1)*LEN(A283)+1, LEN(A283)))</f>
        <v/>
      </c>
      <c r="C283" t="str">
        <f>IFERROR(VLOOKUP(A283,Processor_DB_Intel!$A$1:'Processor_DB_Intel'!$D$494,4,FALSE),"")</f>
        <v/>
      </c>
      <c r="D283" t="str">
        <f>IFERROR(LEFT(VLOOKUP(A283,Processor_DB_Intel!$A$1:'Processor_DB_Intel'!$F$494,6,FALSE),3),"")</f>
        <v/>
      </c>
      <c r="E283" s="73" t="str">
        <f>IF(O283 = 0,"",O283)</f>
        <v/>
      </c>
      <c r="F283" s="56" t="str">
        <f>IFERROR(E283/C283,"")</f>
        <v/>
      </c>
      <c r="G283" t="str">
        <f t="shared" si="12"/>
        <v/>
      </c>
      <c r="H283" t="str">
        <f t="shared" si="11"/>
        <v/>
      </c>
      <c r="I283" s="56" t="str">
        <f>IFERROR(E283/G283,"")</f>
        <v/>
      </c>
      <c r="J283" s="57" t="str">
        <f>IFERROR(1-(I283/$AC$3),"")</f>
        <v/>
      </c>
      <c r="L283">
        <f>MIN(SEARCH({0,1,2,3,4,5,6,7,8,9},K283&amp;"0123456789"))</f>
        <v>1</v>
      </c>
      <c r="M283" t="str">
        <f>LEFT(RIGHT(K283,LEN(K283)-L283+1),6)</f>
        <v/>
      </c>
      <c r="O283" s="70">
        <f>IFERROR(RIGHT(SUBSTITUTE(N283,"$",CHAR(9),2),LEN(N283)-FIND(CHAR(9),SUBSTITUTE(N283,"$",CHAR(9),2),1) ),N283)</f>
        <v>0</v>
      </c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 t="str">
        <f t="shared" si="10"/>
        <v/>
      </c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</row>
    <row r="284" spans="2:123" hidden="1">
      <c r="B284" s="54" t="str">
        <f>TRIM(MID(SUBSTITUTE(A284," ",REPT(" ",LEN(A284))), (4-1)*LEN(A284)+1, LEN(A284)))</f>
        <v/>
      </c>
      <c r="C284" t="str">
        <f>IFERROR(VLOOKUP(A284,Processor_DB_Intel!$A$1:'Processor_DB_Intel'!$D$494,4,FALSE),"")</f>
        <v/>
      </c>
      <c r="D284" t="str">
        <f>IFERROR(LEFT(VLOOKUP(A284,Processor_DB_Intel!$A$1:'Processor_DB_Intel'!$F$494,6,FALSE),3),"")</f>
        <v/>
      </c>
      <c r="E284" s="73" t="str">
        <f>IF(O284 = 0,"",O284)</f>
        <v/>
      </c>
      <c r="F284" s="56" t="str">
        <f>IFERROR(E284/C284,"")</f>
        <v/>
      </c>
      <c r="G284" t="str">
        <f t="shared" si="12"/>
        <v/>
      </c>
      <c r="H284" t="str">
        <f t="shared" si="11"/>
        <v/>
      </c>
      <c r="I284" s="56" t="str">
        <f>IFERROR(E284/G284,"")</f>
        <v/>
      </c>
      <c r="J284" s="57" t="str">
        <f>IFERROR(1-(I284/$AC$3),"")</f>
        <v/>
      </c>
      <c r="L284">
        <f>MIN(SEARCH({0,1,2,3,4,5,6,7,8,9},K284&amp;"0123456789"))</f>
        <v>1</v>
      </c>
      <c r="M284" t="str">
        <f>LEFT(RIGHT(K284,LEN(K284)-L284+1),6)</f>
        <v/>
      </c>
      <c r="O284" s="70">
        <f>IFERROR(RIGHT(SUBSTITUTE(N284,"$",CHAR(9),2),LEN(N284)-FIND(CHAR(9),SUBSTITUTE(N284,"$",CHAR(9),2),1) ),N284)</f>
        <v>0</v>
      </c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 t="str">
        <f t="shared" si="10"/>
        <v/>
      </c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</row>
    <row r="285" spans="2:123" hidden="1">
      <c r="B285" s="54" t="str">
        <f>TRIM(MID(SUBSTITUTE(A285," ",REPT(" ",LEN(A285))), (4-1)*LEN(A285)+1, LEN(A285)))</f>
        <v/>
      </c>
      <c r="C285" t="str">
        <f>IFERROR(VLOOKUP(A285,Processor_DB_Intel!$A$1:'Processor_DB_Intel'!$D$494,4,FALSE),"")</f>
        <v/>
      </c>
      <c r="D285" t="str">
        <f>IFERROR(LEFT(VLOOKUP(A285,Processor_DB_Intel!$A$1:'Processor_DB_Intel'!$F$494,6,FALSE),3),"")</f>
        <v/>
      </c>
      <c r="E285" s="73" t="str">
        <f>IF(O285 = 0,"",O285)</f>
        <v/>
      </c>
      <c r="F285" s="56" t="str">
        <f>IFERROR(E285/C285,"")</f>
        <v/>
      </c>
      <c r="G285" t="str">
        <f t="shared" si="12"/>
        <v/>
      </c>
      <c r="H285" t="str">
        <f t="shared" si="11"/>
        <v/>
      </c>
      <c r="I285" s="56" t="str">
        <f>IFERROR(E285/G285,"")</f>
        <v/>
      </c>
      <c r="J285" s="57" t="str">
        <f>IFERROR(1-(I285/$AC$3),"")</f>
        <v/>
      </c>
      <c r="L285">
        <f>MIN(SEARCH({0,1,2,3,4,5,6,7,8,9},K285&amp;"0123456789"))</f>
        <v>1</v>
      </c>
      <c r="M285" t="str">
        <f>LEFT(RIGHT(K285,LEN(K285)-L285+1),6)</f>
        <v/>
      </c>
      <c r="O285" s="70">
        <f>IFERROR(RIGHT(SUBSTITUTE(N285,"$",CHAR(9),2),LEN(N285)-FIND(CHAR(9),SUBSTITUTE(N285,"$",CHAR(9),2),1) ),N285)</f>
        <v>0</v>
      </c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 t="str">
        <f t="shared" si="10"/>
        <v/>
      </c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</row>
    <row r="286" spans="2:123" hidden="1">
      <c r="B286" s="54" t="str">
        <f>TRIM(MID(SUBSTITUTE(A286," ",REPT(" ",LEN(A286))), (4-1)*LEN(A286)+1, LEN(A286)))</f>
        <v/>
      </c>
      <c r="C286" t="str">
        <f>IFERROR(VLOOKUP(A286,Processor_DB_Intel!$A$1:'Processor_DB_Intel'!$D$494,4,FALSE),"")</f>
        <v/>
      </c>
      <c r="D286" t="str">
        <f>IFERROR(LEFT(VLOOKUP(A286,Processor_DB_Intel!$A$1:'Processor_DB_Intel'!$F$494,6,FALSE),3),"")</f>
        <v/>
      </c>
      <c r="E286" s="73" t="str">
        <f>IF(O286 = 0,"",O286)</f>
        <v/>
      </c>
      <c r="F286" s="56" t="str">
        <f>IFERROR(E286/C286,"")</f>
        <v/>
      </c>
      <c r="G286" t="str">
        <f t="shared" si="12"/>
        <v/>
      </c>
      <c r="H286" t="str">
        <f t="shared" si="11"/>
        <v/>
      </c>
      <c r="I286" s="56" t="str">
        <f>IFERROR(E286/G286,"")</f>
        <v/>
      </c>
      <c r="J286" s="57" t="str">
        <f>IFERROR(1-(I286/$AC$3),"")</f>
        <v/>
      </c>
      <c r="L286">
        <f>MIN(SEARCH({0,1,2,3,4,5,6,7,8,9},K286&amp;"0123456789"))</f>
        <v>1</v>
      </c>
      <c r="M286" t="str">
        <f>LEFT(RIGHT(K286,LEN(K286)-L286+1),6)</f>
        <v/>
      </c>
      <c r="O286" s="70">
        <f>IFERROR(RIGHT(SUBSTITUTE(N286,"$",CHAR(9),2),LEN(N286)-FIND(CHAR(9),SUBSTITUTE(N286,"$",CHAR(9),2),1) ),N286)</f>
        <v>0</v>
      </c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 t="str">
        <f t="shared" si="10"/>
        <v/>
      </c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</row>
    <row r="287" spans="2:123" hidden="1">
      <c r="B287" s="54" t="str">
        <f>TRIM(MID(SUBSTITUTE(A287," ",REPT(" ",LEN(A287))), (4-1)*LEN(A287)+1, LEN(A287)))</f>
        <v/>
      </c>
      <c r="C287" t="str">
        <f>IFERROR(VLOOKUP(A287,Processor_DB_Intel!$A$1:'Processor_DB_Intel'!$D$494,4,FALSE),"")</f>
        <v/>
      </c>
      <c r="D287" t="str">
        <f>IFERROR(LEFT(VLOOKUP(A287,Processor_DB_Intel!$A$1:'Processor_DB_Intel'!$F$494,6,FALSE),3),"")</f>
        <v/>
      </c>
      <c r="E287" s="73" t="str">
        <f>IF(O287 = 0,"",O287)</f>
        <v/>
      </c>
      <c r="F287" s="56" t="str">
        <f>IFERROR(E287/C287,"")</f>
        <v/>
      </c>
      <c r="G287" t="str">
        <f t="shared" si="12"/>
        <v/>
      </c>
      <c r="H287" t="str">
        <f t="shared" si="11"/>
        <v/>
      </c>
      <c r="I287" s="56" t="str">
        <f>IFERROR(E287/G287,"")</f>
        <v/>
      </c>
      <c r="J287" s="57" t="str">
        <f>IFERROR(1-(I287/$AC$3),"")</f>
        <v/>
      </c>
      <c r="L287">
        <f>MIN(SEARCH({0,1,2,3,4,5,6,7,8,9},K287&amp;"0123456789"))</f>
        <v>1</v>
      </c>
      <c r="M287" t="str">
        <f>LEFT(RIGHT(K287,LEN(K287)-L287+1),6)</f>
        <v/>
      </c>
      <c r="O287" s="70">
        <f>IFERROR(RIGHT(SUBSTITUTE(N287,"$",CHAR(9),2),LEN(N287)-FIND(CHAR(9),SUBSTITUTE(N287,"$",CHAR(9),2),1) ),N287)</f>
        <v>0</v>
      </c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 t="str">
        <f t="shared" si="10"/>
        <v/>
      </c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</row>
    <row r="288" spans="2:123" hidden="1">
      <c r="B288" s="54" t="str">
        <f>TRIM(MID(SUBSTITUTE(A288," ",REPT(" ",LEN(A288))), (4-1)*LEN(A288)+1, LEN(A288)))</f>
        <v/>
      </c>
      <c r="C288" t="str">
        <f>IFERROR(VLOOKUP(A288,Processor_DB_Intel!$A$1:'Processor_DB_Intel'!$D$494,4,FALSE),"")</f>
        <v/>
      </c>
      <c r="D288" t="str">
        <f>IFERROR(LEFT(VLOOKUP(A288,Processor_DB_Intel!$A$1:'Processor_DB_Intel'!$F$494,6,FALSE),3),"")</f>
        <v/>
      </c>
      <c r="E288" s="73" t="str">
        <f>IF(O288 = 0,"",O288)</f>
        <v/>
      </c>
      <c r="F288" s="56" t="str">
        <f>IFERROR(E288/C288,"")</f>
        <v/>
      </c>
      <c r="G288" t="str">
        <f t="shared" si="12"/>
        <v/>
      </c>
      <c r="H288" t="str">
        <f t="shared" si="11"/>
        <v/>
      </c>
      <c r="I288" s="56" t="str">
        <f>IFERROR(E288/G288,"")</f>
        <v/>
      </c>
      <c r="J288" s="57" t="str">
        <f>IFERROR(1-(I288/$AC$3),"")</f>
        <v/>
      </c>
      <c r="L288">
        <f>MIN(SEARCH({0,1,2,3,4,5,6,7,8,9},K288&amp;"0123456789"))</f>
        <v>1</v>
      </c>
      <c r="M288" t="str">
        <f>LEFT(RIGHT(K288,LEN(K288)-L288+1),6)</f>
        <v/>
      </c>
      <c r="O288" s="70">
        <f>IFERROR(RIGHT(SUBSTITUTE(N288,"$",CHAR(9),2),LEN(N288)-FIND(CHAR(9),SUBSTITUTE(N288,"$",CHAR(9),2),1) ),N288)</f>
        <v>0</v>
      </c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 t="str">
        <f t="shared" si="10"/>
        <v/>
      </c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</row>
    <row r="289" spans="1:123" hidden="1">
      <c r="B289" s="54" t="str">
        <f>TRIM(MID(SUBSTITUTE(A289," ",REPT(" ",LEN(A289))), (4-1)*LEN(A289)+1, LEN(A289)))</f>
        <v/>
      </c>
      <c r="C289" t="str">
        <f>IFERROR(VLOOKUP(A289,Processor_DB_Intel!$A$1:'Processor_DB_Intel'!$D$494,4,FALSE),"")</f>
        <v/>
      </c>
      <c r="D289" t="str">
        <f>IFERROR(LEFT(VLOOKUP(A289,Processor_DB_Intel!$A$1:'Processor_DB_Intel'!$F$494,6,FALSE),3),"")</f>
        <v/>
      </c>
      <c r="E289" s="73" t="str">
        <f>IF(O289 = 0,"",O289)</f>
        <v/>
      </c>
      <c r="F289" s="56" t="str">
        <f>IFERROR(E289/C289,"")</f>
        <v/>
      </c>
      <c r="G289" t="str">
        <f t="shared" si="12"/>
        <v/>
      </c>
      <c r="H289" t="str">
        <f t="shared" si="11"/>
        <v/>
      </c>
      <c r="I289" s="56" t="str">
        <f>IFERROR(E289/G289,"")</f>
        <v/>
      </c>
      <c r="J289" s="57" t="str">
        <f>IFERROR(1-(I289/$AC$3),"")</f>
        <v/>
      </c>
      <c r="L289">
        <f>MIN(SEARCH({0,1,2,3,4,5,6,7,8,9},K289&amp;"0123456789"))</f>
        <v>1</v>
      </c>
      <c r="M289" t="str">
        <f>LEFT(RIGHT(K289,LEN(K289)-L289+1),6)</f>
        <v/>
      </c>
      <c r="O289" s="70">
        <f>IFERROR(RIGHT(SUBSTITUTE(N289,"$",CHAR(9),2),LEN(N289)-FIND(CHAR(9),SUBSTITUTE(N289,"$",CHAR(9),2),1) ),N289)</f>
        <v>0</v>
      </c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 t="str">
        <f t="shared" si="10"/>
        <v/>
      </c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</row>
    <row r="290" spans="1:123" hidden="1">
      <c r="B290" s="54" t="str">
        <f>TRIM(MID(SUBSTITUTE(A290," ",REPT(" ",LEN(A290))), (4-1)*LEN(A290)+1, LEN(A290)))</f>
        <v/>
      </c>
      <c r="C290" t="str">
        <f>IFERROR(VLOOKUP(A290,Processor_DB_Intel!$A$1:'Processor_DB_Intel'!$D$494,4,FALSE),"")</f>
        <v/>
      </c>
      <c r="D290" t="str">
        <f>IFERROR(LEFT(VLOOKUP(A290,Processor_DB_Intel!$A$1:'Processor_DB_Intel'!$F$494,6,FALSE),3),"")</f>
        <v/>
      </c>
      <c r="E290" s="73" t="str">
        <f>IF(O290 = 0,"",O290)</f>
        <v/>
      </c>
      <c r="F290" s="56" t="str">
        <f>IFERROR(E290/C290,"")</f>
        <v/>
      </c>
      <c r="G290" t="str">
        <f t="shared" si="12"/>
        <v/>
      </c>
      <c r="H290" t="str">
        <f t="shared" si="11"/>
        <v/>
      </c>
      <c r="I290" s="56" t="str">
        <f>IFERROR(E290/G290,"")</f>
        <v/>
      </c>
      <c r="J290" s="57" t="str">
        <f>IFERROR(1-(I290/$AC$3),"")</f>
        <v/>
      </c>
      <c r="L290">
        <f>MIN(SEARCH({0,1,2,3,4,5,6,7,8,9},K290&amp;"0123456789"))</f>
        <v>1</v>
      </c>
      <c r="M290" t="str">
        <f>LEFT(RIGHT(K290,LEN(K290)-L290+1),6)</f>
        <v/>
      </c>
      <c r="O290" s="70">
        <f>IFERROR(RIGHT(SUBSTITUTE(N290,"$",CHAR(9),2),LEN(N290)-FIND(CHAR(9),SUBSTITUTE(N290,"$",CHAR(9),2),1) ),N290)</f>
        <v>0</v>
      </c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 t="str">
        <f t="shared" si="10"/>
        <v/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</row>
    <row r="291" spans="1:123" hidden="1">
      <c r="B291" s="54" t="str">
        <f>TRIM(MID(SUBSTITUTE(A291," ",REPT(" ",LEN(A291))), (4-1)*LEN(A291)+1, LEN(A291)))</f>
        <v/>
      </c>
      <c r="C291" t="str">
        <f>IFERROR(VLOOKUP(A291,Processor_DB_Intel!$A$1:'Processor_DB_Intel'!$D$494,4,FALSE),"")</f>
        <v/>
      </c>
      <c r="D291" t="str">
        <f>IFERROR(LEFT(VLOOKUP(A291,Processor_DB_Intel!$A$1:'Processor_DB_Intel'!$F$494,6,FALSE),3),"")</f>
        <v/>
      </c>
      <c r="E291" s="73" t="str">
        <f>IF(O291 = 0,"",O291)</f>
        <v/>
      </c>
      <c r="F291" s="56" t="str">
        <f>IFERROR(E291/C291,"")</f>
        <v/>
      </c>
      <c r="G291" t="str">
        <f t="shared" si="12"/>
        <v/>
      </c>
      <c r="H291" t="str">
        <f t="shared" si="11"/>
        <v/>
      </c>
      <c r="I291" s="56" t="str">
        <f>IFERROR(E291/G291,"")</f>
        <v/>
      </c>
      <c r="J291" s="57" t="str">
        <f>IFERROR(1-(I291/$AC$3),"")</f>
        <v/>
      </c>
      <c r="L291">
        <f>MIN(SEARCH({0,1,2,3,4,5,6,7,8,9},K291&amp;"0123456789"))</f>
        <v>1</v>
      </c>
      <c r="M291" t="str">
        <f>LEFT(RIGHT(K291,LEN(K291)-L291+1),6)</f>
        <v/>
      </c>
      <c r="O291" s="70">
        <f>IFERROR(RIGHT(SUBSTITUTE(N291,"$",CHAR(9),2),LEN(N291)-FIND(CHAR(9),SUBSTITUTE(N291,"$",CHAR(9),2),1) ),N291)</f>
        <v>0</v>
      </c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 t="str">
        <f t="shared" si="10"/>
        <v/>
      </c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</row>
    <row r="292" spans="1:123" hidden="1">
      <c r="B292" s="54" t="str">
        <f>TRIM(MID(SUBSTITUTE(A292," ",REPT(" ",LEN(A292))), (4-1)*LEN(A292)+1, LEN(A292)))</f>
        <v/>
      </c>
      <c r="C292" t="str">
        <f>IFERROR(VLOOKUP(A292,Processor_DB_Intel!$A$1:'Processor_DB_Intel'!$D$494,4,FALSE),"")</f>
        <v/>
      </c>
      <c r="D292" t="str">
        <f>IFERROR(LEFT(VLOOKUP(A292,Processor_DB_Intel!$A$1:'Processor_DB_Intel'!$F$494,6,FALSE),3),"")</f>
        <v/>
      </c>
      <c r="E292" s="73" t="str">
        <f>IF(O292 = 0,"",O292)</f>
        <v/>
      </c>
      <c r="F292" s="56" t="str">
        <f>IFERROR(E292/C292,"")</f>
        <v/>
      </c>
      <c r="G292" t="str">
        <f t="shared" si="12"/>
        <v/>
      </c>
      <c r="H292" t="str">
        <f t="shared" si="11"/>
        <v/>
      </c>
      <c r="I292" s="56" t="str">
        <f>IFERROR(E292/G292,"")</f>
        <v/>
      </c>
      <c r="J292" s="57" t="str">
        <f>IFERROR(1-(I292/$AC$3),"")</f>
        <v/>
      </c>
      <c r="L292">
        <f>MIN(SEARCH({0,1,2,3,4,5,6,7,8,9},K292&amp;"0123456789"))</f>
        <v>1</v>
      </c>
      <c r="M292" t="str">
        <f>LEFT(RIGHT(K292,LEN(K292)-L292+1),6)</f>
        <v/>
      </c>
      <c r="O292" s="70">
        <f>IFERROR(RIGHT(SUBSTITUTE(N292,"$",CHAR(9),2),LEN(N292)-FIND(CHAR(9),SUBSTITUTE(N292,"$",CHAR(9),2),1) ),N292)</f>
        <v>0</v>
      </c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 t="str">
        <f t="shared" si="10"/>
        <v/>
      </c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</row>
    <row r="293" spans="1:123" hidden="1">
      <c r="B293" s="54" t="str">
        <f>TRIM(MID(SUBSTITUTE(A293," ",REPT(" ",LEN(A293))), (4-1)*LEN(A293)+1, LEN(A293)))</f>
        <v/>
      </c>
      <c r="C293" t="str">
        <f>IFERROR(VLOOKUP(A293,Processor_DB_Intel!$A$1:'Processor_DB_Intel'!$D$494,4,FALSE),"")</f>
        <v/>
      </c>
      <c r="D293" t="str">
        <f>IFERROR(LEFT(VLOOKUP(A293,Processor_DB_Intel!$A$1:'Processor_DB_Intel'!$F$494,6,FALSE),3),"")</f>
        <v/>
      </c>
      <c r="E293" s="73" t="str">
        <f>IF(O293 = 0,"",O293)</f>
        <v/>
      </c>
      <c r="F293" s="56" t="str">
        <f>IFERROR(E293/C293,"")</f>
        <v/>
      </c>
      <c r="G293" t="str">
        <f t="shared" si="12"/>
        <v/>
      </c>
      <c r="H293" t="str">
        <f t="shared" si="11"/>
        <v/>
      </c>
      <c r="I293" s="56" t="str">
        <f>IFERROR(E293/G293,"")</f>
        <v/>
      </c>
      <c r="J293" s="57" t="str">
        <f>IFERROR(1-(I293/$AC$3),"")</f>
        <v/>
      </c>
      <c r="L293">
        <f>MIN(SEARCH({0,1,2,3,4,5,6,7,8,9},K293&amp;"0123456789"))</f>
        <v>1</v>
      </c>
      <c r="M293" t="str">
        <f>LEFT(RIGHT(K293,LEN(K293)-L293+1),6)</f>
        <v/>
      </c>
      <c r="O293" s="70">
        <f>IFERROR(RIGHT(SUBSTITUTE(N293,"$",CHAR(9),2),LEN(N293)-FIND(CHAR(9),SUBSTITUTE(N293,"$",CHAR(9),2),1) ),N293)</f>
        <v>0</v>
      </c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 t="str">
        <f t="shared" si="10"/>
        <v/>
      </c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</row>
    <row r="294" spans="1:123" hidden="1">
      <c r="B294" s="54" t="str">
        <f>TRIM(MID(SUBSTITUTE(A294," ",REPT(" ",LEN(A294))), (4-1)*LEN(A294)+1, LEN(A294)))</f>
        <v/>
      </c>
      <c r="C294" t="str">
        <f>IFERROR(VLOOKUP(A294,Processor_DB_Intel!$A$1:'Processor_DB_Intel'!$D$494,4,FALSE),"")</f>
        <v/>
      </c>
      <c r="D294" t="str">
        <f>IFERROR(LEFT(VLOOKUP(A294,Processor_DB_Intel!$A$1:'Processor_DB_Intel'!$F$494,6,FALSE),3),"")</f>
        <v/>
      </c>
      <c r="E294" s="73" t="str">
        <f>IF(O294 = 0,"",O294)</f>
        <v/>
      </c>
      <c r="F294" s="56" t="str">
        <f>IFERROR(E294/C294,"")</f>
        <v/>
      </c>
      <c r="G294" t="str">
        <f t="shared" si="12"/>
        <v/>
      </c>
      <c r="H294" t="str">
        <f t="shared" si="11"/>
        <v/>
      </c>
      <c r="I294" s="56" t="str">
        <f>IFERROR(E294/G294,"")</f>
        <v/>
      </c>
      <c r="J294" s="57" t="str">
        <f>IFERROR(1-(I294/$AC$3),"")</f>
        <v/>
      </c>
      <c r="L294">
        <f>MIN(SEARCH({0,1,2,3,4,5,6,7,8,9},K294&amp;"0123456789"))</f>
        <v>1</v>
      </c>
      <c r="M294" t="str">
        <f>LEFT(RIGHT(K294,LEN(K294)-L294+1),6)</f>
        <v/>
      </c>
      <c r="O294" s="70">
        <f>IFERROR(RIGHT(SUBSTITUTE(N294,"$",CHAR(9),2),LEN(N294)-FIND(CHAR(9),SUBSTITUTE(N294,"$",CHAR(9),2),1) ),N294)</f>
        <v>0</v>
      </c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 t="str">
        <f t="shared" si="10"/>
        <v/>
      </c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</row>
    <row r="295" spans="1:123" hidden="1">
      <c r="B295" s="54" t="str">
        <f>TRIM(MID(SUBSTITUTE(A295," ",REPT(" ",LEN(A295))), (4-1)*LEN(A295)+1, LEN(A295)))</f>
        <v/>
      </c>
      <c r="C295" t="str">
        <f>IFERROR(VLOOKUP(A295,Processor_DB_Intel!$A$1:'Processor_DB_Intel'!$D$494,4,FALSE),"")</f>
        <v/>
      </c>
      <c r="D295" t="str">
        <f>IFERROR(LEFT(VLOOKUP(A295,Processor_DB_Intel!$A$1:'Processor_DB_Intel'!$F$494,6,FALSE),3),"")</f>
        <v/>
      </c>
      <c r="E295" s="73" t="str">
        <f>IF(O295 = 0,"",O295)</f>
        <v/>
      </c>
      <c r="F295" s="56" t="str">
        <f>IFERROR(E295/C295,"")</f>
        <v/>
      </c>
      <c r="G295" t="str">
        <f t="shared" si="12"/>
        <v/>
      </c>
      <c r="H295" t="str">
        <f t="shared" si="11"/>
        <v/>
      </c>
      <c r="I295" s="56" t="str">
        <f>IFERROR(E295/G295,"")</f>
        <v/>
      </c>
      <c r="J295" s="57" t="str">
        <f>IFERROR(1-(I295/$AC$3),"")</f>
        <v/>
      </c>
      <c r="L295">
        <f>MIN(SEARCH({0,1,2,3,4,5,6,7,8,9},K295&amp;"0123456789"))</f>
        <v>1</v>
      </c>
      <c r="M295" t="str">
        <f>LEFT(RIGHT(K295,LEN(K295)-L295+1),6)</f>
        <v/>
      </c>
      <c r="O295" s="70">
        <f>IFERROR(RIGHT(SUBSTITUTE(N295,"$",CHAR(9),2),LEN(N295)-FIND(CHAR(9),SUBSTITUTE(N295,"$",CHAR(9),2),1) ),N295)</f>
        <v>0</v>
      </c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 t="str">
        <f t="shared" si="10"/>
        <v/>
      </c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</row>
    <row r="296" spans="1:123" hidden="1">
      <c r="B296" s="54" t="str">
        <f>TRIM(MID(SUBSTITUTE(A296," ",REPT(" ",LEN(A296))), (4-1)*LEN(A296)+1, LEN(A296)))</f>
        <v/>
      </c>
      <c r="C296" t="str">
        <f>IFERROR(VLOOKUP(A296,Processor_DB_Intel!$A$1:'Processor_DB_Intel'!$D$494,4,FALSE),"")</f>
        <v/>
      </c>
      <c r="D296" t="str">
        <f>IFERROR(LEFT(VLOOKUP(A296,Processor_DB_Intel!$A$1:'Processor_DB_Intel'!$F$494,6,FALSE),3),"")</f>
        <v/>
      </c>
      <c r="E296" s="73" t="str">
        <f>IF(O296 = 0,"",O296)</f>
        <v/>
      </c>
      <c r="F296" s="56" t="str">
        <f>IFERROR(E296/C296,"")</f>
        <v/>
      </c>
      <c r="G296" t="str">
        <f t="shared" si="12"/>
        <v/>
      </c>
      <c r="H296" t="str">
        <f t="shared" si="11"/>
        <v/>
      </c>
      <c r="I296" s="56" t="str">
        <f>IFERROR(E296/G296,"")</f>
        <v/>
      </c>
      <c r="J296" s="57" t="str">
        <f>IFERROR(1-(I296/$AC$3),"")</f>
        <v/>
      </c>
      <c r="L296">
        <f>MIN(SEARCH({0,1,2,3,4,5,6,7,8,9},K296&amp;"0123456789"))</f>
        <v>1</v>
      </c>
      <c r="M296" t="str">
        <f>LEFT(RIGHT(K296,LEN(K296)-L296+1),6)</f>
        <v/>
      </c>
      <c r="O296" s="70">
        <f>IFERROR(RIGHT(SUBSTITUTE(N296,"$",CHAR(9),2),LEN(N296)-FIND(CHAR(9),SUBSTITUTE(N296,"$",CHAR(9),2),1) ),N296)</f>
        <v>0</v>
      </c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 t="str">
        <f t="shared" si="10"/>
        <v/>
      </c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</row>
    <row r="297" spans="1:123" hidden="1">
      <c r="B297" s="54" t="str">
        <f>TRIM(MID(SUBSTITUTE(A297," ",REPT(" ",LEN(A297))), (4-1)*LEN(A297)+1, LEN(A297)))</f>
        <v/>
      </c>
      <c r="C297" t="str">
        <f>IFERROR(VLOOKUP(A297,Processor_DB_Intel!$A$1:'Processor_DB_Intel'!$D$494,4,FALSE),"")</f>
        <v/>
      </c>
      <c r="D297" t="str">
        <f>IFERROR(LEFT(VLOOKUP(A297,Processor_DB_Intel!$A$1:'Processor_DB_Intel'!$F$494,6,FALSE),3),"")</f>
        <v/>
      </c>
      <c r="E297" s="73" t="str">
        <f>IF(O297 = 0,"",O297)</f>
        <v/>
      </c>
      <c r="F297" s="56" t="str">
        <f>IFERROR(E297/C297,"")</f>
        <v/>
      </c>
      <c r="G297" t="str">
        <f t="shared" si="12"/>
        <v/>
      </c>
      <c r="H297" t="str">
        <f t="shared" si="11"/>
        <v/>
      </c>
      <c r="I297" s="56" t="str">
        <f>IFERROR(E297/G297,"")</f>
        <v/>
      </c>
      <c r="J297" s="57" t="str">
        <f>IFERROR(1-(I297/$AC$3),"")</f>
        <v/>
      </c>
      <c r="L297">
        <f>MIN(SEARCH({0,1,2,3,4,5,6,7,8,9},K297&amp;"0123456789"))</f>
        <v>1</v>
      </c>
      <c r="M297" t="str">
        <f>LEFT(RIGHT(K297,LEN(K297)-L297+1),6)</f>
        <v/>
      </c>
      <c r="O297" s="70">
        <f>IFERROR(RIGHT(SUBSTITUTE(N297,"$",CHAR(9),2),LEN(N297)-FIND(CHAR(9),SUBSTITUTE(N297,"$",CHAR(9),2),1) ),N297)</f>
        <v>0</v>
      </c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 t="str">
        <f t="shared" si="10"/>
        <v/>
      </c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</row>
    <row r="298" spans="1:123" hidden="1">
      <c r="B298" s="54" t="str">
        <f>TRIM(MID(SUBSTITUTE(A298," ",REPT(" ",LEN(A298))), (4-1)*LEN(A298)+1, LEN(A298)))</f>
        <v/>
      </c>
      <c r="C298" t="str">
        <f>IFERROR(VLOOKUP(A298,Processor_DB_Intel!$A$1:'Processor_DB_Intel'!$D$494,4,FALSE),"")</f>
        <v/>
      </c>
      <c r="D298" t="str">
        <f>IFERROR(LEFT(VLOOKUP(A298,Processor_DB_Intel!$A$1:'Processor_DB_Intel'!$F$494,6,FALSE),3),"")</f>
        <v/>
      </c>
      <c r="E298" s="73" t="str">
        <f>IF(O298 = 0,"",O298)</f>
        <v/>
      </c>
      <c r="F298" s="56" t="str">
        <f>IFERROR(E298/C298,"")</f>
        <v/>
      </c>
      <c r="G298" t="str">
        <f t="shared" si="12"/>
        <v/>
      </c>
      <c r="H298" t="str">
        <f t="shared" si="11"/>
        <v/>
      </c>
      <c r="I298" s="56" t="str">
        <f>IFERROR(E298/G298,"")</f>
        <v/>
      </c>
      <c r="J298" s="57" t="str">
        <f>IFERROR(1-(I298/$AC$3),"")</f>
        <v/>
      </c>
      <c r="L298">
        <f>MIN(SEARCH({0,1,2,3,4,5,6,7,8,9},K298&amp;"0123456789"))</f>
        <v>1</v>
      </c>
      <c r="M298" t="str">
        <f>LEFT(RIGHT(K298,LEN(K298)-L298+1),6)</f>
        <v/>
      </c>
      <c r="O298" s="70">
        <f>IFERROR(RIGHT(SUBSTITUTE(N298,"$",CHAR(9),2),LEN(N298)-FIND(CHAR(9),SUBSTITUTE(N298,"$",CHAR(9),2),1) ),N298)</f>
        <v>0</v>
      </c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 t="str">
        <f t="shared" si="10"/>
        <v/>
      </c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</row>
    <row r="299" spans="1:123" hidden="1">
      <c r="B299" s="54" t="str">
        <f>TRIM(MID(SUBSTITUTE(A299," ",REPT(" ",LEN(A299))), (4-1)*LEN(A299)+1, LEN(A299)))</f>
        <v/>
      </c>
      <c r="C299" t="str">
        <f>IFERROR(VLOOKUP(A299,Processor_DB_Intel!$A$1:'Processor_DB_Intel'!$D$494,4,FALSE),"")</f>
        <v/>
      </c>
      <c r="D299" t="str">
        <f>IFERROR(LEFT(VLOOKUP(A299,Processor_DB_Intel!$A$1:'Processor_DB_Intel'!$F$494,6,FALSE),3),"")</f>
        <v/>
      </c>
      <c r="E299" s="73" t="str">
        <f>IF(O299 = 0,"",O299)</f>
        <v/>
      </c>
      <c r="F299" s="56" t="str">
        <f>IFERROR(E299/C299,"")</f>
        <v/>
      </c>
      <c r="G299" t="str">
        <f t="shared" si="12"/>
        <v/>
      </c>
      <c r="H299" t="str">
        <f t="shared" si="11"/>
        <v/>
      </c>
      <c r="I299" s="56" t="str">
        <f>IFERROR(E299/G299,"")</f>
        <v/>
      </c>
      <c r="J299" s="57" t="str">
        <f>IFERROR(1-(I299/$AC$3),"")</f>
        <v/>
      </c>
      <c r="L299">
        <f>MIN(SEARCH({0,1,2,3,4,5,6,7,8,9},K299&amp;"0123456789"))</f>
        <v>1</v>
      </c>
      <c r="M299" t="str">
        <f>LEFT(RIGHT(K299,LEN(K299)-L299+1),6)</f>
        <v/>
      </c>
      <c r="O299" s="70">
        <f>IFERROR(RIGHT(SUBSTITUTE(N299,"$",CHAR(9),2),LEN(N299)-FIND(CHAR(9),SUBSTITUTE(N299,"$",CHAR(9),2),1) ),N299)</f>
        <v>0</v>
      </c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 t="str">
        <f t="shared" si="10"/>
        <v/>
      </c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</row>
    <row r="300" spans="1:123" hidden="1">
      <c r="B300" s="54" t="str">
        <f>TRIM(MID(SUBSTITUTE(A300," ",REPT(" ",LEN(A300))), (4-1)*LEN(A300)+1, LEN(A300)))</f>
        <v/>
      </c>
      <c r="C300" t="str">
        <f>IFERROR(VLOOKUP(A300,Processor_DB_Intel!$A$1:'Processor_DB_Intel'!$D$494,4,FALSE),"")</f>
        <v/>
      </c>
      <c r="D300" t="str">
        <f>IFERROR(LEFT(VLOOKUP(A300,Processor_DB_Intel!$A$1:'Processor_DB_Intel'!$F$494,6,FALSE),3),"")</f>
        <v/>
      </c>
      <c r="E300" s="73" t="str">
        <f>IF(O300 = 0,"",O300)</f>
        <v/>
      </c>
      <c r="F300" s="56" t="str">
        <f>IFERROR(E300/C300,"")</f>
        <v/>
      </c>
      <c r="G300" t="str">
        <f t="shared" si="12"/>
        <v/>
      </c>
      <c r="H300" t="str">
        <f t="shared" si="11"/>
        <v/>
      </c>
      <c r="I300" s="56" t="str">
        <f>IFERROR(E300/G300,"")</f>
        <v/>
      </c>
      <c r="J300" s="57" t="str">
        <f>IFERROR(1-(I300/$AC$3),"")</f>
        <v/>
      </c>
      <c r="L300">
        <f>MIN(SEARCH({0,1,2,3,4,5,6,7,8,9},K300&amp;"0123456789"))</f>
        <v>1</v>
      </c>
      <c r="M300" t="str">
        <f>LEFT(RIGHT(K300,LEN(K300)-L300+1),6)</f>
        <v/>
      </c>
      <c r="O300" s="70">
        <f>IFERROR(RIGHT(SUBSTITUTE(N300,"$",CHAR(9),2),LEN(N300)-FIND(CHAR(9),SUBSTITUTE(N300,"$",CHAR(9),2),1) ),N300)</f>
        <v>0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 t="str">
        <f t="shared" si="10"/>
        <v/>
      </c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</row>
    <row r="301" spans="1:123">
      <c r="A301" s="1"/>
      <c r="B301" s="118"/>
      <c r="C301" s="1"/>
      <c r="D301" s="1"/>
      <c r="E301" s="119" t="str">
        <f>IF(O301 = 0,"",O301)</f>
        <v/>
      </c>
      <c r="F301" s="59"/>
      <c r="G301" s="1"/>
      <c r="H301" s="1"/>
      <c r="I301" s="59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</row>
    <row r="302" spans="1:123">
      <c r="A302" s="1"/>
      <c r="B302" s="118"/>
      <c r="C302" s="1"/>
      <c r="D302" s="1"/>
      <c r="E302" s="119" t="str">
        <f>IF(O302 = 0,"",O302)</f>
        <v/>
      </c>
      <c r="F302" s="59"/>
      <c r="G302" s="1"/>
      <c r="H302" s="1"/>
      <c r="I302" s="59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</row>
    <row r="303" spans="1:123">
      <c r="A303" s="1"/>
      <c r="B303" s="118"/>
      <c r="C303" s="1"/>
      <c r="D303" s="1"/>
      <c r="E303" s="119" t="str">
        <f>IF(O303 = 0,"",O303)</f>
        <v/>
      </c>
      <c r="F303" s="59"/>
      <c r="G303" s="1"/>
      <c r="H303" s="1"/>
      <c r="I303" s="59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</row>
    <row r="304" spans="1:123">
      <c r="A304" s="1"/>
      <c r="B304" s="118"/>
      <c r="C304" s="1"/>
      <c r="D304" s="1"/>
      <c r="E304" s="119" t="str">
        <f>IF(O304 = 0,"",O304)</f>
        <v/>
      </c>
      <c r="F304" s="59"/>
      <c r="G304" s="1"/>
      <c r="H304" s="1"/>
      <c r="I304" s="59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</row>
    <row r="305" spans="1:123">
      <c r="A305" s="1"/>
      <c r="B305" s="118"/>
      <c r="C305" s="1"/>
      <c r="D305" s="1"/>
      <c r="E305" s="119" t="str">
        <f>IF(O305 = 0,"",O305)</f>
        <v/>
      </c>
      <c r="F305" s="59"/>
      <c r="G305" s="1"/>
      <c r="H305" s="1"/>
      <c r="I305" s="59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</row>
    <row r="306" spans="1:123">
      <c r="A306" s="1"/>
      <c r="B306" s="118"/>
      <c r="C306" s="1"/>
      <c r="D306" s="1"/>
      <c r="E306" s="119" t="str">
        <f>IF(O306 = 0,"",O306)</f>
        <v/>
      </c>
      <c r="F306" s="59"/>
      <c r="G306" s="1"/>
      <c r="H306" s="1"/>
      <c r="I306" s="59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</row>
    <row r="307" spans="1:123">
      <c r="A307" s="1"/>
      <c r="B307" s="118"/>
      <c r="C307" s="1"/>
      <c r="D307" s="1"/>
      <c r="E307" s="119" t="str">
        <f>IF(O307 = 0,"",O307)</f>
        <v/>
      </c>
      <c r="F307" s="59"/>
      <c r="G307" s="1"/>
      <c r="H307" s="1"/>
      <c r="I307" s="59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</row>
    <row r="308" spans="1:123">
      <c r="A308" s="1"/>
      <c r="B308" s="118"/>
      <c r="C308" s="1"/>
      <c r="D308" s="1"/>
      <c r="E308" s="119" t="str">
        <f>IF(O308 = 0,"",O308)</f>
        <v/>
      </c>
      <c r="F308" s="59"/>
      <c r="G308" s="1"/>
      <c r="H308" s="1"/>
      <c r="I308" s="59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</row>
    <row r="309" spans="1:123">
      <c r="A309" s="1"/>
      <c r="B309" s="118"/>
      <c r="C309" s="1"/>
      <c r="D309" s="1"/>
      <c r="E309" s="119" t="str">
        <f>IF(O309 = 0,"",O309)</f>
        <v/>
      </c>
      <c r="F309" s="59"/>
      <c r="G309" s="1"/>
      <c r="H309" s="1"/>
      <c r="I309" s="59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</row>
    <row r="310" spans="1:123">
      <c r="A310" s="1"/>
      <c r="B310" s="118"/>
      <c r="C310" s="1"/>
      <c r="D310" s="1"/>
      <c r="E310" s="119" t="str">
        <f>IF(O310 = 0,"",O310)</f>
        <v/>
      </c>
      <c r="F310" s="59"/>
      <c r="G310" s="1"/>
      <c r="H310" s="1"/>
      <c r="I310" s="59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</row>
    <row r="311" spans="1:123">
      <c r="A311" s="1"/>
      <c r="B311" s="118"/>
      <c r="C311" s="1"/>
      <c r="D311" s="1"/>
      <c r="E311" s="119" t="str">
        <f>IF(O311 = 0,"",O311)</f>
        <v/>
      </c>
      <c r="F311" s="59"/>
      <c r="G311" s="1"/>
      <c r="H311" s="1"/>
      <c r="I311" s="59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</row>
    <row r="312" spans="1:123">
      <c r="A312" s="1"/>
      <c r="B312" s="118"/>
      <c r="C312" s="1"/>
      <c r="D312" s="1"/>
      <c r="E312" s="119" t="str">
        <f>IF(O312 = 0,"",O312)</f>
        <v/>
      </c>
      <c r="F312" s="59"/>
      <c r="G312" s="1"/>
      <c r="H312" s="1"/>
      <c r="I312" s="59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</row>
    <row r="313" spans="1:123">
      <c r="A313" s="1"/>
      <c r="B313" s="118"/>
      <c r="C313" s="1"/>
      <c r="D313" s="1"/>
      <c r="E313" s="119" t="str">
        <f>IF(O313 = 0,"",O313)</f>
        <v/>
      </c>
      <c r="F313" s="59"/>
      <c r="G313" s="1"/>
      <c r="H313" s="1"/>
      <c r="I313" s="59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</row>
    <row r="314" spans="1:123">
      <c r="A314" s="1"/>
      <c r="B314" s="118"/>
      <c r="C314" s="1"/>
      <c r="D314" s="1"/>
      <c r="E314" s="119" t="str">
        <f>IF(O314 = 0,"",O314)</f>
        <v/>
      </c>
      <c r="F314" s="59"/>
      <c r="G314" s="1"/>
      <c r="H314" s="1"/>
      <c r="I314" s="59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</row>
    <row r="315" spans="1:123">
      <c r="A315" s="1"/>
      <c r="B315" s="118"/>
      <c r="C315" s="1"/>
      <c r="D315" s="1"/>
      <c r="E315" s="119" t="str">
        <f>IF(O315 = 0,"",O315)</f>
        <v/>
      </c>
      <c r="F315" s="59"/>
      <c r="G315" s="1"/>
      <c r="H315" s="1"/>
      <c r="I315" s="59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</row>
    <row r="316" spans="1:123">
      <c r="A316" s="1"/>
      <c r="B316" s="118"/>
      <c r="C316" s="1"/>
      <c r="D316" s="1"/>
      <c r="E316" s="119" t="str">
        <f>IF(O316 = 0,"",O316)</f>
        <v/>
      </c>
      <c r="F316" s="59"/>
      <c r="G316" s="1"/>
      <c r="H316" s="1"/>
      <c r="I316" s="59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</row>
    <row r="317" spans="1:123">
      <c r="A317" s="1"/>
      <c r="B317" s="118"/>
      <c r="C317" s="1"/>
      <c r="D317" s="1"/>
      <c r="E317" s="119" t="str">
        <f>IF(O317 = 0,"",O317)</f>
        <v/>
      </c>
      <c r="F317" s="59"/>
      <c r="G317" s="1"/>
      <c r="H317" s="1"/>
      <c r="I317" s="59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</row>
    <row r="318" spans="1:123">
      <c r="A318" s="1"/>
      <c r="B318" s="118"/>
      <c r="C318" s="1"/>
      <c r="D318" s="1"/>
      <c r="E318" s="119" t="str">
        <f>IF(O318 = 0,"",O318)</f>
        <v/>
      </c>
      <c r="F318" s="59"/>
      <c r="G318" s="1"/>
      <c r="H318" s="1"/>
      <c r="I318" s="59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</row>
    <row r="319" spans="1:123">
      <c r="A319" s="1"/>
      <c r="B319" s="118"/>
      <c r="C319" s="1"/>
      <c r="D319" s="1"/>
      <c r="E319" s="119" t="str">
        <f>IF(O319 = 0,"",O319)</f>
        <v/>
      </c>
      <c r="F319" s="59"/>
      <c r="G319" s="1"/>
      <c r="H319" s="1"/>
      <c r="I319" s="59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</row>
    <row r="320" spans="1:123">
      <c r="A320" s="1"/>
      <c r="B320" s="118"/>
      <c r="C320" s="1"/>
      <c r="D320" s="1"/>
      <c r="E320" s="119" t="str">
        <f>IF(O320 = 0,"",O320)</f>
        <v/>
      </c>
      <c r="F320" s="59"/>
      <c r="G320" s="1"/>
      <c r="H320" s="1"/>
      <c r="I320" s="59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</row>
    <row r="321" spans="1:123">
      <c r="A321" s="1"/>
      <c r="B321" s="118"/>
      <c r="C321" s="1"/>
      <c r="D321" s="1"/>
      <c r="E321" s="119" t="str">
        <f>IF(O321 = 0,"",O321)</f>
        <v/>
      </c>
      <c r="F321" s="59"/>
      <c r="G321" s="1"/>
      <c r="H321" s="1"/>
      <c r="I321" s="59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</row>
    <row r="322" spans="1:123">
      <c r="A322" s="1"/>
      <c r="B322" s="118"/>
      <c r="C322" s="1"/>
      <c r="D322" s="1"/>
      <c r="E322" s="119" t="str">
        <f>IF(O322 = 0,"",O322)</f>
        <v/>
      </c>
      <c r="F322" s="59"/>
      <c r="G322" s="1"/>
      <c r="H322" s="1"/>
      <c r="I322" s="59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</row>
    <row r="323" spans="1:123">
      <c r="A323" s="1"/>
      <c r="B323" s="118"/>
      <c r="C323" s="1"/>
      <c r="D323" s="1"/>
      <c r="E323" s="119" t="str">
        <f>IF(O323 = 0,"",O323)</f>
        <v/>
      </c>
      <c r="F323" s="59"/>
      <c r="G323" s="1"/>
      <c r="H323" s="1"/>
      <c r="I323" s="59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</row>
    <row r="324" spans="1:123">
      <c r="A324" s="1"/>
      <c r="B324" s="118"/>
      <c r="C324" s="1"/>
      <c r="D324" s="1"/>
      <c r="E324" s="119" t="str">
        <f>IF(O324 = 0,"",O324)</f>
        <v/>
      </c>
      <c r="F324" s="59"/>
      <c r="G324" s="1"/>
      <c r="H324" s="1"/>
      <c r="I324" s="59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</row>
    <row r="325" spans="1:123">
      <c r="A325" s="1"/>
      <c r="B325" s="118"/>
      <c r="C325" s="1"/>
      <c r="D325" s="1"/>
      <c r="E325" s="119" t="str">
        <f>IF(O325 = 0,"",O325)</f>
        <v/>
      </c>
      <c r="F325" s="59"/>
      <c r="G325" s="1"/>
      <c r="H325" s="1"/>
      <c r="I325" s="59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</row>
    <row r="326" spans="1:123">
      <c r="A326" s="1"/>
      <c r="B326" s="118"/>
      <c r="C326" s="1"/>
      <c r="D326" s="1"/>
      <c r="E326" s="119" t="str">
        <f>IF(O326 = 0,"",O326)</f>
        <v/>
      </c>
      <c r="F326" s="59"/>
      <c r="G326" s="1"/>
      <c r="H326" s="1"/>
      <c r="I326" s="59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</row>
    <row r="327" spans="1:123">
      <c r="A327" s="1"/>
      <c r="B327" s="118"/>
      <c r="C327" s="1"/>
      <c r="D327" s="1"/>
      <c r="E327" s="119" t="str">
        <f>IF(O327 = 0,"",O327)</f>
        <v/>
      </c>
      <c r="F327" s="59"/>
      <c r="G327" s="1"/>
      <c r="H327" s="1"/>
      <c r="I327" s="59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</row>
    <row r="328" spans="1:123">
      <c r="A328" s="1"/>
      <c r="B328" s="118"/>
      <c r="C328" s="1"/>
      <c r="D328" s="1"/>
      <c r="E328" s="119" t="str">
        <f>IF(O328 = 0,"",O328)</f>
        <v/>
      </c>
      <c r="F328" s="59"/>
      <c r="G328" s="1"/>
      <c r="H328" s="1"/>
      <c r="I328" s="59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</row>
    <row r="329" spans="1:123">
      <c r="A329" s="1"/>
      <c r="B329" s="118"/>
      <c r="C329" s="1"/>
      <c r="D329" s="1"/>
      <c r="E329" s="119" t="str">
        <f>IF(O329 = 0,"",O329)</f>
        <v/>
      </c>
      <c r="F329" s="59"/>
      <c r="G329" s="1"/>
      <c r="H329" s="1"/>
      <c r="I329" s="59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</row>
    <row r="330" spans="1:123">
      <c r="A330" s="1"/>
      <c r="B330" s="118"/>
      <c r="C330" s="1"/>
      <c r="D330" s="1"/>
      <c r="E330" s="119" t="str">
        <f>IF(O330 = 0,"",O330)</f>
        <v/>
      </c>
      <c r="F330" s="59"/>
      <c r="G330" s="1"/>
      <c r="H330" s="1"/>
      <c r="I330" s="59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</row>
    <row r="331" spans="1:123">
      <c r="A331" s="1"/>
      <c r="B331" s="118"/>
      <c r="C331" s="1"/>
      <c r="D331" s="1"/>
      <c r="E331" s="119" t="str">
        <f>IF(O331 = 0,"",O331)</f>
        <v/>
      </c>
      <c r="F331" s="59"/>
      <c r="G331" s="1"/>
      <c r="H331" s="1"/>
      <c r="I331" s="59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</row>
    <row r="332" spans="1:123">
      <c r="A332" s="1"/>
      <c r="B332" s="118"/>
      <c r="C332" s="1"/>
      <c r="D332" s="1"/>
      <c r="E332" s="119" t="str">
        <f>IF(O332 = 0,"",O332)</f>
        <v/>
      </c>
      <c r="F332" s="59"/>
      <c r="G332" s="1"/>
      <c r="H332" s="1"/>
      <c r="I332" s="59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</row>
    <row r="333" spans="1:123">
      <c r="A333" s="1"/>
      <c r="B333" s="118"/>
      <c r="C333" s="1"/>
      <c r="D333" s="1"/>
      <c r="E333" s="119" t="str">
        <f>IF(O333 = 0,"",O333)</f>
        <v/>
      </c>
      <c r="F333" s="59"/>
      <c r="G333" s="1"/>
      <c r="H333" s="1"/>
      <c r="I333" s="59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</row>
    <row r="334" spans="1:123">
      <c r="A334" s="1"/>
      <c r="B334" s="118"/>
      <c r="C334" s="1"/>
      <c r="D334" s="1"/>
      <c r="E334" s="119" t="str">
        <f>IF(O334 = 0,"",O334)</f>
        <v/>
      </c>
      <c r="F334" s="59"/>
      <c r="G334" s="1"/>
      <c r="H334" s="1"/>
      <c r="I334" s="59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</row>
    <row r="335" spans="1:123">
      <c r="A335" s="1"/>
      <c r="B335" s="118"/>
      <c r="C335" s="1"/>
      <c r="D335" s="1"/>
      <c r="E335" s="119" t="str">
        <f>IF(O335 = 0,"",O335)</f>
        <v/>
      </c>
      <c r="F335" s="59"/>
      <c r="G335" s="1"/>
      <c r="H335" s="1"/>
      <c r="I335" s="59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</row>
    <row r="336" spans="1:123">
      <c r="A336" s="1"/>
      <c r="B336" s="118"/>
      <c r="C336" s="1"/>
      <c r="D336" s="1"/>
      <c r="E336" s="119" t="str">
        <f>IF(O336 = 0,"",O336)</f>
        <v/>
      </c>
      <c r="F336" s="59"/>
      <c r="G336" s="1"/>
      <c r="H336" s="1"/>
      <c r="I336" s="59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</row>
    <row r="337" spans="1:123">
      <c r="A337" s="1"/>
      <c r="B337" s="118"/>
      <c r="C337" s="1"/>
      <c r="D337" s="1"/>
      <c r="E337" s="119" t="str">
        <f>IF(O337 = 0,"",O337)</f>
        <v/>
      </c>
      <c r="F337" s="59"/>
      <c r="G337" s="1"/>
      <c r="H337" s="1"/>
      <c r="I337" s="59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</row>
    <row r="338" spans="1:123">
      <c r="A338" s="1"/>
      <c r="B338" s="118"/>
      <c r="C338" s="1"/>
      <c r="D338" s="1"/>
      <c r="E338" s="119" t="str">
        <f>IF(O338 = 0,"",O338)</f>
        <v/>
      </c>
      <c r="F338" s="59"/>
      <c r="G338" s="1"/>
      <c r="H338" s="1"/>
      <c r="I338" s="59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</row>
    <row r="339" spans="1:123">
      <c r="A339" s="1"/>
      <c r="B339" s="118"/>
      <c r="C339" s="1"/>
      <c r="D339" s="1"/>
      <c r="E339" s="119" t="str">
        <f>IF(O339 = 0,"",O339)</f>
        <v/>
      </c>
      <c r="F339" s="59"/>
      <c r="G339" s="1"/>
      <c r="H339" s="1"/>
      <c r="I339" s="59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</row>
    <row r="340" spans="1:123">
      <c r="A340" s="1"/>
      <c r="B340" s="118"/>
      <c r="C340" s="1"/>
      <c r="D340" s="1"/>
      <c r="E340" s="119" t="str">
        <f>IF(O340 = 0,"",O340)</f>
        <v/>
      </c>
      <c r="F340" s="59"/>
      <c r="G340" s="1"/>
      <c r="H340" s="1"/>
      <c r="I340" s="59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</row>
    <row r="341" spans="1:123">
      <c r="A341" s="1"/>
      <c r="B341" s="118"/>
      <c r="C341" s="1"/>
      <c r="D341" s="1"/>
      <c r="E341" s="119" t="str">
        <f>IF(O341 = 0,"",O341)</f>
        <v/>
      </c>
      <c r="F341" s="59"/>
      <c r="G341" s="1"/>
      <c r="H341" s="1"/>
      <c r="I341" s="59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</row>
    <row r="342" spans="1:123">
      <c r="A342" s="1"/>
      <c r="B342" s="118"/>
      <c r="C342" s="1"/>
      <c r="D342" s="1"/>
      <c r="E342" s="119" t="str">
        <f>IF(O342 = 0,"",O342)</f>
        <v/>
      </c>
      <c r="F342" s="59"/>
      <c r="G342" s="1"/>
      <c r="H342" s="1"/>
      <c r="I342" s="59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</row>
    <row r="343" spans="1:123">
      <c r="A343" s="1"/>
      <c r="B343" s="118"/>
      <c r="C343" s="1"/>
      <c r="D343" s="1"/>
      <c r="E343" s="119" t="str">
        <f>IF(O343 = 0,"",O343)</f>
        <v/>
      </c>
      <c r="F343" s="59"/>
      <c r="G343" s="1"/>
      <c r="H343" s="1"/>
      <c r="I343" s="59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</row>
    <row r="344" spans="1:123">
      <c r="A344" s="1"/>
      <c r="B344" s="118"/>
      <c r="C344" s="1"/>
      <c r="D344" s="1"/>
      <c r="E344" s="119" t="str">
        <f>IF(O344 = 0,"",O344)</f>
        <v/>
      </c>
      <c r="F344" s="59"/>
      <c r="G344" s="1"/>
      <c r="H344" s="1"/>
      <c r="I344" s="59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</row>
    <row r="345" spans="1:123">
      <c r="A345" s="1"/>
      <c r="B345" s="118"/>
      <c r="C345" s="1"/>
      <c r="D345" s="1"/>
      <c r="E345" s="119" t="str">
        <f>IF(O345 = 0,"",O345)</f>
        <v/>
      </c>
      <c r="F345" s="59"/>
      <c r="G345" s="1"/>
      <c r="H345" s="1"/>
      <c r="I345" s="59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</row>
    <row r="346" spans="1:123">
      <c r="A346" s="1"/>
      <c r="B346" s="118"/>
      <c r="C346" s="1"/>
      <c r="D346" s="1"/>
      <c r="E346" s="119" t="str">
        <f>IF(O346 = 0,"",O346)</f>
        <v/>
      </c>
      <c r="F346" s="59"/>
      <c r="G346" s="1"/>
      <c r="H346" s="1"/>
      <c r="I346" s="59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</row>
    <row r="347" spans="1:123">
      <c r="A347" s="1"/>
      <c r="B347" s="118"/>
      <c r="C347" s="1"/>
      <c r="D347" s="1"/>
      <c r="E347" s="119" t="str">
        <f>IF(O347 = 0,"",O347)</f>
        <v/>
      </c>
      <c r="F347" s="59"/>
      <c r="G347" s="1"/>
      <c r="H347" s="1"/>
      <c r="I347" s="59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</row>
    <row r="348" spans="1:123">
      <c r="A348" s="1"/>
      <c r="B348" s="118"/>
      <c r="C348" s="1"/>
      <c r="D348" s="1"/>
      <c r="E348" s="119" t="str">
        <f>IF(O348 = 0,"",O348)</f>
        <v/>
      </c>
      <c r="F348" s="59"/>
      <c r="G348" s="1"/>
      <c r="H348" s="1"/>
      <c r="I348" s="59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</row>
    <row r="349" spans="1:123">
      <c r="A349" s="1"/>
      <c r="B349" s="118"/>
      <c r="C349" s="1"/>
      <c r="D349" s="1"/>
      <c r="E349" s="119" t="str">
        <f>IF(O349 = 0,"",O349)</f>
        <v/>
      </c>
      <c r="F349" s="59"/>
      <c r="G349" s="1"/>
      <c r="H349" s="1"/>
      <c r="I349" s="59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</row>
    <row r="350" spans="1:123">
      <c r="A350" s="1"/>
      <c r="B350" s="118"/>
      <c r="C350" s="1"/>
      <c r="D350" s="1"/>
      <c r="E350" s="119" t="str">
        <f>IF(O350 = 0,"",O350)</f>
        <v/>
      </c>
      <c r="F350" s="59"/>
      <c r="G350" s="1"/>
      <c r="H350" s="1"/>
      <c r="I350" s="59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</row>
    <row r="351" spans="1:123">
      <c r="A351" s="1"/>
      <c r="B351" s="118"/>
      <c r="C351" s="1"/>
      <c r="D351" s="1"/>
      <c r="E351" s="119" t="str">
        <f>IF(O351 = 0,"",O351)</f>
        <v/>
      </c>
      <c r="F351" s="59"/>
      <c r="G351" s="1"/>
      <c r="H351" s="1"/>
      <c r="I351" s="59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</row>
    <row r="352" spans="1:123">
      <c r="A352" s="1"/>
      <c r="B352" s="118"/>
      <c r="C352" s="1"/>
      <c r="D352" s="1"/>
      <c r="E352" s="119" t="str">
        <f>IF(O352 = 0,"",O352)</f>
        <v/>
      </c>
      <c r="F352" s="59"/>
      <c r="G352" s="1"/>
      <c r="H352" s="1"/>
      <c r="I352" s="59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</row>
    <row r="353" spans="1:123">
      <c r="A353" s="1"/>
      <c r="B353" s="118"/>
      <c r="C353" s="1"/>
      <c r="D353" s="1"/>
      <c r="E353" s="119" t="str">
        <f>IF(O353 = 0,"",O353)</f>
        <v/>
      </c>
      <c r="F353" s="59"/>
      <c r="G353" s="1"/>
      <c r="H353" s="1"/>
      <c r="I353" s="59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</row>
    <row r="354" spans="1:123">
      <c r="A354" s="1"/>
      <c r="B354" s="118"/>
      <c r="C354" s="1"/>
      <c r="D354" s="1"/>
      <c r="E354" s="119" t="str">
        <f>IF(O354 = 0,"",O354)</f>
        <v/>
      </c>
      <c r="F354" s="59"/>
      <c r="G354" s="1"/>
      <c r="H354" s="1"/>
      <c r="I354" s="59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</row>
    <row r="355" spans="1:123">
      <c r="A355" s="1"/>
      <c r="B355" s="118"/>
      <c r="C355" s="1"/>
      <c r="D355" s="1"/>
      <c r="E355" s="119" t="str">
        <f>IF(O355 = 0,"",O355)</f>
        <v/>
      </c>
      <c r="F355" s="59"/>
      <c r="G355" s="1"/>
      <c r="H355" s="1"/>
      <c r="I355" s="59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</row>
    <row r="356" spans="1:123">
      <c r="A356" s="1"/>
      <c r="B356" s="118"/>
      <c r="C356" s="1"/>
      <c r="D356" s="1"/>
      <c r="E356" s="119" t="str">
        <f>IF(O356 = 0,"",O356)</f>
        <v/>
      </c>
      <c r="F356" s="59"/>
      <c r="G356" s="1"/>
      <c r="H356" s="1"/>
      <c r="I356" s="59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</row>
    <row r="357" spans="1:123">
      <c r="A357" s="1"/>
      <c r="B357" s="118"/>
      <c r="C357" s="1"/>
      <c r="D357" s="1"/>
      <c r="E357" s="119" t="str">
        <f>IF(O357 = 0,"",O357)</f>
        <v/>
      </c>
      <c r="F357" s="59"/>
      <c r="G357" s="1"/>
      <c r="H357" s="1"/>
      <c r="I357" s="59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</row>
    <row r="358" spans="1:123">
      <c r="A358" s="1"/>
      <c r="B358" s="118"/>
      <c r="C358" s="1"/>
      <c r="D358" s="1"/>
      <c r="E358" s="119" t="str">
        <f>IF(O358 = 0,"",O358)</f>
        <v/>
      </c>
      <c r="F358" s="59"/>
      <c r="G358" s="1"/>
      <c r="H358" s="1"/>
      <c r="I358" s="59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</row>
    <row r="359" spans="1:123">
      <c r="A359" s="1"/>
      <c r="B359" s="118"/>
      <c r="C359" s="1"/>
      <c r="D359" s="1"/>
      <c r="E359" s="119" t="str">
        <f>IF(O359 = 0,"",O359)</f>
        <v/>
      </c>
      <c r="F359" s="59"/>
      <c r="G359" s="1"/>
      <c r="H359" s="1"/>
      <c r="I359" s="59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</row>
    <row r="360" spans="1:123">
      <c r="A360" s="1"/>
      <c r="B360" s="118"/>
      <c r="C360" s="1"/>
      <c r="D360" s="1"/>
      <c r="E360" s="119" t="str">
        <f>IF(O360 = 0,"",O360)</f>
        <v/>
      </c>
      <c r="F360" s="59"/>
      <c r="G360" s="1"/>
      <c r="H360" s="1"/>
      <c r="I360" s="59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</row>
    <row r="361" spans="1:123">
      <c r="A361" s="1"/>
      <c r="B361" s="118"/>
      <c r="C361" s="1"/>
      <c r="D361" s="1"/>
      <c r="E361" s="119" t="str">
        <f>IF(O361 = 0,"",O361)</f>
        <v/>
      </c>
      <c r="F361" s="59"/>
      <c r="G361" s="1"/>
      <c r="H361" s="1"/>
      <c r="I361" s="59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</row>
    <row r="362" spans="1:123">
      <c r="A362" s="1"/>
      <c r="B362" s="118"/>
      <c r="C362" s="1"/>
      <c r="D362" s="1"/>
      <c r="E362" s="119" t="str">
        <f>IF(O362 = 0,"",O362)</f>
        <v/>
      </c>
      <c r="F362" s="59"/>
      <c r="G362" s="1"/>
      <c r="H362" s="1"/>
      <c r="I362" s="59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</row>
    <row r="363" spans="1:123">
      <c r="A363" s="1"/>
      <c r="B363" s="118"/>
      <c r="C363" s="1"/>
      <c r="D363" s="1"/>
      <c r="E363" s="119" t="str">
        <f>IF(O363 = 0,"",O363)</f>
        <v/>
      </c>
      <c r="F363" s="59"/>
      <c r="G363" s="1"/>
      <c r="H363" s="1"/>
      <c r="I363" s="59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</row>
    <row r="364" spans="1:123">
      <c r="A364" s="1"/>
      <c r="B364" s="118"/>
      <c r="C364" s="1"/>
      <c r="D364" s="1"/>
      <c r="E364" s="119" t="str">
        <f>IF(O364 = 0,"",O364)</f>
        <v/>
      </c>
      <c r="F364" s="59"/>
      <c r="G364" s="1"/>
      <c r="H364" s="1"/>
      <c r="I364" s="59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</row>
    <row r="365" spans="1:123">
      <c r="A365" s="1"/>
      <c r="B365" s="118"/>
      <c r="C365" s="1"/>
      <c r="D365" s="1"/>
      <c r="E365" s="119" t="str">
        <f>IF(O365 = 0,"",O365)</f>
        <v/>
      </c>
      <c r="F365" s="59"/>
      <c r="G365" s="1"/>
      <c r="H365" s="1"/>
      <c r="I365" s="59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</row>
    <row r="366" spans="1:123">
      <c r="A366" s="1"/>
      <c r="B366" s="118"/>
      <c r="C366" s="1"/>
      <c r="D366" s="1"/>
      <c r="E366" s="119" t="str">
        <f>IF(O366 = 0,"",O366)</f>
        <v/>
      </c>
      <c r="F366" s="59"/>
      <c r="G366" s="1"/>
      <c r="H366" s="1"/>
      <c r="I366" s="59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</row>
    <row r="367" spans="1:123">
      <c r="A367" s="1"/>
      <c r="B367" s="118"/>
      <c r="C367" s="1"/>
      <c r="D367" s="1"/>
      <c r="E367" s="119" t="str">
        <f>IF(O367 = 0,"",O367)</f>
        <v/>
      </c>
      <c r="F367" s="59"/>
      <c r="G367" s="1"/>
      <c r="H367" s="1"/>
      <c r="I367" s="59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</row>
    <row r="368" spans="1:123">
      <c r="A368" s="1"/>
      <c r="B368" s="118"/>
      <c r="C368" s="1"/>
      <c r="D368" s="1"/>
      <c r="E368" s="119" t="str">
        <f>IF(O368 = 0,"",O368)</f>
        <v/>
      </c>
      <c r="F368" s="59"/>
      <c r="G368" s="1"/>
      <c r="H368" s="1"/>
      <c r="I368" s="59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</row>
    <row r="369" spans="1:123">
      <c r="A369" s="1"/>
      <c r="B369" s="118"/>
      <c r="C369" s="1"/>
      <c r="D369" s="1"/>
      <c r="E369" s="119" t="str">
        <f>IF(O369 = 0,"",O369)</f>
        <v/>
      </c>
      <c r="F369" s="59"/>
      <c r="G369" s="1"/>
      <c r="H369" s="1"/>
      <c r="I369" s="59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</row>
    <row r="370" spans="1:123">
      <c r="A370" s="1"/>
      <c r="B370" s="118"/>
      <c r="C370" s="1"/>
      <c r="D370" s="1"/>
      <c r="E370" s="119" t="str">
        <f>IF(O370 = 0,"",O370)</f>
        <v/>
      </c>
      <c r="F370" s="59"/>
      <c r="G370" s="1"/>
      <c r="H370" s="1"/>
      <c r="I370" s="59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</row>
    <row r="371" spans="1:123">
      <c r="A371" s="1"/>
      <c r="B371" s="118"/>
      <c r="C371" s="1"/>
      <c r="D371" s="1"/>
      <c r="E371" s="119" t="str">
        <f>IF(O371 = 0,"",O371)</f>
        <v/>
      </c>
      <c r="F371" s="59"/>
      <c r="G371" s="1"/>
      <c r="H371" s="1"/>
      <c r="I371" s="59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</row>
    <row r="372" spans="1:123">
      <c r="A372" s="1"/>
      <c r="B372" s="118"/>
      <c r="C372" s="1"/>
      <c r="D372" s="1"/>
      <c r="E372" s="119" t="str">
        <f>IF(O372 = 0,"",O372)</f>
        <v/>
      </c>
      <c r="F372" s="59"/>
      <c r="G372" s="1"/>
      <c r="H372" s="1"/>
      <c r="I372" s="59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</row>
    <row r="373" spans="1:123">
      <c r="A373" s="1"/>
      <c r="B373" s="118"/>
      <c r="C373" s="1"/>
      <c r="D373" s="1"/>
      <c r="E373" s="119" t="str">
        <f>IF(O373 = 0,"",O373)</f>
        <v/>
      </c>
      <c r="F373" s="59"/>
      <c r="G373" s="1"/>
      <c r="H373" s="1"/>
      <c r="I373" s="59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</row>
    <row r="374" spans="1:123">
      <c r="A374" s="1"/>
      <c r="B374" s="118"/>
      <c r="C374" s="1"/>
      <c r="D374" s="1"/>
      <c r="E374" s="119" t="str">
        <f>IF(O374 = 0,"",O374)</f>
        <v/>
      </c>
      <c r="F374" s="59"/>
      <c r="G374" s="1"/>
      <c r="H374" s="1"/>
      <c r="I374" s="59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</row>
    <row r="375" spans="1:123">
      <c r="A375" s="1"/>
      <c r="B375" s="118"/>
      <c r="C375" s="1"/>
      <c r="D375" s="1"/>
      <c r="E375" s="119" t="str">
        <f>IF(O375 = 0,"",O375)</f>
        <v/>
      </c>
      <c r="F375" s="59"/>
      <c r="G375" s="1"/>
      <c r="H375" s="1"/>
      <c r="I375" s="59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</row>
    <row r="376" spans="1:123">
      <c r="A376" s="1"/>
      <c r="B376" s="118"/>
      <c r="C376" s="1"/>
      <c r="D376" s="1"/>
      <c r="E376" s="119" t="str">
        <f>IF(O376 = 0,"",O376)</f>
        <v/>
      </c>
      <c r="F376" s="59"/>
      <c r="G376" s="1"/>
      <c r="H376" s="1"/>
      <c r="I376" s="59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</row>
    <row r="377" spans="1:123">
      <c r="A377" s="1"/>
      <c r="B377" s="118"/>
      <c r="C377" s="1"/>
      <c r="D377" s="1"/>
      <c r="E377" s="119" t="str">
        <f>IF(O377 = 0,"",O377)</f>
        <v/>
      </c>
      <c r="F377" s="59"/>
      <c r="G377" s="1"/>
      <c r="H377" s="1"/>
      <c r="I377" s="59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</row>
    <row r="378" spans="1:123">
      <c r="A378" s="1"/>
      <c r="B378" s="118"/>
      <c r="C378" s="1"/>
      <c r="D378" s="1"/>
      <c r="E378" s="119" t="str">
        <f>IF(O378 = 0,"",O378)</f>
        <v/>
      </c>
      <c r="F378" s="59"/>
      <c r="G378" s="1"/>
      <c r="H378" s="1"/>
      <c r="I378" s="59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</row>
    <row r="379" spans="1:123">
      <c r="A379" s="1"/>
      <c r="B379" s="118"/>
      <c r="C379" s="1"/>
      <c r="D379" s="1"/>
      <c r="E379" s="119" t="str">
        <f>IF(O379 = 0,"",O379)</f>
        <v/>
      </c>
      <c r="F379" s="59"/>
      <c r="G379" s="1"/>
      <c r="H379" s="1"/>
      <c r="I379" s="59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</row>
    <row r="380" spans="1:123">
      <c r="A380" s="1"/>
      <c r="B380" s="118"/>
      <c r="C380" s="1"/>
      <c r="D380" s="1"/>
      <c r="E380" s="119" t="str">
        <f>IF(O380 = 0,"",O380)</f>
        <v/>
      </c>
      <c r="F380" s="59"/>
      <c r="G380" s="1"/>
      <c r="H380" s="1"/>
      <c r="I380" s="59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</row>
    <row r="381" spans="1:123">
      <c r="A381" s="1"/>
      <c r="B381" s="118"/>
      <c r="C381" s="1"/>
      <c r="D381" s="1"/>
      <c r="E381" s="119" t="str">
        <f>IF(O381 = 0,"",O381)</f>
        <v/>
      </c>
      <c r="F381" s="59"/>
      <c r="G381" s="1"/>
      <c r="H381" s="1"/>
      <c r="I381" s="59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</row>
    <row r="382" spans="1:123">
      <c r="A382" s="1"/>
      <c r="B382" s="118"/>
      <c r="C382" s="1"/>
      <c r="D382" s="1"/>
      <c r="E382" s="119" t="str">
        <f>IF(O382 = 0,"",O382)</f>
        <v/>
      </c>
      <c r="F382" s="59"/>
      <c r="G382" s="1"/>
      <c r="H382" s="1"/>
      <c r="I382" s="59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</row>
    <row r="383" spans="1:123">
      <c r="A383" s="1"/>
      <c r="B383" s="118"/>
      <c r="C383" s="1"/>
      <c r="D383" s="1"/>
      <c r="E383" s="119" t="str">
        <f>IF(O383 = 0,"",O383)</f>
        <v/>
      </c>
      <c r="F383" s="59"/>
      <c r="G383" s="1"/>
      <c r="H383" s="1"/>
      <c r="I383" s="59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</row>
    <row r="384" spans="1:123">
      <c r="A384" s="1"/>
      <c r="B384" s="118"/>
      <c r="C384" s="1"/>
      <c r="D384" s="1"/>
      <c r="E384" s="119" t="str">
        <f>IF(O384 = 0,"",O384)</f>
        <v/>
      </c>
      <c r="F384" s="59"/>
      <c r="G384" s="1"/>
      <c r="H384" s="1"/>
      <c r="I384" s="59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</row>
    <row r="385" spans="1:123">
      <c r="A385" s="1"/>
      <c r="B385" s="118"/>
      <c r="C385" s="1"/>
      <c r="D385" s="1"/>
      <c r="E385" s="119" t="str">
        <f>IF(O385 = 0,"",O385)</f>
        <v/>
      </c>
      <c r="F385" s="59"/>
      <c r="G385" s="1"/>
      <c r="H385" s="1"/>
      <c r="I385" s="59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</row>
    <row r="386" spans="1:123">
      <c r="A386" s="1"/>
      <c r="B386" s="118"/>
      <c r="C386" s="1"/>
      <c r="D386" s="1"/>
      <c r="E386" s="119" t="str">
        <f>IF(O386 = 0,"",O386)</f>
        <v/>
      </c>
      <c r="F386" s="59"/>
      <c r="G386" s="1"/>
      <c r="H386" s="1"/>
      <c r="I386" s="59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</row>
    <row r="387" spans="1:123">
      <c r="A387" s="1"/>
      <c r="B387" s="118"/>
      <c r="C387" s="1"/>
      <c r="D387" s="1"/>
      <c r="E387" s="119" t="str">
        <f>IF(O387 = 0,"",O387)</f>
        <v/>
      </c>
      <c r="F387" s="59"/>
      <c r="G387" s="1"/>
      <c r="H387" s="1"/>
      <c r="I387" s="59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</row>
    <row r="388" spans="1:123">
      <c r="A388" s="1"/>
      <c r="B388" s="118"/>
      <c r="C388" s="1"/>
      <c r="D388" s="1"/>
      <c r="E388" s="119" t="str">
        <f>IF(O388 = 0,"",O388)</f>
        <v/>
      </c>
      <c r="F388" s="59"/>
      <c r="G388" s="1"/>
      <c r="H388" s="1"/>
      <c r="I388" s="59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</row>
    <row r="389" spans="1:123">
      <c r="A389" s="1"/>
      <c r="B389" s="118"/>
      <c r="C389" s="1"/>
      <c r="D389" s="1"/>
      <c r="E389" s="119" t="str">
        <f>IF(O389 = 0,"",O389)</f>
        <v/>
      </c>
      <c r="F389" s="59"/>
      <c r="G389" s="1"/>
      <c r="H389" s="1"/>
      <c r="I389" s="59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</row>
    <row r="390" spans="1:123">
      <c r="A390" s="1"/>
      <c r="B390" s="118"/>
      <c r="C390" s="1"/>
      <c r="D390" s="1"/>
      <c r="E390" s="119" t="str">
        <f>IF(O390 = 0,"",O390)</f>
        <v/>
      </c>
      <c r="F390" s="59"/>
      <c r="G390" s="1"/>
      <c r="H390" s="1"/>
      <c r="I390" s="59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</row>
    <row r="391" spans="1:123">
      <c r="A391" s="1"/>
      <c r="B391" s="118"/>
      <c r="C391" s="1"/>
      <c r="D391" s="1"/>
      <c r="E391" s="119" t="str">
        <f>IF(O391 = 0,"",O391)</f>
        <v/>
      </c>
      <c r="F391" s="59"/>
      <c r="G391" s="1"/>
      <c r="H391" s="1"/>
      <c r="I391" s="59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</row>
    <row r="392" spans="1:123">
      <c r="A392" s="1"/>
      <c r="B392" s="118"/>
      <c r="C392" s="1"/>
      <c r="D392" s="1"/>
      <c r="E392" s="119" t="str">
        <f>IF(O392 = 0,"",O392)</f>
        <v/>
      </c>
      <c r="F392" s="59"/>
      <c r="G392" s="1"/>
      <c r="H392" s="1"/>
      <c r="I392" s="59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</row>
    <row r="393" spans="1:123">
      <c r="A393" s="1"/>
      <c r="B393" s="118"/>
      <c r="C393" s="1"/>
      <c r="D393" s="1"/>
      <c r="E393" s="119" t="str">
        <f>IF(O393 = 0,"",O393)</f>
        <v/>
      </c>
      <c r="F393" s="59"/>
      <c r="G393" s="1"/>
      <c r="H393" s="1"/>
      <c r="I393" s="59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</row>
    <row r="394" spans="1:123">
      <c r="A394" s="1"/>
      <c r="B394" s="118"/>
      <c r="C394" s="1"/>
      <c r="D394" s="1"/>
      <c r="E394" s="119" t="str">
        <f>IF(O394 = 0,"",O394)</f>
        <v/>
      </c>
      <c r="F394" s="59"/>
      <c r="G394" s="1"/>
      <c r="H394" s="1"/>
      <c r="I394" s="59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</row>
    <row r="395" spans="1:123">
      <c r="A395" s="1"/>
      <c r="B395" s="118"/>
      <c r="C395" s="1"/>
      <c r="D395" s="1"/>
      <c r="E395" s="119" t="str">
        <f>IF(O395 = 0,"",O395)</f>
        <v/>
      </c>
      <c r="F395" s="59"/>
      <c r="G395" s="1"/>
      <c r="H395" s="1"/>
      <c r="I395" s="59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</row>
    <row r="396" spans="1:123">
      <c r="A396" s="1"/>
      <c r="B396" s="118"/>
      <c r="C396" s="1"/>
      <c r="D396" s="1"/>
      <c r="E396" s="119" t="str">
        <f>IF(O396 = 0,"",O396)</f>
        <v/>
      </c>
      <c r="F396" s="59"/>
      <c r="G396" s="1"/>
      <c r="H396" s="1"/>
      <c r="I396" s="59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</row>
    <row r="397" spans="1:123">
      <c r="A397" s="1"/>
      <c r="B397" s="118"/>
      <c r="C397" s="1"/>
      <c r="D397" s="1"/>
      <c r="E397" s="119" t="str">
        <f>IF(O397 = 0,"",O397)</f>
        <v/>
      </c>
      <c r="F397" s="59"/>
      <c r="G397" s="1"/>
      <c r="H397" s="1"/>
      <c r="I397" s="59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</row>
    <row r="398" spans="1:123">
      <c r="A398" s="1"/>
      <c r="B398" s="118"/>
      <c r="C398" s="1"/>
      <c r="D398" s="1"/>
      <c r="E398" s="119" t="str">
        <f>IF(O398 = 0,"",O398)</f>
        <v/>
      </c>
      <c r="F398" s="59"/>
      <c r="G398" s="1"/>
      <c r="H398" s="1"/>
      <c r="I398" s="59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</row>
    <row r="399" spans="1:123">
      <c r="A399" s="1"/>
      <c r="B399" s="118"/>
      <c r="C399" s="1"/>
      <c r="D399" s="1"/>
      <c r="E399" s="119" t="str">
        <f>IF(O399 = 0,"",O399)</f>
        <v/>
      </c>
      <c r="F399" s="59"/>
      <c r="G399" s="1"/>
      <c r="H399" s="1"/>
      <c r="I399" s="59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</row>
    <row r="400" spans="1:123">
      <c r="A400" s="1"/>
      <c r="B400" s="118"/>
      <c r="C400" s="1"/>
      <c r="D400" s="1"/>
      <c r="E400" s="119" t="str">
        <f>IF(O400 = 0,"",O400)</f>
        <v/>
      </c>
      <c r="F400" s="59"/>
      <c r="G400" s="1"/>
      <c r="H400" s="1"/>
      <c r="I400" s="59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</row>
    <row r="401" spans="1:123">
      <c r="A401" s="1"/>
      <c r="B401" s="118"/>
      <c r="C401" s="1"/>
      <c r="D401" s="1"/>
      <c r="E401" s="119" t="str">
        <f>IF(O401 = 0,"",O401)</f>
        <v/>
      </c>
      <c r="F401" s="59"/>
      <c r="G401" s="1"/>
      <c r="H401" s="1"/>
      <c r="I401" s="59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</row>
    <row r="402" spans="1:123">
      <c r="A402" s="1"/>
      <c r="B402" s="118"/>
      <c r="C402" s="1"/>
      <c r="D402" s="1"/>
      <c r="E402" s="119" t="str">
        <f>IF(O402 = 0,"",O402)</f>
        <v/>
      </c>
      <c r="F402" s="59"/>
      <c r="G402" s="1"/>
      <c r="H402" s="1"/>
      <c r="I402" s="59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</row>
    <row r="403" spans="1:123">
      <c r="A403" s="1"/>
      <c r="B403" s="118"/>
      <c r="C403" s="1"/>
      <c r="D403" s="1"/>
      <c r="E403" s="119" t="str">
        <f>IF(O403 = 0,"",O403)</f>
        <v/>
      </c>
      <c r="F403" s="59"/>
      <c r="G403" s="1"/>
      <c r="H403" s="1"/>
      <c r="I403" s="59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</row>
    <row r="404" spans="1:123">
      <c r="A404" s="1"/>
      <c r="B404" s="118"/>
      <c r="C404" s="1"/>
      <c r="D404" s="1"/>
      <c r="E404" s="119" t="str">
        <f>IF(O404 = 0,"",O404)</f>
        <v/>
      </c>
      <c r="F404" s="59"/>
      <c r="G404" s="1"/>
      <c r="H404" s="1"/>
      <c r="I404" s="59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</row>
    <row r="405" spans="1:123">
      <c r="A405" s="1"/>
      <c r="B405" s="118"/>
      <c r="C405" s="1"/>
      <c r="D405" s="1"/>
      <c r="E405" s="119" t="str">
        <f>IF(O405 = 0,"",O405)</f>
        <v/>
      </c>
      <c r="F405" s="59"/>
      <c r="G405" s="1"/>
      <c r="H405" s="1"/>
      <c r="I405" s="59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</row>
    <row r="406" spans="1:123">
      <c r="A406" s="1"/>
      <c r="B406" s="118"/>
      <c r="C406" s="1"/>
      <c r="D406" s="1"/>
      <c r="E406" s="119" t="str">
        <f>IF(O406 = 0,"",O406)</f>
        <v/>
      </c>
      <c r="F406" s="59"/>
      <c r="G406" s="1"/>
      <c r="H406" s="1"/>
      <c r="I406" s="59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</row>
    <row r="407" spans="1:123">
      <c r="A407" s="1"/>
      <c r="B407" s="118"/>
      <c r="C407" s="1"/>
      <c r="D407" s="1"/>
      <c r="E407" s="119" t="str">
        <f>IF(O407 = 0,"",O407)</f>
        <v/>
      </c>
      <c r="F407" s="59"/>
      <c r="G407" s="1"/>
      <c r="H407" s="1"/>
      <c r="I407" s="59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</row>
    <row r="408" spans="1:123">
      <c r="A408" s="1"/>
      <c r="B408" s="118"/>
      <c r="C408" s="1"/>
      <c r="D408" s="1"/>
      <c r="E408" s="119" t="str">
        <f>IF(O408 = 0,"",O408)</f>
        <v/>
      </c>
      <c r="F408" s="59"/>
      <c r="G408" s="1"/>
      <c r="H408" s="1"/>
      <c r="I408" s="59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</row>
    <row r="409" spans="1:123">
      <c r="A409" s="1"/>
      <c r="B409" s="118"/>
      <c r="C409" s="1"/>
      <c r="D409" s="1"/>
      <c r="E409" s="119" t="str">
        <f>IF(O409 = 0,"",O409)</f>
        <v/>
      </c>
      <c r="F409" s="59"/>
      <c r="G409" s="1"/>
      <c r="H409" s="1"/>
      <c r="I409" s="59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</row>
    <row r="410" spans="1:123">
      <c r="A410" s="1"/>
      <c r="B410" s="118"/>
      <c r="C410" s="1"/>
      <c r="D410" s="1"/>
      <c r="E410" s="119" t="str">
        <f>IF(O410 = 0,"",O410)</f>
        <v/>
      </c>
      <c r="F410" s="59"/>
      <c r="G410" s="1"/>
      <c r="H410" s="1"/>
      <c r="I410" s="59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</row>
    <row r="411" spans="1:123">
      <c r="A411" s="1"/>
      <c r="B411" s="118"/>
      <c r="C411" s="1"/>
      <c r="D411" s="1"/>
      <c r="E411" s="119" t="str">
        <f>IF(O411 = 0,"",O411)</f>
        <v/>
      </c>
      <c r="F411" s="59"/>
      <c r="G411" s="1"/>
      <c r="H411" s="1"/>
      <c r="I411" s="59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</row>
    <row r="412" spans="1:123">
      <c r="A412" s="1"/>
      <c r="B412" s="118"/>
      <c r="C412" s="1"/>
      <c r="D412" s="1"/>
      <c r="E412" s="119" t="str">
        <f>IF(O412 = 0,"",O412)</f>
        <v/>
      </c>
      <c r="F412" s="59"/>
      <c r="G412" s="1"/>
      <c r="H412" s="1"/>
      <c r="I412" s="59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</row>
    <row r="413" spans="1:123">
      <c r="A413" s="1"/>
      <c r="B413" s="118"/>
      <c r="C413" s="1"/>
      <c r="D413" s="1"/>
      <c r="E413" s="119" t="str">
        <f>IF(O413 = 0,"",O413)</f>
        <v/>
      </c>
      <c r="F413" s="59"/>
      <c r="G413" s="1"/>
      <c r="H413" s="1"/>
      <c r="I413" s="59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</row>
    <row r="414" spans="1:123">
      <c r="A414" s="1"/>
      <c r="B414" s="118"/>
      <c r="C414" s="1"/>
      <c r="D414" s="1"/>
      <c r="E414" s="119" t="str">
        <f>IF(O414 = 0,"",O414)</f>
        <v/>
      </c>
      <c r="F414" s="59"/>
      <c r="G414" s="1"/>
      <c r="H414" s="1"/>
      <c r="I414" s="59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</row>
    <row r="415" spans="1:123">
      <c r="A415" s="1"/>
      <c r="B415" s="118"/>
      <c r="C415" s="1"/>
      <c r="D415" s="1"/>
      <c r="E415" s="119" t="str">
        <f>IF(O415 = 0,"",O415)</f>
        <v/>
      </c>
      <c r="F415" s="59"/>
      <c r="G415" s="1"/>
      <c r="H415" s="1"/>
      <c r="I415" s="59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</row>
    <row r="416" spans="1:123">
      <c r="A416" s="1"/>
      <c r="B416" s="118"/>
      <c r="C416" s="1"/>
      <c r="D416" s="1"/>
      <c r="E416" s="119" t="str">
        <f>IF(O416 = 0,"",O416)</f>
        <v/>
      </c>
      <c r="F416" s="59"/>
      <c r="G416" s="1"/>
      <c r="H416" s="1"/>
      <c r="I416" s="59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</row>
    <row r="417" spans="1:123">
      <c r="A417" s="1"/>
      <c r="B417" s="118"/>
      <c r="C417" s="1"/>
      <c r="D417" s="1"/>
      <c r="E417" s="119" t="str">
        <f>IF(O417 = 0,"",O417)</f>
        <v/>
      </c>
      <c r="F417" s="59"/>
      <c r="G417" s="1"/>
      <c r="H417" s="1"/>
      <c r="I417" s="59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</row>
    <row r="418" spans="1:123">
      <c r="A418" s="1"/>
      <c r="B418" s="118"/>
      <c r="C418" s="1"/>
      <c r="D418" s="1"/>
      <c r="E418" s="119" t="str">
        <f>IF(O418 = 0,"",O418)</f>
        <v/>
      </c>
      <c r="F418" s="59"/>
      <c r="G418" s="1"/>
      <c r="H418" s="1"/>
      <c r="I418" s="59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</row>
    <row r="419" spans="1:123">
      <c r="A419" s="1"/>
      <c r="B419" s="118"/>
      <c r="C419" s="1"/>
      <c r="D419" s="1"/>
      <c r="E419" s="119" t="str">
        <f>IF(O419 = 0,"",O419)</f>
        <v/>
      </c>
      <c r="F419" s="59"/>
      <c r="G419" s="1"/>
      <c r="H419" s="1"/>
      <c r="I419" s="59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</row>
    <row r="420" spans="1:123">
      <c r="A420" s="1"/>
      <c r="B420" s="118"/>
      <c r="C420" s="1"/>
      <c r="D420" s="1"/>
      <c r="E420" s="119" t="str">
        <f>IF(O420 = 0,"",O420)</f>
        <v/>
      </c>
      <c r="F420" s="59"/>
      <c r="G420" s="1"/>
      <c r="H420" s="1"/>
      <c r="I420" s="59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</row>
    <row r="421" spans="1:123">
      <c r="A421" s="1"/>
      <c r="B421" s="118"/>
      <c r="C421" s="1"/>
      <c r="D421" s="1"/>
      <c r="E421" s="119" t="str">
        <f>IF(O421 = 0,"",O421)</f>
        <v/>
      </c>
      <c r="F421" s="59"/>
      <c r="G421" s="1"/>
      <c r="H421" s="1"/>
      <c r="I421" s="59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</row>
    <row r="422" spans="1:123">
      <c r="A422" s="1"/>
      <c r="B422" s="118"/>
      <c r="C422" s="1"/>
      <c r="D422" s="1"/>
      <c r="E422" s="119" t="str">
        <f>IF(O422 = 0,"",O422)</f>
        <v/>
      </c>
      <c r="F422" s="59"/>
      <c r="G422" s="1"/>
      <c r="H422" s="1"/>
      <c r="I422" s="59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</row>
    <row r="423" spans="1:123">
      <c r="A423" s="1"/>
      <c r="B423" s="118"/>
      <c r="C423" s="1"/>
      <c r="D423" s="1"/>
      <c r="E423" s="119" t="str">
        <f>IF(O423 = 0,"",O423)</f>
        <v/>
      </c>
      <c r="F423" s="59"/>
      <c r="G423" s="1"/>
      <c r="H423" s="1"/>
      <c r="I423" s="59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</row>
    <row r="424" spans="1:123">
      <c r="A424" s="1"/>
      <c r="B424" s="118"/>
      <c r="C424" s="1"/>
      <c r="D424" s="1"/>
      <c r="E424" s="119" t="str">
        <f>IF(O424 = 0,"",O424)</f>
        <v/>
      </c>
      <c r="F424" s="59"/>
      <c r="G424" s="1"/>
      <c r="H424" s="1"/>
      <c r="I424" s="59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</row>
    <row r="425" spans="1:123">
      <c r="A425" s="1"/>
      <c r="B425" s="118"/>
      <c r="C425" s="1"/>
      <c r="D425" s="1"/>
      <c r="E425" s="119" t="str">
        <f>IF(O425 = 0,"",O425)</f>
        <v/>
      </c>
      <c r="F425" s="59"/>
      <c r="G425" s="1"/>
      <c r="H425" s="1"/>
      <c r="I425" s="59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</row>
    <row r="426" spans="1:123">
      <c r="A426" s="1"/>
      <c r="B426" s="118"/>
      <c r="C426" s="1"/>
      <c r="D426" s="1"/>
      <c r="E426" s="119" t="str">
        <f>IF(O426 = 0,"",O426)</f>
        <v/>
      </c>
      <c r="F426" s="59"/>
      <c r="G426" s="1"/>
      <c r="H426" s="1"/>
      <c r="I426" s="59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</row>
    <row r="427" spans="1:123">
      <c r="A427" s="1"/>
      <c r="B427" s="118"/>
      <c r="C427" s="1"/>
      <c r="D427" s="1"/>
      <c r="E427" s="119" t="str">
        <f>IF(O427 = 0,"",O427)</f>
        <v/>
      </c>
      <c r="F427" s="59"/>
      <c r="G427" s="1"/>
      <c r="H427" s="1"/>
      <c r="I427" s="59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</row>
    <row r="428" spans="1:123">
      <c r="A428" s="1"/>
      <c r="B428" s="118"/>
      <c r="C428" s="1"/>
      <c r="D428" s="1"/>
      <c r="E428" s="119" t="str">
        <f>IF(O428 = 0,"",O428)</f>
        <v/>
      </c>
      <c r="F428" s="59"/>
      <c r="G428" s="1"/>
      <c r="H428" s="1"/>
      <c r="I428" s="59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</row>
    <row r="429" spans="1:123">
      <c r="A429" s="1"/>
      <c r="B429" s="118"/>
      <c r="C429" s="1"/>
      <c r="D429" s="1"/>
      <c r="E429" s="119" t="str">
        <f>IF(O429 = 0,"",O429)</f>
        <v/>
      </c>
      <c r="F429" s="59"/>
      <c r="G429" s="1"/>
      <c r="H429" s="1"/>
      <c r="I429" s="59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</row>
    <row r="430" spans="1:123">
      <c r="A430" s="1"/>
      <c r="B430" s="118"/>
      <c r="C430" s="1"/>
      <c r="D430" s="1"/>
      <c r="E430" s="119" t="str">
        <f>IF(O430 = 0,"",O430)</f>
        <v/>
      </c>
      <c r="F430" s="59"/>
      <c r="G430" s="1"/>
      <c r="H430" s="1"/>
      <c r="I430" s="59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</row>
    <row r="431" spans="1:123">
      <c r="A431" s="1"/>
      <c r="B431" s="118"/>
      <c r="C431" s="1"/>
      <c r="D431" s="1"/>
      <c r="E431" s="119" t="str">
        <f>IF(O431 = 0,"",O431)</f>
        <v/>
      </c>
      <c r="F431" s="59"/>
      <c r="G431" s="1"/>
      <c r="H431" s="1"/>
      <c r="I431" s="59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</row>
    <row r="432" spans="1:123">
      <c r="A432" s="1"/>
      <c r="B432" s="118"/>
      <c r="C432" s="1"/>
      <c r="D432" s="1"/>
      <c r="E432" s="119" t="str">
        <f>IF(O432 = 0,"",O432)</f>
        <v/>
      </c>
      <c r="F432" s="59"/>
      <c r="G432" s="1"/>
      <c r="H432" s="1"/>
      <c r="I432" s="59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</row>
    <row r="433" spans="1:123">
      <c r="A433" s="1"/>
      <c r="B433" s="118"/>
      <c r="C433" s="1"/>
      <c r="D433" s="1"/>
      <c r="E433" s="119" t="str">
        <f>IF(O433 = 0,"",O433)</f>
        <v/>
      </c>
      <c r="F433" s="59"/>
      <c r="G433" s="1"/>
      <c r="H433" s="1"/>
      <c r="I433" s="59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</row>
    <row r="434" spans="1:123">
      <c r="A434" s="1"/>
      <c r="B434" s="118"/>
      <c r="C434" s="1"/>
      <c r="D434" s="1"/>
      <c r="E434" s="119" t="str">
        <f>IF(O434 = 0,"",O434)</f>
        <v/>
      </c>
      <c r="F434" s="59"/>
      <c r="G434" s="1"/>
      <c r="H434" s="1"/>
      <c r="I434" s="59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</row>
    <row r="435" spans="1:123">
      <c r="A435" s="1"/>
      <c r="B435" s="118"/>
      <c r="C435" s="1"/>
      <c r="D435" s="1"/>
      <c r="E435" s="119" t="str">
        <f>IF(O435 = 0,"",O435)</f>
        <v/>
      </c>
      <c r="F435" s="59"/>
      <c r="G435" s="1"/>
      <c r="H435" s="1"/>
      <c r="I435" s="59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</row>
    <row r="436" spans="1:123">
      <c r="A436" s="1"/>
      <c r="B436" s="118"/>
      <c r="C436" s="1"/>
      <c r="D436" s="1"/>
      <c r="E436" s="119" t="str">
        <f>IF(O436 = 0,"",O436)</f>
        <v/>
      </c>
      <c r="F436" s="59"/>
      <c r="G436" s="1"/>
      <c r="H436" s="1"/>
      <c r="I436" s="59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</row>
    <row r="437" spans="1:123">
      <c r="A437" s="1"/>
      <c r="B437" s="118"/>
      <c r="C437" s="1"/>
      <c r="D437" s="1"/>
      <c r="E437" s="119" t="str">
        <f>IF(O437 = 0,"",O437)</f>
        <v/>
      </c>
      <c r="F437" s="59"/>
      <c r="G437" s="1"/>
      <c r="H437" s="1"/>
      <c r="I437" s="59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</row>
    <row r="438" spans="1:123">
      <c r="A438" s="1"/>
      <c r="B438" s="118"/>
      <c r="C438" s="1"/>
      <c r="D438" s="1"/>
      <c r="E438" s="119" t="str">
        <f>IF(O438 = 0,"",O438)</f>
        <v/>
      </c>
      <c r="F438" s="59"/>
      <c r="G438" s="1"/>
      <c r="H438" s="1"/>
      <c r="I438" s="59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</row>
    <row r="439" spans="1:123">
      <c r="A439" s="1"/>
      <c r="B439" s="118"/>
      <c r="C439" s="1"/>
      <c r="D439" s="1"/>
      <c r="E439" s="119" t="str">
        <f>IF(O439 = 0,"",O439)</f>
        <v/>
      </c>
      <c r="F439" s="59"/>
      <c r="G439" s="1"/>
      <c r="H439" s="1"/>
      <c r="I439" s="59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</row>
    <row r="440" spans="1:123">
      <c r="A440" s="1"/>
      <c r="B440" s="118"/>
      <c r="C440" s="1"/>
      <c r="D440" s="1"/>
      <c r="E440" s="119" t="str">
        <f>IF(O440 = 0,"",O440)</f>
        <v/>
      </c>
      <c r="F440" s="59"/>
      <c r="G440" s="1"/>
      <c r="H440" s="1"/>
      <c r="I440" s="59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</row>
    <row r="441" spans="1:123">
      <c r="A441" s="1"/>
      <c r="B441" s="118"/>
      <c r="C441" s="1"/>
      <c r="D441" s="1"/>
      <c r="E441" s="119" t="str">
        <f>IF(O441 = 0,"",O441)</f>
        <v/>
      </c>
      <c r="F441" s="59"/>
      <c r="G441" s="1"/>
      <c r="H441" s="1"/>
      <c r="I441" s="59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</row>
    <row r="442" spans="1:123">
      <c r="A442" s="1"/>
      <c r="B442" s="118"/>
      <c r="C442" s="1"/>
      <c r="D442" s="1"/>
      <c r="E442" s="119" t="str">
        <f>IF(O442 = 0,"",O442)</f>
        <v/>
      </c>
      <c r="F442" s="59"/>
      <c r="G442" s="1"/>
      <c r="H442" s="1"/>
      <c r="I442" s="59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</row>
    <row r="443" spans="1:123">
      <c r="A443" s="1"/>
      <c r="B443" s="118"/>
      <c r="C443" s="1"/>
      <c r="D443" s="1"/>
      <c r="E443" s="119" t="str">
        <f>IF(O443 = 0,"",O443)</f>
        <v/>
      </c>
      <c r="F443" s="59"/>
      <c r="G443" s="1"/>
      <c r="H443" s="1"/>
      <c r="I443" s="59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</row>
    <row r="444" spans="1:123">
      <c r="A444" s="1"/>
      <c r="B444" s="118"/>
      <c r="C444" s="1"/>
      <c r="D444" s="1"/>
      <c r="E444" s="119" t="str">
        <f>IF(O444 = 0,"",O444)</f>
        <v/>
      </c>
      <c r="F444" s="59"/>
      <c r="G444" s="1"/>
      <c r="H444" s="1"/>
      <c r="I444" s="59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</row>
    <row r="445" spans="1:123">
      <c r="A445" s="1"/>
      <c r="B445" s="118"/>
      <c r="C445" s="1"/>
      <c r="D445" s="1"/>
      <c r="E445" s="119" t="str">
        <f>IF(O445 = 0,"",O445)</f>
        <v/>
      </c>
      <c r="F445" s="59"/>
      <c r="G445" s="1"/>
      <c r="H445" s="1"/>
      <c r="I445" s="59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</row>
    <row r="446" spans="1:123">
      <c r="A446" s="1"/>
      <c r="B446" s="118"/>
      <c r="C446" s="1"/>
      <c r="D446" s="1"/>
      <c r="E446" s="119" t="str">
        <f>IF(O446 = 0,"",O446)</f>
        <v/>
      </c>
      <c r="F446" s="59"/>
      <c r="G446" s="1"/>
      <c r="H446" s="1"/>
      <c r="I446" s="59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</row>
    <row r="447" spans="1:123">
      <c r="A447" s="1"/>
      <c r="B447" s="118"/>
      <c r="C447" s="1"/>
      <c r="D447" s="1"/>
      <c r="E447" s="119" t="str">
        <f>IF(O447 = 0,"",O447)</f>
        <v/>
      </c>
      <c r="F447" s="59"/>
      <c r="G447" s="1"/>
      <c r="H447" s="1"/>
      <c r="I447" s="59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</row>
    <row r="448" spans="1:123">
      <c r="A448" s="1"/>
      <c r="B448" s="118"/>
      <c r="C448" s="1"/>
      <c r="D448" s="1"/>
      <c r="E448" s="119" t="str">
        <f>IF(O448 = 0,"",O448)</f>
        <v/>
      </c>
      <c r="F448" s="59"/>
      <c r="G448" s="1"/>
      <c r="H448" s="1"/>
      <c r="I448" s="59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</row>
    <row r="449" spans="1:123">
      <c r="A449" s="1"/>
      <c r="B449" s="118"/>
      <c r="C449" s="1"/>
      <c r="D449" s="1"/>
      <c r="E449" s="119" t="str">
        <f>IF(O449 = 0,"",O449)</f>
        <v/>
      </c>
      <c r="F449" s="59"/>
      <c r="G449" s="1"/>
      <c r="H449" s="1"/>
      <c r="I449" s="59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</row>
    <row r="450" spans="1:123">
      <c r="A450" s="1"/>
      <c r="B450" s="118"/>
      <c r="C450" s="1"/>
      <c r="D450" s="1"/>
      <c r="E450" s="119" t="str">
        <f>IF(O450 = 0,"",O450)</f>
        <v/>
      </c>
      <c r="F450" s="59"/>
      <c r="G450" s="1"/>
      <c r="H450" s="1"/>
      <c r="I450" s="59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</row>
    <row r="451" spans="1:123">
      <c r="A451" s="1"/>
      <c r="B451" s="118"/>
      <c r="C451" s="1"/>
      <c r="D451" s="1"/>
      <c r="E451" s="119" t="str">
        <f>IF(O451 = 0,"",O451)</f>
        <v/>
      </c>
      <c r="F451" s="59"/>
      <c r="G451" s="1"/>
      <c r="H451" s="1"/>
      <c r="I451" s="59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</row>
    <row r="452" spans="1:123">
      <c r="A452" s="1"/>
      <c r="B452" s="118"/>
      <c r="C452" s="1"/>
      <c r="D452" s="1"/>
      <c r="E452" s="119" t="str">
        <f>IF(O452 = 0,"",O452)</f>
        <v/>
      </c>
      <c r="F452" s="59"/>
      <c r="G452" s="1"/>
      <c r="H452" s="1"/>
      <c r="I452" s="59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</row>
    <row r="453" spans="1:123">
      <c r="A453" s="1"/>
      <c r="B453" s="118"/>
      <c r="C453" s="1"/>
      <c r="D453" s="1"/>
      <c r="E453" s="119" t="str">
        <f>IF(O453 = 0,"",O453)</f>
        <v/>
      </c>
      <c r="F453" s="59"/>
      <c r="G453" s="1"/>
      <c r="H453" s="1"/>
      <c r="I453" s="59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</row>
    <row r="454" spans="1:123">
      <c r="A454" s="1"/>
      <c r="B454" s="118"/>
      <c r="C454" s="1"/>
      <c r="D454" s="1"/>
      <c r="E454" s="119" t="str">
        <f>IF(O454 = 0,"",O454)</f>
        <v/>
      </c>
      <c r="F454" s="59"/>
      <c r="G454" s="1"/>
      <c r="H454" s="1"/>
      <c r="I454" s="59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</row>
    <row r="455" spans="1:123">
      <c r="A455" s="1"/>
      <c r="B455" s="118"/>
      <c r="C455" s="1"/>
      <c r="D455" s="1"/>
      <c r="E455" s="119" t="str">
        <f>IF(O455 = 0,"",O455)</f>
        <v/>
      </c>
      <c r="F455" s="59"/>
      <c r="G455" s="1"/>
      <c r="H455" s="1"/>
      <c r="I455" s="59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</row>
    <row r="456" spans="1:123">
      <c r="A456" s="1"/>
      <c r="B456" s="118"/>
      <c r="C456" s="1"/>
      <c r="D456" s="1"/>
      <c r="E456" s="119" t="str">
        <f>IF(O456 = 0,"",O456)</f>
        <v/>
      </c>
      <c r="F456" s="59"/>
      <c r="G456" s="1"/>
      <c r="H456" s="1"/>
      <c r="I456" s="59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</row>
    <row r="457" spans="1:123">
      <c r="A457" s="1"/>
      <c r="B457" s="118"/>
      <c r="C457" s="1"/>
      <c r="D457" s="1"/>
      <c r="E457" s="119" t="str">
        <f>IF(O457 = 0,"",O457)</f>
        <v/>
      </c>
      <c r="F457" s="59"/>
      <c r="G457" s="1"/>
      <c r="H457" s="1"/>
      <c r="I457" s="59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</row>
    <row r="458" spans="1:123">
      <c r="A458" s="1"/>
      <c r="B458" s="118"/>
      <c r="C458" s="1"/>
      <c r="D458" s="1"/>
      <c r="E458" s="119" t="str">
        <f>IF(O458 = 0,"",O458)</f>
        <v/>
      </c>
      <c r="F458" s="59"/>
      <c r="G458" s="1"/>
      <c r="H458" s="1"/>
      <c r="I458" s="59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</row>
    <row r="459" spans="1:123">
      <c r="A459" s="1"/>
      <c r="B459" s="118"/>
      <c r="C459" s="1"/>
      <c r="D459" s="1"/>
      <c r="E459" s="119" t="str">
        <f>IF(O459 = 0,"",O459)</f>
        <v/>
      </c>
      <c r="F459" s="59"/>
      <c r="G459" s="1"/>
      <c r="H459" s="1"/>
      <c r="I459" s="59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</row>
    <row r="460" spans="1:123">
      <c r="A460" s="1"/>
      <c r="B460" s="118"/>
      <c r="C460" s="1"/>
      <c r="D460" s="1"/>
      <c r="E460" s="119" t="str">
        <f>IF(O460 = 0,"",O460)</f>
        <v/>
      </c>
      <c r="F460" s="59"/>
      <c r="G460" s="1"/>
      <c r="H460" s="1"/>
      <c r="I460" s="59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</row>
    <row r="461" spans="1:123">
      <c r="A461" s="1"/>
      <c r="B461" s="118"/>
      <c r="C461" s="1"/>
      <c r="D461" s="1"/>
      <c r="E461" s="119" t="str">
        <f>IF(O461 = 0,"",O461)</f>
        <v/>
      </c>
      <c r="F461" s="59"/>
      <c r="G461" s="1"/>
      <c r="H461" s="1"/>
      <c r="I461" s="59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</row>
    <row r="462" spans="1:123">
      <c r="A462" s="1"/>
      <c r="B462" s="118"/>
      <c r="C462" s="1"/>
      <c r="D462" s="1"/>
      <c r="E462" s="119" t="str">
        <f>IF(O462 = 0,"",O462)</f>
        <v/>
      </c>
      <c r="F462" s="59"/>
      <c r="G462" s="1"/>
      <c r="H462" s="1"/>
      <c r="I462" s="59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</row>
    <row r="463" spans="1:123">
      <c r="A463" s="1"/>
      <c r="B463" s="118"/>
      <c r="C463" s="1"/>
      <c r="D463" s="1"/>
      <c r="E463" s="119" t="str">
        <f>IF(O463 = 0,"",O463)</f>
        <v/>
      </c>
      <c r="F463" s="59"/>
      <c r="G463" s="1"/>
      <c r="H463" s="1"/>
      <c r="I463" s="59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</row>
    <row r="464" spans="1:123">
      <c r="A464" s="1"/>
      <c r="B464" s="118"/>
      <c r="C464" s="1"/>
      <c r="D464" s="1"/>
      <c r="E464" s="119" t="str">
        <f>IF(O464 = 0,"",O464)</f>
        <v/>
      </c>
      <c r="F464" s="59"/>
      <c r="G464" s="1"/>
      <c r="H464" s="1"/>
      <c r="I464" s="59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</row>
    <row r="465" spans="1:123">
      <c r="A465" s="1"/>
      <c r="B465" s="118"/>
      <c r="C465" s="1"/>
      <c r="D465" s="1"/>
      <c r="E465" s="119" t="str">
        <f>IF(O465 = 0,"",O465)</f>
        <v/>
      </c>
      <c r="F465" s="59"/>
      <c r="G465" s="1"/>
      <c r="H465" s="1"/>
      <c r="I465" s="59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</row>
    <row r="466" spans="1:123">
      <c r="A466" s="1"/>
      <c r="B466" s="118"/>
      <c r="C466" s="1"/>
      <c r="D466" s="1"/>
      <c r="E466" s="119" t="str">
        <f>IF(O466 = 0,"",O466)</f>
        <v/>
      </c>
      <c r="F466" s="59"/>
      <c r="G466" s="1"/>
      <c r="H466" s="1"/>
      <c r="I466" s="59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</row>
    <row r="467" spans="1:123">
      <c r="A467" s="1"/>
      <c r="B467" s="118"/>
      <c r="C467" s="1"/>
      <c r="D467" s="1"/>
      <c r="E467" s="119" t="str">
        <f>IF(O467 = 0,"",O467)</f>
        <v/>
      </c>
      <c r="F467" s="59"/>
      <c r="G467" s="1"/>
      <c r="H467" s="1"/>
      <c r="I467" s="59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</row>
    <row r="468" spans="1:123">
      <c r="A468" s="1"/>
      <c r="B468" s="118"/>
      <c r="C468" s="1"/>
      <c r="D468" s="1"/>
      <c r="E468" s="119" t="str">
        <f>IF(O468 = 0,"",O468)</f>
        <v/>
      </c>
      <c r="F468" s="59"/>
      <c r="G468" s="1"/>
      <c r="H468" s="1"/>
      <c r="I468" s="59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</row>
    <row r="469" spans="1:123">
      <c r="A469" s="1"/>
      <c r="B469" s="118"/>
      <c r="C469" s="1"/>
      <c r="D469" s="1"/>
      <c r="E469" s="119" t="str">
        <f>IF(O469 = 0,"",O469)</f>
        <v/>
      </c>
      <c r="F469" s="59"/>
      <c r="G469" s="1"/>
      <c r="H469" s="1"/>
      <c r="I469" s="59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</row>
    <row r="470" spans="1:123">
      <c r="A470" s="1"/>
      <c r="B470" s="118"/>
      <c r="C470" s="1"/>
      <c r="D470" s="1"/>
      <c r="E470" s="119" t="str">
        <f>IF(O470 = 0,"",O470)</f>
        <v/>
      </c>
      <c r="F470" s="59"/>
      <c r="G470" s="1"/>
      <c r="H470" s="1"/>
      <c r="I470" s="59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</row>
    <row r="471" spans="1:123">
      <c r="A471" s="1"/>
      <c r="B471" s="118"/>
      <c r="C471" s="1"/>
      <c r="D471" s="1"/>
      <c r="E471" s="119" t="str">
        <f>IF(O471 = 0,"",O471)</f>
        <v/>
      </c>
      <c r="F471" s="59"/>
      <c r="G471" s="1"/>
      <c r="H471" s="1"/>
      <c r="I471" s="59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</row>
    <row r="472" spans="1:123">
      <c r="A472" s="1"/>
      <c r="B472" s="118"/>
      <c r="C472" s="1"/>
      <c r="D472" s="1"/>
      <c r="E472" s="119" t="str">
        <f>IF(O472 = 0,"",O472)</f>
        <v/>
      </c>
      <c r="F472" s="59"/>
      <c r="G472" s="1"/>
      <c r="H472" s="1"/>
      <c r="I472" s="59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</row>
    <row r="473" spans="1:123">
      <c r="A473" s="1"/>
      <c r="B473" s="118"/>
      <c r="C473" s="1"/>
      <c r="D473" s="1"/>
      <c r="E473" s="119" t="str">
        <f>IF(O473 = 0,"",O473)</f>
        <v/>
      </c>
      <c r="F473" s="59"/>
      <c r="G473" s="1"/>
      <c r="H473" s="1"/>
      <c r="I473" s="59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</row>
    <row r="474" spans="1:123">
      <c r="A474" s="1"/>
      <c r="B474" s="118"/>
      <c r="C474" s="1"/>
      <c r="D474" s="1"/>
      <c r="E474" s="119" t="str">
        <f>IF(O474 = 0,"",O474)</f>
        <v/>
      </c>
      <c r="F474" s="59"/>
      <c r="G474" s="1"/>
      <c r="H474" s="1"/>
      <c r="I474" s="59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</row>
    <row r="475" spans="1:123">
      <c r="A475" s="1"/>
      <c r="B475" s="118"/>
      <c r="C475" s="1"/>
      <c r="D475" s="1"/>
      <c r="E475" s="119" t="str">
        <f>IF(O475 = 0,"",O475)</f>
        <v/>
      </c>
      <c r="F475" s="59"/>
      <c r="G475" s="1"/>
      <c r="H475" s="1"/>
      <c r="I475" s="59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</row>
    <row r="476" spans="1:123">
      <c r="A476" s="1"/>
      <c r="B476" s="118"/>
      <c r="C476" s="1"/>
      <c r="D476" s="1"/>
      <c r="E476" s="119" t="str">
        <f>IF(O476 = 0,"",O476)</f>
        <v/>
      </c>
      <c r="F476" s="59"/>
      <c r="G476" s="1"/>
      <c r="H476" s="1"/>
      <c r="I476" s="59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</row>
    <row r="477" spans="1:123">
      <c r="A477" s="1"/>
      <c r="B477" s="118"/>
      <c r="C477" s="1"/>
      <c r="D477" s="1"/>
      <c r="E477" s="119" t="str">
        <f>IF(O477 = 0,"",O477)</f>
        <v/>
      </c>
      <c r="F477" s="59"/>
      <c r="G477" s="1"/>
      <c r="H477" s="1"/>
      <c r="I477" s="59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</row>
    <row r="478" spans="1:123">
      <c r="A478" s="1"/>
      <c r="B478" s="118"/>
      <c r="C478" s="1"/>
      <c r="D478" s="1"/>
      <c r="E478" s="119" t="str">
        <f>IF(O478 = 0,"",O478)</f>
        <v/>
      </c>
      <c r="F478" s="59"/>
      <c r="G478" s="1"/>
      <c r="H478" s="1"/>
      <c r="I478" s="59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</row>
    <row r="479" spans="1:123">
      <c r="A479" s="1"/>
      <c r="B479" s="118"/>
      <c r="C479" s="1"/>
      <c r="D479" s="1"/>
      <c r="E479" s="119" t="str">
        <f>IF(O479 = 0,"",O479)</f>
        <v/>
      </c>
      <c r="F479" s="59"/>
      <c r="G479" s="1"/>
      <c r="H479" s="1"/>
      <c r="I479" s="59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</row>
    <row r="480" spans="1:123">
      <c r="A480" s="1"/>
      <c r="B480" s="118"/>
      <c r="C480" s="1"/>
      <c r="D480" s="1"/>
      <c r="E480" s="119" t="str">
        <f>IF(O480 = 0,"",O480)</f>
        <v/>
      </c>
      <c r="F480" s="59"/>
      <c r="G480" s="1"/>
      <c r="H480" s="1"/>
      <c r="I480" s="59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</row>
    <row r="481" spans="1:123">
      <c r="A481" s="1"/>
      <c r="B481" s="118"/>
      <c r="C481" s="1"/>
      <c r="D481" s="1"/>
      <c r="E481" s="119" t="str">
        <f>IF(O481 = 0,"",O481)</f>
        <v/>
      </c>
      <c r="F481" s="59"/>
      <c r="G481" s="1"/>
      <c r="H481" s="1"/>
      <c r="I481" s="59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</row>
    <row r="482" spans="1:123">
      <c r="A482" s="1"/>
      <c r="B482" s="118"/>
      <c r="C482" s="1"/>
      <c r="D482" s="1"/>
      <c r="E482" s="119" t="str">
        <f>IF(O482 = 0,"",O482)</f>
        <v/>
      </c>
      <c r="F482" s="59"/>
      <c r="G482" s="1"/>
      <c r="H482" s="1"/>
      <c r="I482" s="59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</row>
    <row r="483" spans="1:123">
      <c r="A483" s="1"/>
      <c r="B483" s="118"/>
      <c r="C483" s="1"/>
      <c r="D483" s="1"/>
      <c r="E483" s="119" t="str">
        <f>IF(O483 = 0,"",O483)</f>
        <v/>
      </c>
      <c r="F483" s="59"/>
      <c r="G483" s="1"/>
      <c r="H483" s="1"/>
      <c r="I483" s="59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</row>
    <row r="484" spans="1:123">
      <c r="A484" s="1"/>
      <c r="B484" s="118"/>
      <c r="C484" s="1"/>
      <c r="D484" s="1"/>
      <c r="E484" s="119" t="str">
        <f>IF(O484 = 0,"",O484)</f>
        <v/>
      </c>
      <c r="F484" s="59"/>
      <c r="G484" s="1"/>
      <c r="H484" s="1"/>
      <c r="I484" s="59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</row>
    <row r="485" spans="1:123">
      <c r="A485" s="1"/>
      <c r="B485" s="118"/>
      <c r="C485" s="1"/>
      <c r="D485" s="1"/>
      <c r="E485" s="119" t="str">
        <f>IF(O485 = 0,"",O485)</f>
        <v/>
      </c>
      <c r="F485" s="59"/>
      <c r="G485" s="1"/>
      <c r="H485" s="1"/>
      <c r="I485" s="59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</row>
    <row r="486" spans="1:123">
      <c r="A486" s="1"/>
      <c r="B486" s="118"/>
      <c r="C486" s="1"/>
      <c r="D486" s="1"/>
      <c r="E486" s="119" t="str">
        <f>IF(O486 = 0,"",O486)</f>
        <v/>
      </c>
      <c r="F486" s="59"/>
      <c r="G486" s="1"/>
      <c r="H486" s="1"/>
      <c r="I486" s="59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</row>
    <row r="487" spans="1:123">
      <c r="A487" s="1"/>
      <c r="B487" s="118"/>
      <c r="C487" s="1"/>
      <c r="D487" s="1"/>
      <c r="E487" s="119" t="str">
        <f>IF(O487 = 0,"",O487)</f>
        <v/>
      </c>
      <c r="F487" s="59"/>
      <c r="G487" s="1"/>
      <c r="H487" s="1"/>
      <c r="I487" s="59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</row>
    <row r="488" spans="1:123">
      <c r="A488" s="1"/>
      <c r="B488" s="118"/>
      <c r="C488" s="1"/>
      <c r="D488" s="1"/>
      <c r="E488" s="119" t="str">
        <f>IF(O488 = 0,"",O488)</f>
        <v/>
      </c>
      <c r="F488" s="59"/>
      <c r="G488" s="1"/>
      <c r="H488" s="1"/>
      <c r="I488" s="59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</row>
    <row r="489" spans="1:123">
      <c r="A489" s="1"/>
      <c r="B489" s="118"/>
      <c r="C489" s="1"/>
      <c r="D489" s="1"/>
      <c r="E489" s="119" t="str">
        <f>IF(O489 = 0,"",O489)</f>
        <v/>
      </c>
      <c r="F489" s="59"/>
      <c r="G489" s="1"/>
      <c r="H489" s="1"/>
      <c r="I489" s="59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</row>
    <row r="490" spans="1:123">
      <c r="A490" s="1"/>
      <c r="B490" s="118"/>
      <c r="C490" s="1"/>
      <c r="D490" s="1"/>
      <c r="E490" s="119" t="str">
        <f>IF(O490 = 0,"",O490)</f>
        <v/>
      </c>
      <c r="F490" s="59"/>
      <c r="G490" s="1"/>
      <c r="H490" s="1"/>
      <c r="I490" s="59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</row>
    <row r="491" spans="1:123">
      <c r="A491" s="1"/>
      <c r="B491" s="118"/>
      <c r="C491" s="1"/>
      <c r="D491" s="1"/>
      <c r="E491" s="119" t="str">
        <f>IF(O491 = 0,"",O491)</f>
        <v/>
      </c>
      <c r="F491" s="59"/>
      <c r="G491" s="1"/>
      <c r="H491" s="1"/>
      <c r="I491" s="59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</row>
    <row r="492" spans="1:123">
      <c r="A492" s="1"/>
      <c r="B492" s="118"/>
      <c r="C492" s="1"/>
      <c r="D492" s="1"/>
      <c r="E492" s="119" t="str">
        <f>IF(O492 = 0,"",O492)</f>
        <v/>
      </c>
      <c r="F492" s="59"/>
      <c r="G492" s="1"/>
      <c r="H492" s="1"/>
      <c r="I492" s="59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</row>
    <row r="493" spans="1:123">
      <c r="A493" s="1"/>
      <c r="B493" s="118"/>
      <c r="C493" s="1"/>
      <c r="D493" s="1"/>
      <c r="E493" s="119" t="str">
        <f>IF(O493 = 0,"",O493)</f>
        <v/>
      </c>
      <c r="F493" s="59"/>
      <c r="G493" s="1"/>
      <c r="H493" s="1"/>
      <c r="I493" s="59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</row>
    <row r="494" spans="1:123">
      <c r="A494" s="1"/>
      <c r="B494" s="118"/>
      <c r="C494" s="1"/>
      <c r="D494" s="1"/>
      <c r="E494" s="119" t="str">
        <f>IF(O494 = 0,"",O494)</f>
        <v/>
      </c>
      <c r="F494" s="59"/>
      <c r="G494" s="1"/>
      <c r="H494" s="1"/>
      <c r="I494" s="59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</row>
    <row r="495" spans="1:123">
      <c r="A495" s="1"/>
      <c r="B495" s="118"/>
      <c r="C495" s="1"/>
      <c r="D495" s="1"/>
      <c r="E495" s="119" t="str">
        <f>IF(O495 = 0,"",O495)</f>
        <v/>
      </c>
      <c r="F495" s="59"/>
      <c r="G495" s="1"/>
      <c r="H495" s="1"/>
      <c r="I495" s="59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</row>
    <row r="496" spans="1:123">
      <c r="A496" s="1"/>
      <c r="B496" s="118"/>
      <c r="C496" s="1"/>
      <c r="D496" s="1"/>
      <c r="E496" s="119" t="str">
        <f>IF(O496 = 0,"",O496)</f>
        <v/>
      </c>
      <c r="F496" s="59"/>
      <c r="G496" s="1"/>
      <c r="H496" s="1"/>
      <c r="I496" s="59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</row>
    <row r="497" spans="1:123">
      <c r="A497" s="1"/>
      <c r="B497" s="118"/>
      <c r="C497" s="1"/>
      <c r="D497" s="1"/>
      <c r="E497" s="119" t="str">
        <f>IF(O497 = 0,"",O497)</f>
        <v/>
      </c>
      <c r="F497" s="59"/>
      <c r="G497" s="1"/>
      <c r="H497" s="1"/>
      <c r="I497" s="59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</row>
    <row r="498" spans="1:123">
      <c r="A498" s="1"/>
      <c r="B498" s="118"/>
      <c r="C498" s="1"/>
      <c r="D498" s="1"/>
      <c r="E498" s="119" t="str">
        <f>IF(O498 = 0,"",O498)</f>
        <v/>
      </c>
      <c r="F498" s="59"/>
      <c r="G498" s="1"/>
      <c r="H498" s="1"/>
      <c r="I498" s="59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</row>
    <row r="499" spans="1:123">
      <c r="A499" s="1"/>
      <c r="B499" s="118"/>
      <c r="C499" s="1"/>
      <c r="D499" s="1"/>
      <c r="E499" s="119" t="str">
        <f>IF(O499 = 0,"",O499)</f>
        <v/>
      </c>
      <c r="F499" s="59"/>
      <c r="G499" s="1"/>
      <c r="H499" s="1"/>
      <c r="I499" s="59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</row>
    <row r="500" spans="1:123">
      <c r="A500" s="1"/>
      <c r="B500" s="118"/>
      <c r="C500" s="1"/>
      <c r="D500" s="1"/>
      <c r="E500" s="119" t="str">
        <f>IF(O500 = 0,"",O500)</f>
        <v/>
      </c>
      <c r="F500" s="59"/>
      <c r="G500" s="1"/>
      <c r="H500" s="1"/>
      <c r="I500" s="59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</row>
    <row r="501" spans="1:123">
      <c r="A501" s="1"/>
      <c r="B501" s="118"/>
      <c r="C501" s="1"/>
      <c r="D501" s="1"/>
      <c r="E501" s="119" t="str">
        <f>IF(O501 = 0,"",O501)</f>
        <v/>
      </c>
      <c r="F501" s="59"/>
      <c r="G501" s="1"/>
      <c r="H501" s="1"/>
      <c r="I501" s="59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</row>
    <row r="502" spans="1:123">
      <c r="A502" s="1"/>
      <c r="B502" s="118"/>
      <c r="C502" s="1"/>
      <c r="D502" s="1"/>
      <c r="E502" s="119" t="str">
        <f>IF(O502 = 0,"",O502)</f>
        <v/>
      </c>
      <c r="F502" s="59"/>
      <c r="G502" s="1"/>
      <c r="H502" s="1"/>
      <c r="I502" s="59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</row>
    <row r="503" spans="1:123">
      <c r="A503" s="1"/>
      <c r="B503" s="118"/>
      <c r="C503" s="1"/>
      <c r="D503" s="1"/>
      <c r="E503" s="119" t="str">
        <f>IF(O503 = 0,"",O503)</f>
        <v/>
      </c>
      <c r="F503" s="59"/>
      <c r="G503" s="1"/>
      <c r="H503" s="1"/>
      <c r="I503" s="59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</row>
    <row r="504" spans="1:123">
      <c r="A504" s="1"/>
      <c r="B504" s="118"/>
      <c r="C504" s="1"/>
      <c r="D504" s="1"/>
      <c r="E504" s="119" t="str">
        <f>IF(O504 = 0,"",O504)</f>
        <v/>
      </c>
      <c r="F504" s="59"/>
      <c r="G504" s="1"/>
      <c r="H504" s="1"/>
      <c r="I504" s="59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</row>
    <row r="505" spans="1:123">
      <c r="A505" s="1"/>
      <c r="B505" s="118"/>
      <c r="C505" s="1"/>
      <c r="D505" s="1"/>
      <c r="E505" s="119" t="str">
        <f>IF(O505 = 0,"",O505)</f>
        <v/>
      </c>
      <c r="F505" s="59"/>
      <c r="G505" s="1"/>
      <c r="H505" s="1"/>
      <c r="I505" s="59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</row>
    <row r="506" spans="1:123">
      <c r="A506" s="1"/>
      <c r="B506" s="118"/>
      <c r="C506" s="1"/>
      <c r="D506" s="1"/>
      <c r="E506" s="119" t="str">
        <f>IF(O506 = 0,"",O506)</f>
        <v/>
      </c>
      <c r="F506" s="59"/>
      <c r="G506" s="1"/>
      <c r="H506" s="1"/>
      <c r="I506" s="59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</row>
    <row r="507" spans="1:123">
      <c r="A507" s="1"/>
      <c r="B507" s="118"/>
      <c r="C507" s="1"/>
      <c r="D507" s="1"/>
      <c r="E507" s="119" t="str">
        <f>IF(O507 = 0,"",O507)</f>
        <v/>
      </c>
      <c r="F507" s="59"/>
      <c r="G507" s="1"/>
      <c r="H507" s="1"/>
      <c r="I507" s="59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</row>
    <row r="508" spans="1:123">
      <c r="A508" s="1"/>
      <c r="B508" s="118"/>
      <c r="C508" s="1"/>
      <c r="D508" s="1"/>
      <c r="E508" s="119" t="str">
        <f>IF(O508 = 0,"",O508)</f>
        <v/>
      </c>
      <c r="F508" s="59"/>
      <c r="G508" s="1"/>
      <c r="H508" s="1"/>
      <c r="I508" s="59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</row>
    <row r="509" spans="1:123">
      <c r="A509" s="1"/>
      <c r="B509" s="118"/>
      <c r="C509" s="1"/>
      <c r="D509" s="1"/>
      <c r="E509" s="119" t="str">
        <f>IF(O509 = 0,"",O509)</f>
        <v/>
      </c>
      <c r="F509" s="59"/>
      <c r="G509" s="1"/>
      <c r="H509" s="1"/>
      <c r="I509" s="59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</row>
    <row r="510" spans="1:123">
      <c r="A510" s="1"/>
      <c r="B510" s="118"/>
      <c r="C510" s="1"/>
      <c r="D510" s="1"/>
      <c r="E510" s="119" t="str">
        <f>IF(O510 = 0,"",O510)</f>
        <v/>
      </c>
      <c r="F510" s="59"/>
      <c r="G510" s="1"/>
      <c r="H510" s="1"/>
      <c r="I510" s="59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</row>
    <row r="511" spans="1:123">
      <c r="A511" s="1"/>
      <c r="B511" s="118"/>
      <c r="C511" s="1"/>
      <c r="D511" s="1"/>
      <c r="E511" s="119" t="str">
        <f>IF(O511 = 0,"",O511)</f>
        <v/>
      </c>
      <c r="F511" s="59"/>
      <c r="G511" s="1"/>
      <c r="H511" s="1"/>
      <c r="I511" s="59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</row>
    <row r="512" spans="1:123">
      <c r="A512" s="1"/>
      <c r="B512" s="118"/>
      <c r="C512" s="1"/>
      <c r="D512" s="1"/>
      <c r="E512" s="119" t="str">
        <f>IF(O512 = 0,"",O512)</f>
        <v/>
      </c>
      <c r="F512" s="59"/>
      <c r="G512" s="1"/>
      <c r="H512" s="1"/>
      <c r="I512" s="59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</row>
    <row r="513" spans="1:123">
      <c r="A513" s="1"/>
      <c r="B513" s="118"/>
      <c r="C513" s="1"/>
      <c r="D513" s="1"/>
      <c r="E513" s="119" t="str">
        <f>IF(O513 = 0,"",O513)</f>
        <v/>
      </c>
      <c r="F513" s="59"/>
      <c r="G513" s="1"/>
      <c r="H513" s="1"/>
      <c r="I513" s="59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</row>
    <row r="514" spans="1:123">
      <c r="A514" s="1"/>
      <c r="B514" s="118"/>
      <c r="C514" s="1"/>
      <c r="D514" s="1"/>
      <c r="E514" s="119" t="str">
        <f>IF(O514 = 0,"",O514)</f>
        <v/>
      </c>
      <c r="F514" s="59"/>
      <c r="G514" s="1"/>
      <c r="H514" s="1"/>
      <c r="I514" s="59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</row>
    <row r="515" spans="1:123">
      <c r="A515" s="1"/>
      <c r="B515" s="118"/>
      <c r="C515" s="1"/>
      <c r="D515" s="1"/>
      <c r="E515" s="119" t="str">
        <f>IF(O515 = 0,"",O515)</f>
        <v/>
      </c>
      <c r="F515" s="59"/>
      <c r="G515" s="1"/>
      <c r="H515" s="1"/>
      <c r="I515" s="59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</row>
    <row r="516" spans="1:123">
      <c r="A516" s="1"/>
      <c r="B516" s="118"/>
      <c r="C516" s="1"/>
      <c r="D516" s="1"/>
      <c r="E516" s="119" t="str">
        <f>IF(O516 = 0,"",O516)</f>
        <v/>
      </c>
      <c r="F516" s="59"/>
      <c r="G516" s="1"/>
      <c r="H516" s="1"/>
      <c r="I516" s="59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</row>
    <row r="517" spans="1:123">
      <c r="A517" s="1"/>
      <c r="B517" s="118"/>
      <c r="C517" s="1"/>
      <c r="D517" s="1"/>
      <c r="E517" s="119" t="str">
        <f>IF(O517 = 0,"",O517)</f>
        <v/>
      </c>
      <c r="F517" s="59"/>
      <c r="G517" s="1"/>
      <c r="H517" s="1"/>
      <c r="I517" s="59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</row>
    <row r="518" spans="1:123">
      <c r="A518" s="1"/>
      <c r="B518" s="118"/>
      <c r="C518" s="1"/>
      <c r="D518" s="1"/>
      <c r="E518" s="119" t="str">
        <f>IF(O518 = 0,"",O518)</f>
        <v/>
      </c>
      <c r="F518" s="59"/>
      <c r="G518" s="1"/>
      <c r="H518" s="1"/>
      <c r="I518" s="59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</row>
    <row r="519" spans="1:123">
      <c r="A519" s="1"/>
      <c r="B519" s="118"/>
      <c r="C519" s="1"/>
      <c r="D519" s="1"/>
      <c r="E519" s="119" t="str">
        <f>IF(O519 = 0,"",O519)</f>
        <v/>
      </c>
      <c r="F519" s="59"/>
      <c r="G519" s="1"/>
      <c r="H519" s="1"/>
      <c r="I519" s="59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</row>
    <row r="520" spans="1:123">
      <c r="A520" s="1"/>
      <c r="B520" s="118"/>
      <c r="C520" s="1"/>
      <c r="D520" s="1"/>
      <c r="E520" s="119" t="str">
        <f>IF(O520 = 0,"",O520)</f>
        <v/>
      </c>
      <c r="F520" s="59"/>
      <c r="G520" s="1"/>
      <c r="H520" s="1"/>
      <c r="I520" s="59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</row>
    <row r="521" spans="1:123">
      <c r="A521" s="1"/>
      <c r="B521" s="118"/>
      <c r="C521" s="1"/>
      <c r="D521" s="1"/>
      <c r="E521" s="119" t="str">
        <f>IF(O521 = 0,"",O521)</f>
        <v/>
      </c>
      <c r="F521" s="59"/>
      <c r="G521" s="1"/>
      <c r="H521" s="1"/>
      <c r="I521" s="59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</row>
    <row r="522" spans="1:123">
      <c r="A522" s="1"/>
      <c r="B522" s="118"/>
      <c r="C522" s="1"/>
      <c r="D522" s="1"/>
      <c r="E522" s="119" t="str">
        <f>IF(O522 = 0,"",O522)</f>
        <v/>
      </c>
      <c r="F522" s="59"/>
      <c r="G522" s="1"/>
      <c r="H522" s="1"/>
      <c r="I522" s="59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</row>
    <row r="523" spans="1:123">
      <c r="A523" s="1"/>
      <c r="B523" s="118"/>
      <c r="C523" s="1"/>
      <c r="D523" s="1"/>
      <c r="E523" s="119" t="str">
        <f>IF(O523 = 0,"",O523)</f>
        <v/>
      </c>
      <c r="F523" s="59"/>
      <c r="G523" s="1"/>
      <c r="H523" s="1"/>
      <c r="I523" s="59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</row>
    <row r="524" spans="1:123">
      <c r="A524" s="1"/>
      <c r="B524" s="118"/>
      <c r="C524" s="1"/>
      <c r="D524" s="1"/>
      <c r="E524" s="119" t="str">
        <f>IF(O524 = 0,"",O524)</f>
        <v/>
      </c>
      <c r="F524" s="59"/>
      <c r="G524" s="1"/>
      <c r="H524" s="1"/>
      <c r="I524" s="59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</row>
    <row r="525" spans="1:123">
      <c r="A525" s="1"/>
      <c r="B525" s="118"/>
      <c r="C525" s="1"/>
      <c r="D525" s="1"/>
      <c r="E525" s="119" t="str">
        <f>IF(O525 = 0,"",O525)</f>
        <v/>
      </c>
      <c r="F525" s="59"/>
      <c r="G525" s="1"/>
      <c r="H525" s="1"/>
      <c r="I525" s="59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</row>
    <row r="526" spans="1:123">
      <c r="A526" s="1"/>
      <c r="B526" s="118"/>
      <c r="C526" s="1"/>
      <c r="D526" s="1"/>
      <c r="E526" s="119" t="str">
        <f>IF(O526 = 0,"",O526)</f>
        <v/>
      </c>
      <c r="F526" s="59"/>
      <c r="G526" s="1"/>
      <c r="H526" s="1"/>
      <c r="I526" s="59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</row>
    <row r="527" spans="1:123">
      <c r="A527" s="1"/>
      <c r="B527" s="118"/>
      <c r="C527" s="1"/>
      <c r="D527" s="1"/>
      <c r="E527" s="119" t="str">
        <f>IF(O527 = 0,"",O527)</f>
        <v/>
      </c>
      <c r="F527" s="59"/>
      <c r="G527" s="1"/>
      <c r="H527" s="1"/>
      <c r="I527" s="59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</row>
    <row r="528" spans="1:123">
      <c r="A528" s="1"/>
      <c r="B528" s="118"/>
      <c r="C528" s="1"/>
      <c r="D528" s="1"/>
      <c r="E528" s="119" t="str">
        <f>IF(O528 = 0,"",O528)</f>
        <v/>
      </c>
      <c r="F528" s="59"/>
      <c r="G528" s="1"/>
      <c r="H528" s="1"/>
      <c r="I528" s="59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</row>
    <row r="529" spans="1:123">
      <c r="A529" s="1"/>
      <c r="B529" s="118"/>
      <c r="C529" s="1"/>
      <c r="D529" s="1"/>
      <c r="E529" s="119" t="str">
        <f>IF(O529 = 0,"",O529)</f>
        <v/>
      </c>
      <c r="F529" s="59"/>
      <c r="G529" s="1"/>
      <c r="H529" s="1"/>
      <c r="I529" s="59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</row>
    <row r="530" spans="1:123">
      <c r="A530" s="1"/>
      <c r="B530" s="118"/>
      <c r="C530" s="1"/>
      <c r="D530" s="1"/>
      <c r="E530" s="119" t="str">
        <f>IF(O530 = 0,"",O530)</f>
        <v/>
      </c>
      <c r="F530" s="59"/>
      <c r="G530" s="1"/>
      <c r="H530" s="1"/>
      <c r="I530" s="59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</row>
    <row r="531" spans="1:123">
      <c r="A531" s="1"/>
      <c r="B531" s="118"/>
      <c r="C531" s="1"/>
      <c r="D531" s="1"/>
      <c r="E531" s="119" t="str">
        <f>IF(O531 = 0,"",O531)</f>
        <v/>
      </c>
      <c r="F531" s="59"/>
      <c r="G531" s="1"/>
      <c r="H531" s="1"/>
      <c r="I531" s="59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</row>
    <row r="532" spans="1:123">
      <c r="A532" s="1"/>
      <c r="B532" s="118"/>
      <c r="C532" s="1"/>
      <c r="D532" s="1"/>
      <c r="E532" s="119" t="str">
        <f>IF(O532 = 0,"",O532)</f>
        <v/>
      </c>
      <c r="F532" s="59"/>
      <c r="G532" s="1"/>
      <c r="H532" s="1"/>
      <c r="I532" s="59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</row>
    <row r="533" spans="1:123">
      <c r="A533" s="1"/>
      <c r="B533" s="118"/>
      <c r="C533" s="1"/>
      <c r="D533" s="1"/>
      <c r="E533" s="119" t="str">
        <f>IF(O533 = 0,"",O533)</f>
        <v/>
      </c>
      <c r="F533" s="59"/>
      <c r="G533" s="1"/>
      <c r="H533" s="1"/>
      <c r="I533" s="59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</row>
    <row r="534" spans="1:123">
      <c r="A534" s="1"/>
      <c r="B534" s="118"/>
      <c r="C534" s="1"/>
      <c r="D534" s="1"/>
      <c r="E534" s="119" t="str">
        <f>IF(O534 = 0,"",O534)</f>
        <v/>
      </c>
      <c r="F534" s="59"/>
      <c r="G534" s="1"/>
      <c r="H534" s="1"/>
      <c r="I534" s="59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</row>
    <row r="535" spans="1:123">
      <c r="A535" s="1"/>
      <c r="B535" s="118"/>
      <c r="C535" s="1"/>
      <c r="D535" s="1"/>
      <c r="E535" s="119" t="str">
        <f>IF(O535 = 0,"",O535)</f>
        <v/>
      </c>
      <c r="F535" s="59"/>
      <c r="G535" s="1"/>
      <c r="H535" s="1"/>
      <c r="I535" s="59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</row>
    <row r="536" spans="1:123">
      <c r="A536" s="1"/>
      <c r="B536" s="118"/>
      <c r="C536" s="1"/>
      <c r="D536" s="1"/>
      <c r="E536" s="119" t="str">
        <f>IF(O536 = 0,"",O536)</f>
        <v/>
      </c>
      <c r="F536" s="59"/>
      <c r="G536" s="1"/>
      <c r="H536" s="1"/>
      <c r="I536" s="59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</row>
    <row r="537" spans="1:123">
      <c r="A537" s="1"/>
      <c r="B537" s="118"/>
      <c r="C537" s="1"/>
      <c r="D537" s="1"/>
      <c r="E537" s="119" t="str">
        <f>IF(O537 = 0,"",O537)</f>
        <v/>
      </c>
      <c r="F537" s="59"/>
      <c r="G537" s="1"/>
      <c r="H537" s="1"/>
      <c r="I537" s="59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</row>
    <row r="538" spans="1:123">
      <c r="A538" s="1"/>
      <c r="B538" s="118"/>
      <c r="C538" s="1"/>
      <c r="D538" s="1"/>
      <c r="E538" s="119" t="str">
        <f>IF(O538 = 0,"",O538)</f>
        <v/>
      </c>
      <c r="F538" s="59"/>
      <c r="G538" s="1"/>
      <c r="H538" s="1"/>
      <c r="I538" s="59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</row>
    <row r="539" spans="1:123">
      <c r="A539" s="1"/>
      <c r="B539" s="118"/>
      <c r="C539" s="1"/>
      <c r="D539" s="1"/>
      <c r="E539" s="119" t="str">
        <f>IF(O539 = 0,"",O539)</f>
        <v/>
      </c>
      <c r="F539" s="59"/>
      <c r="G539" s="1"/>
      <c r="H539" s="1"/>
      <c r="I539" s="59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</row>
    <row r="540" spans="1:123">
      <c r="A540" s="1"/>
      <c r="B540" s="118"/>
      <c r="C540" s="1"/>
      <c r="D540" s="1"/>
      <c r="E540" s="119" t="str">
        <f>IF(O540 = 0,"",O540)</f>
        <v/>
      </c>
      <c r="F540" s="59"/>
      <c r="G540" s="1"/>
      <c r="H540" s="1"/>
      <c r="I540" s="59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</row>
    <row r="541" spans="1:123">
      <c r="A541" s="1"/>
      <c r="B541" s="118"/>
      <c r="C541" s="1"/>
      <c r="D541" s="1"/>
      <c r="E541" s="119" t="str">
        <f>IF(O541 = 0,"",O541)</f>
        <v/>
      </c>
      <c r="F541" s="59"/>
      <c r="G541" s="1"/>
      <c r="H541" s="1"/>
      <c r="I541" s="59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</row>
    <row r="542" spans="1:123">
      <c r="A542" s="1"/>
      <c r="B542" s="118"/>
      <c r="C542" s="1"/>
      <c r="D542" s="1"/>
      <c r="E542" s="119" t="str">
        <f>IF(O542 = 0,"",O542)</f>
        <v/>
      </c>
      <c r="F542" s="59"/>
      <c r="G542" s="1"/>
      <c r="H542" s="1"/>
      <c r="I542" s="59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</row>
    <row r="543" spans="1:123">
      <c r="A543" s="1"/>
      <c r="B543" s="118"/>
      <c r="C543" s="1"/>
      <c r="D543" s="1"/>
      <c r="E543" s="119" t="str">
        <f>IF(O543 = 0,"",O543)</f>
        <v/>
      </c>
      <c r="F543" s="59"/>
      <c r="G543" s="1"/>
      <c r="H543" s="1"/>
      <c r="I543" s="59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</row>
    <row r="544" spans="1:123">
      <c r="A544" s="1"/>
      <c r="B544" s="118"/>
      <c r="C544" s="1"/>
      <c r="D544" s="1"/>
      <c r="E544" s="119" t="str">
        <f>IF(O544 = 0,"",O544)</f>
        <v/>
      </c>
      <c r="F544" s="59"/>
      <c r="G544" s="1"/>
      <c r="H544" s="1"/>
      <c r="I544" s="59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</row>
    <row r="545" spans="1:123">
      <c r="A545" s="1"/>
      <c r="B545" s="118"/>
      <c r="C545" s="1"/>
      <c r="D545" s="1"/>
      <c r="E545" s="119" t="str">
        <f>IF(O545 = 0,"",O545)</f>
        <v/>
      </c>
      <c r="F545" s="59"/>
      <c r="G545" s="1"/>
      <c r="H545" s="1"/>
      <c r="I545" s="59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</row>
    <row r="546" spans="1:123">
      <c r="A546" s="1"/>
      <c r="B546" s="118"/>
      <c r="C546" s="1"/>
      <c r="D546" s="1"/>
      <c r="E546" s="119" t="str">
        <f>IF(O546 = 0,"",O546)</f>
        <v/>
      </c>
      <c r="F546" s="59"/>
      <c r="G546" s="1"/>
      <c r="H546" s="1"/>
      <c r="I546" s="59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</row>
    <row r="547" spans="1:123">
      <c r="A547" s="1"/>
      <c r="B547" s="118"/>
      <c r="C547" s="1"/>
      <c r="D547" s="1"/>
      <c r="E547" s="119" t="str">
        <f>IF(O547 = 0,"",O547)</f>
        <v/>
      </c>
      <c r="F547" s="59"/>
      <c r="G547" s="1"/>
      <c r="H547" s="1"/>
      <c r="I547" s="59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</row>
    <row r="548" spans="1:123">
      <c r="A548" s="1"/>
      <c r="B548" s="118"/>
      <c r="C548" s="1"/>
      <c r="D548" s="1"/>
      <c r="E548" s="119" t="str">
        <f>IF(O548 = 0,"",O548)</f>
        <v/>
      </c>
      <c r="F548" s="59"/>
      <c r="G548" s="1"/>
      <c r="H548" s="1"/>
      <c r="I548" s="59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</row>
    <row r="549" spans="1:123">
      <c r="A549" s="1"/>
      <c r="B549" s="118"/>
      <c r="C549" s="1"/>
      <c r="D549" s="1"/>
      <c r="E549" s="119" t="str">
        <f>IF(O549 = 0,"",O549)</f>
        <v/>
      </c>
      <c r="F549" s="59"/>
      <c r="G549" s="1"/>
      <c r="H549" s="1"/>
      <c r="I549" s="59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</row>
    <row r="550" spans="1:123">
      <c r="A550" s="1"/>
      <c r="B550" s="118"/>
      <c r="C550" s="1"/>
      <c r="D550" s="1"/>
      <c r="E550" s="119" t="str">
        <f>IF(O550 = 0,"",O550)</f>
        <v/>
      </c>
      <c r="F550" s="59"/>
      <c r="G550" s="1"/>
      <c r="H550" s="1"/>
      <c r="I550" s="59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</row>
    <row r="551" spans="1:123">
      <c r="A551" s="1"/>
      <c r="B551" s="118"/>
      <c r="C551" s="1"/>
      <c r="D551" s="1"/>
      <c r="E551" s="119" t="str">
        <f>IF(O551 = 0,"",O551)</f>
        <v/>
      </c>
      <c r="F551" s="59"/>
      <c r="G551" s="1"/>
      <c r="H551" s="1"/>
      <c r="I551" s="59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</row>
    <row r="552" spans="1:123">
      <c r="A552" s="1"/>
      <c r="B552" s="118"/>
      <c r="C552" s="1"/>
      <c r="D552" s="1"/>
      <c r="E552" s="119" t="str">
        <f>IF(O552 = 0,"",O552)</f>
        <v/>
      </c>
      <c r="F552" s="59"/>
      <c r="G552" s="1"/>
      <c r="H552" s="1"/>
      <c r="I552" s="59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</row>
    <row r="553" spans="1:123">
      <c r="A553" s="1"/>
      <c r="B553" s="118"/>
      <c r="C553" s="1"/>
      <c r="D553" s="1"/>
      <c r="E553" s="119" t="str">
        <f>IF(O553 = 0,"",O553)</f>
        <v/>
      </c>
      <c r="F553" s="59"/>
      <c r="G553" s="1"/>
      <c r="H553" s="1"/>
      <c r="I553" s="59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</row>
    <row r="554" spans="1:123">
      <c r="A554" s="1"/>
      <c r="B554" s="118"/>
      <c r="C554" s="1"/>
      <c r="D554" s="1"/>
      <c r="E554" s="119" t="str">
        <f>IF(O554 = 0,"",O554)</f>
        <v/>
      </c>
      <c r="F554" s="59"/>
      <c r="G554" s="1"/>
      <c r="H554" s="1"/>
      <c r="I554" s="59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</row>
    <row r="555" spans="1:123">
      <c r="A555" s="1"/>
      <c r="B555" s="118"/>
      <c r="C555" s="1"/>
      <c r="D555" s="1"/>
      <c r="E555" s="119" t="str">
        <f>IF(O555 = 0,"",O555)</f>
        <v/>
      </c>
      <c r="F555" s="59"/>
      <c r="G555" s="1"/>
      <c r="H555" s="1"/>
      <c r="I555" s="59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</row>
    <row r="556" spans="1:123">
      <c r="A556" s="1"/>
      <c r="B556" s="118"/>
      <c r="C556" s="1"/>
      <c r="D556" s="1"/>
      <c r="E556" s="119" t="str">
        <f>IF(O556 = 0,"",O556)</f>
        <v/>
      </c>
      <c r="F556" s="59"/>
      <c r="G556" s="1"/>
      <c r="H556" s="1"/>
      <c r="I556" s="59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</row>
    <row r="557" spans="1:123">
      <c r="A557" s="1"/>
      <c r="B557" s="118"/>
      <c r="C557" s="1"/>
      <c r="D557" s="1"/>
      <c r="E557" s="119" t="str">
        <f>IF(O557 = 0,"",O557)</f>
        <v/>
      </c>
      <c r="F557" s="59"/>
      <c r="G557" s="1"/>
      <c r="H557" s="1"/>
      <c r="I557" s="59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</row>
    <row r="558" spans="1:123">
      <c r="A558" s="1"/>
      <c r="B558" s="118"/>
      <c r="C558" s="1"/>
      <c r="D558" s="1"/>
      <c r="E558" s="119" t="str">
        <f>IF(O558 = 0,"",O558)</f>
        <v/>
      </c>
      <c r="F558" s="59"/>
      <c r="G558" s="1"/>
      <c r="H558" s="1"/>
      <c r="I558" s="59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</row>
    <row r="559" spans="1:123">
      <c r="A559" s="1"/>
      <c r="B559" s="118"/>
      <c r="C559" s="1"/>
      <c r="D559" s="1"/>
      <c r="E559" s="119" t="str">
        <f>IF(O559 = 0,"",O559)</f>
        <v/>
      </c>
      <c r="F559" s="59"/>
      <c r="G559" s="1"/>
      <c r="H559" s="1"/>
      <c r="I559" s="59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</row>
    <row r="560" spans="1:123">
      <c r="A560" s="1"/>
      <c r="B560" s="118"/>
      <c r="C560" s="1"/>
      <c r="D560" s="1"/>
      <c r="E560" s="119" t="str">
        <f>IF(O560 = 0,"",O560)</f>
        <v/>
      </c>
      <c r="F560" s="59"/>
      <c r="G560" s="1"/>
      <c r="H560" s="1"/>
      <c r="I560" s="59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</row>
    <row r="561" spans="1:123">
      <c r="A561" s="1"/>
      <c r="B561" s="118"/>
      <c r="C561" s="1"/>
      <c r="D561" s="1"/>
      <c r="E561" s="119" t="str">
        <f>IF(O561 = 0,"",O561)</f>
        <v/>
      </c>
      <c r="F561" s="59"/>
      <c r="G561" s="1"/>
      <c r="H561" s="1"/>
      <c r="I561" s="59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</row>
    <row r="562" spans="1:123">
      <c r="A562" s="1"/>
      <c r="B562" s="118"/>
      <c r="C562" s="1"/>
      <c r="D562" s="1"/>
      <c r="E562" s="119" t="str">
        <f>IF(O562 = 0,"",O562)</f>
        <v/>
      </c>
      <c r="F562" s="59"/>
      <c r="G562" s="1"/>
      <c r="H562" s="1"/>
      <c r="I562" s="59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</row>
    <row r="563" spans="1:123">
      <c r="A563" s="1"/>
      <c r="B563" s="118"/>
      <c r="C563" s="1"/>
      <c r="D563" s="1"/>
      <c r="E563" s="119" t="str">
        <f>IF(O563 = 0,"",O563)</f>
        <v/>
      </c>
      <c r="F563" s="59"/>
      <c r="G563" s="1"/>
      <c r="H563" s="1"/>
      <c r="I563" s="59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</row>
    <row r="564" spans="1:123">
      <c r="A564" s="1"/>
      <c r="B564" s="118"/>
      <c r="C564" s="1"/>
      <c r="D564" s="1"/>
      <c r="E564" s="119" t="str">
        <f>IF(O564 = 0,"",O564)</f>
        <v/>
      </c>
      <c r="F564" s="59"/>
      <c r="G564" s="1"/>
      <c r="H564" s="1"/>
      <c r="I564" s="59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</row>
    <row r="565" spans="1:123">
      <c r="A565" s="1"/>
      <c r="B565" s="118"/>
      <c r="C565" s="1"/>
      <c r="D565" s="1"/>
      <c r="E565" s="119" t="str">
        <f>IF(O565 = 0,"",O565)</f>
        <v/>
      </c>
      <c r="F565" s="59"/>
      <c r="G565" s="1"/>
      <c r="H565" s="1"/>
      <c r="I565" s="59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</row>
    <row r="566" spans="1:123">
      <c r="A566" s="1"/>
      <c r="B566" s="118"/>
      <c r="C566" s="1"/>
      <c r="D566" s="1"/>
      <c r="E566" s="119" t="str">
        <f>IF(O566 = 0,"",O566)</f>
        <v/>
      </c>
      <c r="F566" s="59"/>
      <c r="G566" s="1"/>
      <c r="H566" s="1"/>
      <c r="I566" s="59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</row>
    <row r="567" spans="1:123">
      <c r="A567" s="1"/>
      <c r="B567" s="118"/>
      <c r="C567" s="1"/>
      <c r="D567" s="1"/>
      <c r="E567" s="119" t="str">
        <f>IF(O567 = 0,"",O567)</f>
        <v/>
      </c>
      <c r="F567" s="59"/>
      <c r="G567" s="1"/>
      <c r="H567" s="1"/>
      <c r="I567" s="59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</row>
    <row r="568" spans="1:123">
      <c r="A568" s="1"/>
      <c r="B568" s="118"/>
      <c r="C568" s="1"/>
      <c r="D568" s="1"/>
      <c r="E568" s="119" t="str">
        <f>IF(O568 = 0,"",O568)</f>
        <v/>
      </c>
      <c r="F568" s="59"/>
      <c r="G568" s="1"/>
      <c r="H568" s="1"/>
      <c r="I568" s="59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</row>
    <row r="569" spans="1:123">
      <c r="A569" s="1"/>
      <c r="B569" s="118"/>
      <c r="C569" s="1"/>
      <c r="D569" s="1"/>
      <c r="E569" s="119" t="str">
        <f>IF(O569 = 0,"",O569)</f>
        <v/>
      </c>
      <c r="F569" s="59"/>
      <c r="G569" s="1"/>
      <c r="H569" s="1"/>
      <c r="I569" s="59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</row>
    <row r="570" spans="1:123">
      <c r="A570" s="1"/>
      <c r="B570" s="118"/>
      <c r="C570" s="1"/>
      <c r="D570" s="1"/>
      <c r="E570" s="119" t="str">
        <f>IF(O570 = 0,"",O570)</f>
        <v/>
      </c>
      <c r="F570" s="59"/>
      <c r="G570" s="1"/>
      <c r="H570" s="1"/>
      <c r="I570" s="59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</row>
    <row r="571" spans="1:123">
      <c r="A571" s="1"/>
      <c r="B571" s="118"/>
      <c r="C571" s="1"/>
      <c r="D571" s="1"/>
      <c r="E571" s="119" t="str">
        <f>IF(O571 = 0,"",O571)</f>
        <v/>
      </c>
      <c r="F571" s="59"/>
      <c r="G571" s="1"/>
      <c r="H571" s="1"/>
      <c r="I571" s="59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</row>
    <row r="572" spans="1:123">
      <c r="A572" s="1"/>
      <c r="B572" s="118"/>
      <c r="C572" s="1"/>
      <c r="D572" s="1"/>
      <c r="E572" s="119" t="str">
        <f>IF(O572 = 0,"",O572)</f>
        <v/>
      </c>
      <c r="F572" s="59"/>
      <c r="G572" s="1"/>
      <c r="H572" s="1"/>
      <c r="I572" s="59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</row>
    <row r="573" spans="1:123">
      <c r="A573" s="1"/>
      <c r="B573" s="118"/>
      <c r="C573" s="1"/>
      <c r="D573" s="1"/>
      <c r="E573" s="119" t="str">
        <f>IF(O573 = 0,"",O573)</f>
        <v/>
      </c>
      <c r="F573" s="59"/>
      <c r="G573" s="1"/>
      <c r="H573" s="1"/>
      <c r="I573" s="59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</row>
    <row r="574" spans="1:123">
      <c r="A574" s="1"/>
      <c r="B574" s="118"/>
      <c r="C574" s="1"/>
      <c r="D574" s="1"/>
      <c r="E574" s="119" t="str">
        <f>IF(O574 = 0,"",O574)</f>
        <v/>
      </c>
      <c r="F574" s="59"/>
      <c r="G574" s="1"/>
      <c r="H574" s="1"/>
      <c r="I574" s="59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</row>
    <row r="575" spans="1:123">
      <c r="A575" s="1"/>
      <c r="B575" s="118"/>
      <c r="C575" s="1"/>
      <c r="D575" s="1"/>
      <c r="E575" s="119" t="str">
        <f>IF(O575 = 0,"",O575)</f>
        <v/>
      </c>
      <c r="F575" s="59"/>
      <c r="G575" s="1"/>
      <c r="H575" s="1"/>
      <c r="I575" s="59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</row>
    <row r="576" spans="1:123">
      <c r="A576" s="1"/>
      <c r="B576" s="118"/>
      <c r="C576" s="1"/>
      <c r="D576" s="1"/>
      <c r="E576" s="119" t="str">
        <f>IF(O576 = 0,"",O576)</f>
        <v/>
      </c>
      <c r="F576" s="59"/>
      <c r="G576" s="1"/>
      <c r="H576" s="1"/>
      <c r="I576" s="59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</row>
    <row r="577" spans="1:123">
      <c r="A577" s="1"/>
      <c r="B577" s="118"/>
      <c r="C577" s="1"/>
      <c r="D577" s="1"/>
      <c r="E577" s="119" t="str">
        <f>IF(O577 = 0,"",O577)</f>
        <v/>
      </c>
      <c r="F577" s="59"/>
      <c r="G577" s="1"/>
      <c r="H577" s="1"/>
      <c r="I577" s="59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</row>
    <row r="578" spans="1:123">
      <c r="A578" s="1"/>
      <c r="B578" s="118"/>
      <c r="C578" s="1"/>
      <c r="D578" s="1"/>
      <c r="E578" s="119" t="str">
        <f>IF(O578 = 0,"",O578)</f>
        <v/>
      </c>
      <c r="F578" s="59"/>
      <c r="G578" s="1"/>
      <c r="H578" s="1"/>
      <c r="I578" s="59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</row>
    <row r="579" spans="1:123">
      <c r="A579" s="1"/>
      <c r="B579" s="118"/>
      <c r="C579" s="1"/>
      <c r="D579" s="1"/>
      <c r="E579" s="119" t="str">
        <f>IF(O579 = 0,"",O579)</f>
        <v/>
      </c>
      <c r="F579" s="59"/>
      <c r="G579" s="1"/>
      <c r="H579" s="1"/>
      <c r="I579" s="59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</row>
    <row r="580" spans="1:123">
      <c r="A580" s="1"/>
      <c r="B580" s="118"/>
      <c r="C580" s="1"/>
      <c r="D580" s="1"/>
      <c r="E580" s="119" t="str">
        <f>IF(O580 = 0,"",O580)</f>
        <v/>
      </c>
      <c r="F580" s="59"/>
      <c r="G580" s="1"/>
      <c r="H580" s="1"/>
      <c r="I580" s="59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</row>
    <row r="581" spans="1:123">
      <c r="A581" s="1"/>
      <c r="B581" s="118"/>
      <c r="C581" s="1"/>
      <c r="D581" s="1"/>
      <c r="E581" s="119" t="str">
        <f>IF(O581 = 0,"",O581)</f>
        <v/>
      </c>
      <c r="F581" s="59"/>
      <c r="G581" s="1"/>
      <c r="H581" s="1"/>
      <c r="I581" s="59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</row>
    <row r="582" spans="1:123">
      <c r="A582" s="1"/>
      <c r="B582" s="118"/>
      <c r="C582" s="1"/>
      <c r="D582" s="1"/>
      <c r="E582" s="119" t="str">
        <f>IF(O582 = 0,"",O582)</f>
        <v/>
      </c>
      <c r="F582" s="59"/>
      <c r="G582" s="1"/>
      <c r="H582" s="1"/>
      <c r="I582" s="59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</row>
    <row r="583" spans="1:123">
      <c r="A583" s="1"/>
      <c r="B583" s="118"/>
      <c r="C583" s="1"/>
      <c r="D583" s="1"/>
      <c r="E583" s="119" t="str">
        <f>IF(O583 = 0,"",O583)</f>
        <v/>
      </c>
      <c r="F583" s="59"/>
      <c r="G583" s="1"/>
      <c r="H583" s="1"/>
      <c r="I583" s="59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</row>
    <row r="584" spans="1:123">
      <c r="A584" s="1"/>
      <c r="B584" s="118"/>
      <c r="C584" s="1"/>
      <c r="D584" s="1"/>
      <c r="E584" s="119" t="str">
        <f>IF(O584 = 0,"",O584)</f>
        <v/>
      </c>
      <c r="F584" s="59"/>
      <c r="G584" s="1"/>
      <c r="H584" s="1"/>
      <c r="I584" s="59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</row>
    <row r="585" spans="1:123">
      <c r="A585" s="1"/>
      <c r="B585" s="118"/>
      <c r="C585" s="1"/>
      <c r="D585" s="1"/>
      <c r="E585" s="119" t="str">
        <f>IF(O585 = 0,"",O585)</f>
        <v/>
      </c>
      <c r="F585" s="59"/>
      <c r="G585" s="1"/>
      <c r="H585" s="1"/>
      <c r="I585" s="59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</row>
    <row r="586" spans="1:123">
      <c r="A586" s="1"/>
      <c r="B586" s="118"/>
      <c r="C586" s="1"/>
      <c r="D586" s="1"/>
      <c r="E586" s="119" t="str">
        <f>IF(O586 = 0,"",O586)</f>
        <v/>
      </c>
      <c r="F586" s="59"/>
      <c r="G586" s="1"/>
      <c r="H586" s="1"/>
      <c r="I586" s="59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</row>
    <row r="587" spans="1:123">
      <c r="A587" s="1"/>
      <c r="B587" s="118"/>
      <c r="C587" s="1"/>
      <c r="D587" s="1"/>
      <c r="E587" s="119" t="str">
        <f>IF(O587 = 0,"",O587)</f>
        <v/>
      </c>
      <c r="F587" s="59"/>
      <c r="G587" s="1"/>
      <c r="H587" s="1"/>
      <c r="I587" s="59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</row>
    <row r="588" spans="1:123">
      <c r="A588" s="1"/>
      <c r="B588" s="118"/>
      <c r="C588" s="1"/>
      <c r="D588" s="1"/>
      <c r="E588" s="119" t="str">
        <f>IF(O588 = 0,"",O588)</f>
        <v/>
      </c>
      <c r="F588" s="59"/>
      <c r="G588" s="1"/>
      <c r="H588" s="1"/>
      <c r="I588" s="59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</row>
    <row r="589" spans="1:123">
      <c r="A589" s="1"/>
      <c r="B589" s="118"/>
      <c r="C589" s="1"/>
      <c r="D589" s="1"/>
      <c r="E589" s="119" t="str">
        <f>IF(O589 = 0,"",O589)</f>
        <v/>
      </c>
      <c r="F589" s="59"/>
      <c r="G589" s="1"/>
      <c r="H589" s="1"/>
      <c r="I589" s="59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</row>
    <row r="590" spans="1:123">
      <c r="A590" s="1"/>
      <c r="B590" s="118"/>
      <c r="C590" s="1"/>
      <c r="D590" s="1"/>
      <c r="E590" s="119" t="str">
        <f>IF(O590 = 0,"",O590)</f>
        <v/>
      </c>
      <c r="F590" s="59"/>
      <c r="G590" s="1"/>
      <c r="H590" s="1"/>
      <c r="I590" s="59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</row>
    <row r="591" spans="1:123">
      <c r="A591" s="1"/>
      <c r="B591" s="118"/>
      <c r="C591" s="1"/>
      <c r="D591" s="1"/>
      <c r="E591" s="119" t="str">
        <f>IF(O591 = 0,"",O591)</f>
        <v/>
      </c>
      <c r="F591" s="59"/>
      <c r="G591" s="1"/>
      <c r="H591" s="1"/>
      <c r="I591" s="59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</row>
    <row r="592" spans="1:123">
      <c r="A592" s="1"/>
      <c r="B592" s="118"/>
      <c r="C592" s="1"/>
      <c r="D592" s="1"/>
      <c r="E592" s="119" t="str">
        <f>IF(O592 = 0,"",O592)</f>
        <v/>
      </c>
      <c r="F592" s="59"/>
      <c r="G592" s="1"/>
      <c r="H592" s="1"/>
      <c r="I592" s="59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</row>
    <row r="593" spans="1:123">
      <c r="A593" s="1"/>
      <c r="B593" s="118"/>
      <c r="C593" s="1"/>
      <c r="D593" s="1"/>
      <c r="E593" s="119" t="str">
        <f>IF(O593 = 0,"",O593)</f>
        <v/>
      </c>
      <c r="F593" s="59"/>
      <c r="G593" s="1"/>
      <c r="H593" s="1"/>
      <c r="I593" s="59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</row>
    <row r="594" spans="1:123">
      <c r="A594" s="1"/>
      <c r="B594" s="118"/>
      <c r="C594" s="1"/>
      <c r="D594" s="1"/>
      <c r="E594" s="119" t="str">
        <f>IF(O594 = 0,"",O594)</f>
        <v/>
      </c>
      <c r="F594" s="59"/>
      <c r="G594" s="1"/>
      <c r="H594" s="1"/>
      <c r="I594" s="59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</row>
    <row r="595" spans="1:123">
      <c r="A595" s="1"/>
      <c r="B595" s="118"/>
      <c r="C595" s="1"/>
      <c r="D595" s="1"/>
      <c r="E595" s="119" t="str">
        <f>IF(O595 = 0,"",O595)</f>
        <v/>
      </c>
      <c r="F595" s="59"/>
      <c r="G595" s="1"/>
      <c r="H595" s="1"/>
      <c r="I595" s="59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</row>
    <row r="596" spans="1:123">
      <c r="A596" s="1"/>
      <c r="B596" s="118"/>
      <c r="C596" s="1"/>
      <c r="D596" s="1"/>
      <c r="E596" s="119" t="str">
        <f>IF(O596 = 0,"",O596)</f>
        <v/>
      </c>
      <c r="F596" s="59"/>
      <c r="G596" s="1"/>
      <c r="H596" s="1"/>
      <c r="I596" s="59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</row>
    <row r="597" spans="1:123">
      <c r="A597" s="1"/>
      <c r="B597" s="118"/>
      <c r="C597" s="1"/>
      <c r="D597" s="1"/>
      <c r="E597" s="119" t="str">
        <f>IF(O597 = 0,"",O597)</f>
        <v/>
      </c>
      <c r="F597" s="59"/>
      <c r="G597" s="1"/>
      <c r="H597" s="1"/>
      <c r="I597" s="59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</row>
    <row r="598" spans="1:123">
      <c r="A598" s="1"/>
      <c r="B598" s="118"/>
      <c r="C598" s="1"/>
      <c r="D598" s="1"/>
      <c r="E598" s="119" t="str">
        <f>IF(O598 = 0,"",O598)</f>
        <v/>
      </c>
      <c r="F598" s="59"/>
      <c r="G598" s="1"/>
      <c r="H598" s="1"/>
      <c r="I598" s="59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</row>
    <row r="599" spans="1:123">
      <c r="A599" s="1"/>
      <c r="B599" s="118"/>
      <c r="C599" s="1"/>
      <c r="D599" s="1"/>
      <c r="E599" s="119" t="str">
        <f>IF(O599 = 0,"",O599)</f>
        <v/>
      </c>
      <c r="F599" s="59"/>
      <c r="G599" s="1"/>
      <c r="H599" s="1"/>
      <c r="I599" s="59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</row>
    <row r="600" spans="1:123">
      <c r="A600" s="1"/>
      <c r="B600" s="118"/>
      <c r="C600" s="1"/>
      <c r="D600" s="1"/>
      <c r="E600" s="119" t="str">
        <f>IF(O600 = 0,"",O600)</f>
        <v/>
      </c>
      <c r="F600" s="59"/>
      <c r="G600" s="1"/>
      <c r="H600" s="1"/>
      <c r="I600" s="59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</row>
    <row r="601" spans="1:123">
      <c r="A601" s="1"/>
      <c r="B601" s="118"/>
      <c r="C601" s="1"/>
      <c r="D601" s="1"/>
      <c r="E601" s="119" t="str">
        <f>IF(O601 = 0,"",O601)</f>
        <v/>
      </c>
      <c r="F601" s="59"/>
      <c r="G601" s="1"/>
      <c r="H601" s="1"/>
      <c r="I601" s="59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</row>
    <row r="602" spans="1:123">
      <c r="A602" s="1"/>
      <c r="B602" s="118"/>
      <c r="C602" s="1"/>
      <c r="D602" s="1"/>
      <c r="E602" s="119" t="str">
        <f>IF(O602 = 0,"",O602)</f>
        <v/>
      </c>
      <c r="F602" s="59"/>
      <c r="G602" s="1"/>
      <c r="H602" s="1"/>
      <c r="I602" s="59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</row>
    <row r="603" spans="1:123">
      <c r="A603" s="1"/>
      <c r="B603" s="118"/>
      <c r="C603" s="1"/>
      <c r="D603" s="1"/>
      <c r="E603" s="119" t="str">
        <f>IF(O603 = 0,"",O603)</f>
        <v/>
      </c>
      <c r="F603" s="59"/>
      <c r="G603" s="1"/>
      <c r="H603" s="1"/>
      <c r="I603" s="59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</row>
    <row r="604" spans="1:123">
      <c r="A604" s="1"/>
      <c r="B604" s="118"/>
      <c r="C604" s="1"/>
      <c r="D604" s="1"/>
      <c r="E604" s="119" t="str">
        <f>IF(O604 = 0,"",O604)</f>
        <v/>
      </c>
      <c r="F604" s="59"/>
      <c r="G604" s="1"/>
      <c r="H604" s="1"/>
      <c r="I604" s="59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</row>
    <row r="605" spans="1:123">
      <c r="A605" s="1"/>
      <c r="B605" s="118"/>
      <c r="C605" s="1"/>
      <c r="D605" s="1"/>
      <c r="E605" s="119" t="str">
        <f>IF(O605 = 0,"",O605)</f>
        <v/>
      </c>
      <c r="F605" s="59"/>
      <c r="G605" s="1"/>
      <c r="H605" s="1"/>
      <c r="I605" s="59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</row>
    <row r="606" spans="1:123">
      <c r="A606" s="1"/>
      <c r="B606" s="118"/>
      <c r="C606" s="1"/>
      <c r="D606" s="1"/>
      <c r="E606" s="119" t="str">
        <f>IF(O606 = 0,"",O606)</f>
        <v/>
      </c>
      <c r="F606" s="59"/>
      <c r="G606" s="1"/>
      <c r="H606" s="1"/>
      <c r="I606" s="59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</row>
    <row r="607" spans="1:123">
      <c r="A607" s="1"/>
      <c r="B607" s="118"/>
      <c r="C607" s="1"/>
      <c r="D607" s="1"/>
      <c r="E607" s="119" t="str">
        <f>IF(O607 = 0,"",O607)</f>
        <v/>
      </c>
      <c r="F607" s="59"/>
      <c r="G607" s="1"/>
      <c r="H607" s="1"/>
      <c r="I607" s="59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</row>
    <row r="608" spans="1:123">
      <c r="A608" s="1"/>
      <c r="B608" s="118"/>
      <c r="C608" s="1"/>
      <c r="D608" s="1"/>
      <c r="E608" s="119" t="str">
        <f>IF(O608 = 0,"",O608)</f>
        <v/>
      </c>
      <c r="F608" s="59"/>
      <c r="G608" s="1"/>
      <c r="H608" s="1"/>
      <c r="I608" s="59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</row>
    <row r="609" spans="1:123">
      <c r="A609" s="1"/>
      <c r="B609" s="118"/>
      <c r="C609" s="1"/>
      <c r="D609" s="1"/>
      <c r="E609" s="119" t="str">
        <f>IF(O609 = 0,"",O609)</f>
        <v/>
      </c>
      <c r="F609" s="59"/>
      <c r="G609" s="1"/>
      <c r="H609" s="1"/>
      <c r="I609" s="59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</row>
    <row r="610" spans="1:123">
      <c r="A610" s="1"/>
      <c r="B610" s="118"/>
      <c r="C610" s="1"/>
      <c r="D610" s="1"/>
      <c r="E610" s="119" t="str">
        <f>IF(O610 = 0,"",O610)</f>
        <v/>
      </c>
      <c r="F610" s="59"/>
      <c r="G610" s="1"/>
      <c r="H610" s="1"/>
      <c r="I610" s="59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</row>
    <row r="611" spans="1:123">
      <c r="A611" s="1"/>
      <c r="B611" s="118"/>
      <c r="C611" s="1"/>
      <c r="D611" s="1"/>
      <c r="E611" s="119" t="str">
        <f>IF(O611 = 0,"",O611)</f>
        <v/>
      </c>
      <c r="F611" s="59"/>
      <c r="G611" s="1"/>
      <c r="H611" s="1"/>
      <c r="I611" s="59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</row>
    <row r="612" spans="1:123">
      <c r="A612" s="1"/>
      <c r="B612" s="118"/>
      <c r="C612" s="1"/>
      <c r="D612" s="1"/>
      <c r="E612" s="119" t="str">
        <f>IF(O612 = 0,"",O612)</f>
        <v/>
      </c>
      <c r="F612" s="59"/>
      <c r="G612" s="1"/>
      <c r="H612" s="1"/>
      <c r="I612" s="59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</row>
    <row r="613" spans="1:123">
      <c r="A613" s="1"/>
      <c r="B613" s="118"/>
      <c r="C613" s="1"/>
      <c r="D613" s="1"/>
      <c r="E613" s="119" t="str">
        <f>IF(O613 = 0,"",O613)</f>
        <v/>
      </c>
      <c r="F613" s="59"/>
      <c r="G613" s="1"/>
      <c r="H613" s="1"/>
      <c r="I613" s="59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</row>
    <row r="614" spans="1:123">
      <c r="A614" s="1"/>
      <c r="B614" s="118"/>
      <c r="C614" s="1"/>
      <c r="D614" s="1"/>
      <c r="E614" s="119" t="str">
        <f>IF(O614 = 0,"",O614)</f>
        <v/>
      </c>
      <c r="F614" s="59"/>
      <c r="G614" s="1"/>
      <c r="H614" s="1"/>
      <c r="I614" s="59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</row>
    <row r="615" spans="1:123">
      <c r="A615" s="1"/>
      <c r="B615" s="118"/>
      <c r="C615" s="1"/>
      <c r="D615" s="1"/>
      <c r="E615" s="119" t="str">
        <f>IF(O615 = 0,"",O615)</f>
        <v/>
      </c>
      <c r="F615" s="59"/>
      <c r="G615" s="1"/>
      <c r="H615" s="1"/>
      <c r="I615" s="59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</row>
    <row r="616" spans="1:123">
      <c r="A616" s="1"/>
      <c r="B616" s="118"/>
      <c r="C616" s="1"/>
      <c r="D616" s="1"/>
      <c r="E616" s="119" t="str">
        <f>IF(O616 = 0,"",O616)</f>
        <v/>
      </c>
      <c r="F616" s="59"/>
      <c r="G616" s="1"/>
      <c r="H616" s="1"/>
      <c r="I616" s="59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</row>
    <row r="617" spans="1:123">
      <c r="A617" s="1"/>
      <c r="B617" s="118"/>
      <c r="C617" s="1"/>
      <c r="D617" s="1"/>
      <c r="E617" s="119" t="str">
        <f>IF(O617 = 0,"",O617)</f>
        <v/>
      </c>
      <c r="F617" s="59"/>
      <c r="G617" s="1"/>
      <c r="H617" s="1"/>
      <c r="I617" s="59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</row>
    <row r="618" spans="1:123">
      <c r="A618" s="1"/>
      <c r="B618" s="118"/>
      <c r="C618" s="1"/>
      <c r="D618" s="1"/>
      <c r="E618" s="119" t="str">
        <f>IF(O618 = 0,"",O618)</f>
        <v/>
      </c>
      <c r="F618" s="59"/>
      <c r="G618" s="1"/>
      <c r="H618" s="1"/>
      <c r="I618" s="59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</row>
    <row r="619" spans="1:123">
      <c r="A619" s="1"/>
      <c r="B619" s="118"/>
      <c r="C619" s="1"/>
      <c r="D619" s="1"/>
      <c r="E619" s="119" t="str">
        <f>IF(O619 = 0,"",O619)</f>
        <v/>
      </c>
      <c r="F619" s="59"/>
      <c r="G619" s="1"/>
      <c r="H619" s="1"/>
      <c r="I619" s="59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</row>
    <row r="620" spans="1:123">
      <c r="A620" s="1"/>
      <c r="B620" s="118"/>
      <c r="C620" s="1"/>
      <c r="D620" s="1"/>
      <c r="E620" s="119" t="str">
        <f>IF(O620 = 0,"",O620)</f>
        <v/>
      </c>
      <c r="F620" s="59"/>
      <c r="G620" s="1"/>
      <c r="H620" s="1"/>
      <c r="I620" s="59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</row>
    <row r="621" spans="1:123">
      <c r="A621" s="1"/>
      <c r="B621" s="118"/>
      <c r="C621" s="1"/>
      <c r="D621" s="1"/>
      <c r="E621" s="119" t="str">
        <f>IF(O621 = 0,"",O621)</f>
        <v/>
      </c>
      <c r="F621" s="59"/>
      <c r="G621" s="1"/>
      <c r="H621" s="1"/>
      <c r="I621" s="59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</row>
    <row r="622" spans="1:123">
      <c r="A622" s="1"/>
      <c r="B622" s="118"/>
      <c r="C622" s="1"/>
      <c r="D622" s="1"/>
      <c r="E622" s="119" t="str">
        <f>IF(O622 = 0,"",O622)</f>
        <v/>
      </c>
      <c r="F622" s="59"/>
      <c r="G622" s="1"/>
      <c r="H622" s="1"/>
      <c r="I622" s="59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</row>
    <row r="623" spans="1:123">
      <c r="A623" s="1"/>
      <c r="B623" s="118"/>
      <c r="C623" s="1"/>
      <c r="D623" s="1"/>
      <c r="E623" s="119" t="str">
        <f>IF(O623 = 0,"",O623)</f>
        <v/>
      </c>
      <c r="F623" s="59"/>
      <c r="G623" s="1"/>
      <c r="H623" s="1"/>
      <c r="I623" s="59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</row>
    <row r="624" spans="1:123">
      <c r="A624" s="1"/>
      <c r="B624" s="118"/>
      <c r="C624" s="1"/>
      <c r="D624" s="1"/>
      <c r="E624" s="119" t="str">
        <f>IF(O624 = 0,"",O624)</f>
        <v/>
      </c>
      <c r="F624" s="59"/>
      <c r="G624" s="1"/>
      <c r="H624" s="1"/>
      <c r="I624" s="59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</row>
    <row r="625" spans="1:123">
      <c r="A625" s="1"/>
      <c r="B625" s="118"/>
      <c r="C625" s="1"/>
      <c r="D625" s="1"/>
      <c r="E625" s="119" t="str">
        <f>IF(O625 = 0,"",O625)</f>
        <v/>
      </c>
      <c r="F625" s="59"/>
      <c r="G625" s="1"/>
      <c r="H625" s="1"/>
      <c r="I625" s="59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</row>
    <row r="626" spans="1:123">
      <c r="A626" s="1"/>
      <c r="B626" s="118"/>
      <c r="C626" s="1"/>
      <c r="D626" s="1"/>
      <c r="E626" s="119" t="str">
        <f>IF(O626 = 0,"",O626)</f>
        <v/>
      </c>
      <c r="F626" s="59"/>
      <c r="G626" s="1"/>
      <c r="H626" s="1"/>
      <c r="I626" s="59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</row>
    <row r="627" spans="1:123">
      <c r="A627" s="1"/>
      <c r="B627" s="118"/>
      <c r="C627" s="1"/>
      <c r="D627" s="1"/>
      <c r="E627" s="119" t="str">
        <f>IF(O627 = 0,"",O627)</f>
        <v/>
      </c>
      <c r="F627" s="59"/>
      <c r="G627" s="1"/>
      <c r="H627" s="1"/>
      <c r="I627" s="59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</row>
    <row r="628" spans="1:123">
      <c r="A628" s="1"/>
      <c r="B628" s="118"/>
      <c r="C628" s="1"/>
      <c r="D628" s="1"/>
      <c r="E628" s="119" t="str">
        <f>IF(O628 = 0,"",O628)</f>
        <v/>
      </c>
      <c r="F628" s="59"/>
      <c r="G628" s="1"/>
      <c r="H628" s="1"/>
      <c r="I628" s="59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</row>
    <row r="629" spans="1:123">
      <c r="A629" s="1"/>
      <c r="B629" s="118"/>
      <c r="C629" s="1"/>
      <c r="D629" s="1"/>
      <c r="E629" s="119" t="str">
        <f>IF(O629 = 0,"",O629)</f>
        <v/>
      </c>
      <c r="F629" s="59"/>
      <c r="G629" s="1"/>
      <c r="H629" s="1"/>
      <c r="I629" s="59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</row>
    <row r="630" spans="1:123">
      <c r="A630" s="1"/>
      <c r="B630" s="118"/>
      <c r="C630" s="1"/>
      <c r="D630" s="1"/>
      <c r="E630" s="119" t="str">
        <f>IF(O630 = 0,"",O630)</f>
        <v/>
      </c>
      <c r="F630" s="59"/>
      <c r="G630" s="1"/>
      <c r="H630" s="1"/>
      <c r="I630" s="59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</row>
    <row r="631" spans="1:123">
      <c r="A631" s="1"/>
      <c r="B631" s="118"/>
      <c r="C631" s="1"/>
      <c r="D631" s="1"/>
      <c r="E631" s="119" t="str">
        <f>IF(O631 = 0,"",O631)</f>
        <v/>
      </c>
      <c r="F631" s="59"/>
      <c r="G631" s="1"/>
      <c r="H631" s="1"/>
      <c r="I631" s="59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</row>
    <row r="632" spans="1:123">
      <c r="A632" s="1"/>
      <c r="B632" s="118"/>
      <c r="C632" s="1"/>
      <c r="D632" s="1"/>
      <c r="E632" s="119" t="str">
        <f>IF(O632 = 0,"",O632)</f>
        <v/>
      </c>
      <c r="F632" s="59"/>
      <c r="G632" s="1"/>
      <c r="H632" s="1"/>
      <c r="I632" s="59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</row>
    <row r="633" spans="1:123">
      <c r="A633" s="1"/>
      <c r="B633" s="118"/>
      <c r="C633" s="1"/>
      <c r="D633" s="1"/>
      <c r="E633" s="119" t="str">
        <f>IF(O633 = 0,"",O633)</f>
        <v/>
      </c>
      <c r="F633" s="59"/>
      <c r="G633" s="1"/>
      <c r="H633" s="1"/>
      <c r="I633" s="59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</row>
    <row r="634" spans="1:123">
      <c r="A634" s="1"/>
      <c r="B634" s="118"/>
      <c r="C634" s="1"/>
      <c r="D634" s="1"/>
      <c r="E634" s="119" t="str">
        <f>IF(O634 = 0,"",O634)</f>
        <v/>
      </c>
      <c r="F634" s="59"/>
      <c r="G634" s="1"/>
      <c r="H634" s="1"/>
      <c r="I634" s="59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</row>
    <row r="635" spans="1:123">
      <c r="A635" s="1"/>
      <c r="B635" s="118"/>
      <c r="C635" s="1"/>
      <c r="D635" s="1"/>
      <c r="E635" s="119" t="str">
        <f>IF(O635 = 0,"",O635)</f>
        <v/>
      </c>
      <c r="F635" s="59"/>
      <c r="G635" s="1"/>
      <c r="H635" s="1"/>
      <c r="I635" s="59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</row>
    <row r="636" spans="1:123">
      <c r="A636" s="1"/>
      <c r="B636" s="118"/>
      <c r="C636" s="1"/>
      <c r="D636" s="1"/>
      <c r="E636" s="119" t="str">
        <f>IF(O636 = 0,"",O636)</f>
        <v/>
      </c>
      <c r="F636" s="59"/>
      <c r="G636" s="1"/>
      <c r="H636" s="1"/>
      <c r="I636" s="59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</row>
    <row r="637" spans="1:123">
      <c r="A637" s="1"/>
      <c r="B637" s="118"/>
      <c r="C637" s="1"/>
      <c r="D637" s="1"/>
      <c r="E637" s="119" t="str">
        <f>IF(O637 = 0,"",O637)</f>
        <v/>
      </c>
      <c r="F637" s="59"/>
      <c r="G637" s="1"/>
      <c r="H637" s="1"/>
      <c r="I637" s="59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</row>
    <row r="638" spans="1:123">
      <c r="A638" s="1"/>
      <c r="B638" s="118"/>
      <c r="C638" s="1"/>
      <c r="D638" s="1"/>
      <c r="E638" s="119" t="str">
        <f>IF(O638 = 0,"",O638)</f>
        <v/>
      </c>
      <c r="F638" s="59"/>
      <c r="G638" s="1"/>
      <c r="H638" s="1"/>
      <c r="I638" s="59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</row>
    <row r="639" spans="1:123">
      <c r="A639" s="1"/>
      <c r="B639" s="118"/>
      <c r="C639" s="1"/>
      <c r="D639" s="1"/>
      <c r="E639" s="119" t="str">
        <f>IF(O639 = 0,"",O639)</f>
        <v/>
      </c>
      <c r="F639" s="59"/>
      <c r="G639" s="1"/>
      <c r="H639" s="1"/>
      <c r="I639" s="59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</row>
    <row r="640" spans="1:123">
      <c r="A640" s="1"/>
      <c r="B640" s="118"/>
      <c r="C640" s="1"/>
      <c r="D640" s="1"/>
      <c r="E640" s="119" t="str">
        <f>IF(O640 = 0,"",O640)</f>
        <v/>
      </c>
      <c r="F640" s="59"/>
      <c r="G640" s="1"/>
      <c r="H640" s="1"/>
      <c r="I640" s="59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</row>
    <row r="641" spans="1:123">
      <c r="A641" s="1"/>
      <c r="B641" s="118"/>
      <c r="C641" s="1"/>
      <c r="D641" s="1"/>
      <c r="E641" s="119" t="str">
        <f>IF(O641 = 0,"",O641)</f>
        <v/>
      </c>
      <c r="F641" s="59"/>
      <c r="G641" s="1"/>
      <c r="H641" s="1"/>
      <c r="I641" s="59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</row>
    <row r="642" spans="1:123">
      <c r="A642" s="1"/>
      <c r="B642" s="118"/>
      <c r="C642" s="1"/>
      <c r="D642" s="1"/>
      <c r="E642" s="119" t="str">
        <f>IF(O642 = 0,"",O642)</f>
        <v/>
      </c>
      <c r="F642" s="59"/>
      <c r="G642" s="1"/>
      <c r="H642" s="1"/>
      <c r="I642" s="59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</row>
    <row r="643" spans="1:123">
      <c r="A643" s="1"/>
      <c r="B643" s="118"/>
      <c r="C643" s="1"/>
      <c r="D643" s="1"/>
      <c r="E643" s="119" t="str">
        <f>IF(O643 = 0,"",O643)</f>
        <v/>
      </c>
      <c r="F643" s="59"/>
      <c r="G643" s="1"/>
      <c r="H643" s="1"/>
      <c r="I643" s="59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</row>
    <row r="644" spans="1:123">
      <c r="A644" s="1"/>
      <c r="B644" s="118"/>
      <c r="C644" s="1"/>
      <c r="D644" s="1"/>
      <c r="E644" s="119" t="str">
        <f>IF(O644 = 0,"",O644)</f>
        <v/>
      </c>
      <c r="F644" s="59"/>
      <c r="G644" s="1"/>
      <c r="H644" s="1"/>
      <c r="I644" s="59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</row>
    <row r="645" spans="1:123">
      <c r="A645" s="1"/>
      <c r="B645" s="118"/>
      <c r="C645" s="1"/>
      <c r="D645" s="1"/>
      <c r="E645" s="119" t="str">
        <f>IF(O645 = 0,"",O645)</f>
        <v/>
      </c>
      <c r="F645" s="59"/>
      <c r="G645" s="1"/>
      <c r="H645" s="1"/>
      <c r="I645" s="59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</row>
    <row r="646" spans="1:123">
      <c r="A646" s="1"/>
      <c r="B646" s="118"/>
      <c r="C646" s="1"/>
      <c r="D646" s="1"/>
      <c r="E646" s="119" t="str">
        <f>IF(O646 = 0,"",O646)</f>
        <v/>
      </c>
      <c r="F646" s="59"/>
      <c r="G646" s="1"/>
      <c r="H646" s="1"/>
      <c r="I646" s="59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</row>
    <row r="647" spans="1:123">
      <c r="A647" s="1"/>
      <c r="B647" s="118"/>
      <c r="C647" s="1"/>
      <c r="D647" s="1"/>
      <c r="E647" s="119" t="str">
        <f>IF(O647 = 0,"",O647)</f>
        <v/>
      </c>
      <c r="F647" s="59"/>
      <c r="G647" s="1"/>
      <c r="H647" s="1"/>
      <c r="I647" s="59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</row>
    <row r="648" spans="1:123">
      <c r="A648" s="1"/>
      <c r="B648" s="118"/>
      <c r="C648" s="1"/>
      <c r="D648" s="1"/>
      <c r="E648" s="119" t="str">
        <f>IF(O648 = 0,"",O648)</f>
        <v/>
      </c>
      <c r="F648" s="59"/>
      <c r="G648" s="1"/>
      <c r="H648" s="1"/>
      <c r="I648" s="59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</row>
    <row r="649" spans="1:123">
      <c r="A649" s="1"/>
      <c r="B649" s="118"/>
      <c r="C649" s="1"/>
      <c r="D649" s="1"/>
      <c r="E649" s="119" t="str">
        <f>IF(O649 = 0,"",O649)</f>
        <v/>
      </c>
      <c r="F649" s="59"/>
      <c r="G649" s="1"/>
      <c r="H649" s="1"/>
      <c r="I649" s="59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</row>
    <row r="650" spans="1:123">
      <c r="A650" s="1"/>
      <c r="B650" s="118"/>
      <c r="C650" s="1"/>
      <c r="D650" s="1"/>
      <c r="E650" s="119" t="str">
        <f>IF(O650 = 0,"",O650)</f>
        <v/>
      </c>
      <c r="F650" s="59"/>
      <c r="G650" s="1"/>
      <c r="H650" s="1"/>
      <c r="I650" s="59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</row>
    <row r="651" spans="1:123">
      <c r="A651" s="1"/>
      <c r="B651" s="118"/>
      <c r="C651" s="1"/>
      <c r="D651" s="1"/>
      <c r="E651" s="119" t="str">
        <f>IF(O651 = 0,"",O651)</f>
        <v/>
      </c>
      <c r="F651" s="59"/>
      <c r="G651" s="1"/>
      <c r="H651" s="1"/>
      <c r="I651" s="59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</row>
    <row r="652" spans="1:123">
      <c r="A652" s="1"/>
      <c r="B652" s="118"/>
      <c r="C652" s="1"/>
      <c r="D652" s="1"/>
      <c r="E652" s="119" t="str">
        <f>IF(O652 = 0,"",O652)</f>
        <v/>
      </c>
      <c r="F652" s="59"/>
      <c r="G652" s="1"/>
      <c r="H652" s="1"/>
      <c r="I652" s="59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</row>
    <row r="653" spans="1:123">
      <c r="A653" s="1"/>
      <c r="B653" s="118"/>
      <c r="C653" s="1"/>
      <c r="D653" s="1"/>
      <c r="E653" s="119" t="str">
        <f>IF(O653 = 0,"",O653)</f>
        <v/>
      </c>
      <c r="F653" s="59"/>
      <c r="G653" s="1"/>
      <c r="H653" s="1"/>
      <c r="I653" s="59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</row>
    <row r="654" spans="1:123">
      <c r="A654" s="1"/>
      <c r="B654" s="118"/>
      <c r="C654" s="1"/>
      <c r="D654" s="1"/>
      <c r="E654" s="119" t="str">
        <f>IF(O654 = 0,"",O654)</f>
        <v/>
      </c>
      <c r="F654" s="59"/>
      <c r="G654" s="1"/>
      <c r="H654" s="1"/>
      <c r="I654" s="59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</row>
    <row r="655" spans="1:123">
      <c r="A655" s="1"/>
      <c r="B655" s="118"/>
      <c r="C655" s="1"/>
      <c r="D655" s="1"/>
      <c r="E655" s="119" t="str">
        <f>IF(O655 = 0,"",O655)</f>
        <v/>
      </c>
      <c r="F655" s="59"/>
      <c r="G655" s="1"/>
      <c r="H655" s="1"/>
      <c r="I655" s="59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</row>
    <row r="656" spans="1:123">
      <c r="A656" s="1"/>
      <c r="B656" s="118"/>
      <c r="C656" s="1"/>
      <c r="D656" s="1"/>
      <c r="E656" s="119" t="str">
        <f>IF(O656 = 0,"",O656)</f>
        <v/>
      </c>
      <c r="F656" s="59"/>
      <c r="G656" s="1"/>
      <c r="H656" s="1"/>
      <c r="I656" s="59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</row>
    <row r="657" spans="1:123">
      <c r="A657" s="1"/>
      <c r="B657" s="118"/>
      <c r="C657" s="1"/>
      <c r="D657" s="1"/>
      <c r="E657" s="119" t="str">
        <f>IF(O657 = 0,"",O657)</f>
        <v/>
      </c>
      <c r="F657" s="59"/>
      <c r="G657" s="1"/>
      <c r="H657" s="1"/>
      <c r="I657" s="59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</row>
    <row r="658" spans="1:123">
      <c r="A658" s="1"/>
      <c r="B658" s="118"/>
      <c r="C658" s="1"/>
      <c r="D658" s="1"/>
      <c r="E658" s="119" t="str">
        <f>IF(O658 = 0,"",O658)</f>
        <v/>
      </c>
      <c r="F658" s="59"/>
      <c r="G658" s="1"/>
      <c r="H658" s="1"/>
      <c r="I658" s="59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</row>
    <row r="659" spans="1:123">
      <c r="A659" s="1"/>
      <c r="B659" s="118"/>
      <c r="C659" s="1"/>
      <c r="D659" s="1"/>
      <c r="E659" s="119" t="str">
        <f>IF(O659 = 0,"",O659)</f>
        <v/>
      </c>
      <c r="F659" s="59"/>
      <c r="G659" s="1"/>
      <c r="H659" s="1"/>
      <c r="I659" s="59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</row>
    <row r="660" spans="1:123">
      <c r="A660" s="1"/>
      <c r="B660" s="118"/>
      <c r="C660" s="1"/>
      <c r="D660" s="1"/>
      <c r="E660" s="119" t="str">
        <f>IF(O660 = 0,"",O660)</f>
        <v/>
      </c>
      <c r="F660" s="59"/>
      <c r="G660" s="1"/>
      <c r="H660" s="1"/>
      <c r="I660" s="59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</row>
    <row r="661" spans="1:123">
      <c r="A661" s="1"/>
      <c r="B661" s="118"/>
      <c r="C661" s="1"/>
      <c r="D661" s="1"/>
      <c r="E661" s="119" t="str">
        <f>IF(O661 = 0,"",O661)</f>
        <v/>
      </c>
      <c r="F661" s="59"/>
      <c r="G661" s="1"/>
      <c r="H661" s="1"/>
      <c r="I661" s="59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</row>
    <row r="662" spans="1:123">
      <c r="A662" s="1"/>
      <c r="B662" s="118"/>
      <c r="C662" s="1"/>
      <c r="D662" s="1"/>
      <c r="E662" s="119" t="str">
        <f>IF(O662 = 0,"",O662)</f>
        <v/>
      </c>
      <c r="F662" s="59"/>
      <c r="G662" s="1"/>
      <c r="H662" s="1"/>
      <c r="I662" s="59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</row>
    <row r="663" spans="1:123">
      <c r="A663" s="1"/>
      <c r="B663" s="118"/>
      <c r="C663" s="1"/>
      <c r="D663" s="1"/>
      <c r="E663" s="119" t="str">
        <f>IF(O663 = 0,"",O663)</f>
        <v/>
      </c>
      <c r="F663" s="59"/>
      <c r="G663" s="1"/>
      <c r="H663" s="1"/>
      <c r="I663" s="59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</row>
    <row r="664" spans="1:123">
      <c r="A664" s="1"/>
      <c r="B664" s="118"/>
      <c r="C664" s="1"/>
      <c r="D664" s="1"/>
      <c r="E664" s="119" t="str">
        <f>IF(O664 = 0,"",O664)</f>
        <v/>
      </c>
      <c r="F664" s="59"/>
      <c r="G664" s="1"/>
      <c r="H664" s="1"/>
      <c r="I664" s="59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</row>
    <row r="665" spans="1:123">
      <c r="A665" s="1"/>
      <c r="B665" s="118"/>
      <c r="C665" s="1"/>
      <c r="D665" s="1"/>
      <c r="E665" s="119" t="str">
        <f>IF(O665 = 0,"",O665)</f>
        <v/>
      </c>
      <c r="F665" s="59"/>
      <c r="G665" s="1"/>
      <c r="H665" s="1"/>
      <c r="I665" s="59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</row>
    <row r="666" spans="1:123">
      <c r="A666" s="1"/>
      <c r="B666" s="118"/>
      <c r="C666" s="1"/>
      <c r="D666" s="1"/>
      <c r="E666" s="119" t="str">
        <f>IF(O666 = 0,"",O666)</f>
        <v/>
      </c>
      <c r="F666" s="59"/>
      <c r="G666" s="1"/>
      <c r="H666" s="1"/>
      <c r="I666" s="59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</row>
    <row r="667" spans="1:123">
      <c r="A667" s="1"/>
      <c r="B667" s="118"/>
      <c r="C667" s="1"/>
      <c r="D667" s="1"/>
      <c r="E667" s="119" t="str">
        <f>IF(O667 = 0,"",O667)</f>
        <v/>
      </c>
      <c r="F667" s="59"/>
      <c r="G667" s="1"/>
      <c r="H667" s="1"/>
      <c r="I667" s="59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</row>
    <row r="668" spans="1:123">
      <c r="A668" s="1"/>
      <c r="B668" s="118"/>
      <c r="C668" s="1"/>
      <c r="D668" s="1"/>
      <c r="E668" s="119" t="str">
        <f>IF(O668 = 0,"",O668)</f>
        <v/>
      </c>
      <c r="F668" s="59"/>
      <c r="G668" s="1"/>
      <c r="H668" s="1"/>
      <c r="I668" s="59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</row>
    <row r="669" spans="1:123">
      <c r="A669" s="1"/>
      <c r="B669" s="118"/>
      <c r="C669" s="1"/>
      <c r="D669" s="1"/>
      <c r="E669" s="119" t="str">
        <f>IF(O669 = 0,"",O669)</f>
        <v/>
      </c>
      <c r="F669" s="59"/>
      <c r="G669" s="1"/>
      <c r="H669" s="1"/>
      <c r="I669" s="59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</row>
    <row r="670" spans="1:123">
      <c r="A670" s="1"/>
      <c r="B670" s="118"/>
      <c r="C670" s="1"/>
      <c r="D670" s="1"/>
      <c r="E670" s="119" t="str">
        <f>IF(O670 = 0,"",O670)</f>
        <v/>
      </c>
      <c r="F670" s="59"/>
      <c r="G670" s="1"/>
      <c r="H670" s="1"/>
      <c r="I670" s="59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</row>
    <row r="671" spans="1:123">
      <c r="A671" s="1"/>
      <c r="B671" s="118"/>
      <c r="C671" s="1"/>
      <c r="D671" s="1"/>
      <c r="E671" s="119" t="str">
        <f>IF(O671 = 0,"",O671)</f>
        <v/>
      </c>
      <c r="F671" s="59"/>
      <c r="G671" s="1"/>
      <c r="H671" s="1"/>
      <c r="I671" s="59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</row>
    <row r="672" spans="1:123">
      <c r="A672" s="1"/>
      <c r="B672" s="118"/>
      <c r="C672" s="1"/>
      <c r="D672" s="1"/>
      <c r="E672" s="119" t="str">
        <f>IF(O672 = 0,"",O672)</f>
        <v/>
      </c>
      <c r="F672" s="59"/>
      <c r="G672" s="1"/>
      <c r="H672" s="1"/>
      <c r="I672" s="59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</row>
    <row r="673" spans="1:123">
      <c r="A673" s="1"/>
      <c r="B673" s="118"/>
      <c r="C673" s="1"/>
      <c r="D673" s="1"/>
      <c r="E673" s="119" t="str">
        <f>IF(O673 = 0,"",O673)</f>
        <v/>
      </c>
      <c r="F673" s="59"/>
      <c r="G673" s="1"/>
      <c r="H673" s="1"/>
      <c r="I673" s="59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</row>
    <row r="674" spans="1:123">
      <c r="A674" s="1"/>
      <c r="B674" s="118"/>
      <c r="C674" s="1"/>
      <c r="D674" s="1"/>
      <c r="E674" s="119" t="str">
        <f>IF(O674 = 0,"",O674)</f>
        <v/>
      </c>
      <c r="F674" s="59"/>
      <c r="G674" s="1"/>
      <c r="H674" s="1"/>
      <c r="I674" s="59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</row>
    <row r="675" spans="1:123">
      <c r="A675" s="1"/>
      <c r="B675" s="118"/>
      <c r="C675" s="1"/>
      <c r="D675" s="1"/>
      <c r="E675" s="119" t="str">
        <f>IF(O675 = 0,"",O675)</f>
        <v/>
      </c>
      <c r="F675" s="59"/>
      <c r="G675" s="1"/>
      <c r="H675" s="1"/>
      <c r="I675" s="59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</row>
    <row r="676" spans="1:123">
      <c r="A676" s="1"/>
      <c r="B676" s="118"/>
      <c r="C676" s="1"/>
      <c r="D676" s="1"/>
      <c r="E676" s="119" t="str">
        <f>IF(O676 = 0,"",O676)</f>
        <v/>
      </c>
      <c r="F676" s="59"/>
      <c r="G676" s="1"/>
      <c r="H676" s="1"/>
      <c r="I676" s="59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</row>
    <row r="677" spans="1:123">
      <c r="A677" s="1"/>
      <c r="B677" s="118"/>
      <c r="C677" s="1"/>
      <c r="D677" s="1"/>
      <c r="E677" s="119" t="str">
        <f>IF(O677 = 0,"",O677)</f>
        <v/>
      </c>
      <c r="F677" s="59"/>
      <c r="G677" s="1"/>
      <c r="H677" s="1"/>
      <c r="I677" s="59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</row>
    <row r="678" spans="1:123">
      <c r="A678" s="1"/>
      <c r="B678" s="118"/>
      <c r="C678" s="1"/>
      <c r="D678" s="1"/>
      <c r="E678" s="119" t="str">
        <f>IF(O678 = 0,"",O678)</f>
        <v/>
      </c>
      <c r="F678" s="59"/>
      <c r="G678" s="1"/>
      <c r="H678" s="1"/>
      <c r="I678" s="59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</row>
    <row r="679" spans="1:123">
      <c r="A679" s="1"/>
      <c r="B679" s="118"/>
      <c r="C679" s="1"/>
      <c r="D679" s="1"/>
      <c r="E679" s="119" t="str">
        <f>IF(O679 = 0,"",O679)</f>
        <v/>
      </c>
      <c r="F679" s="59"/>
      <c r="G679" s="1"/>
      <c r="H679" s="1"/>
      <c r="I679" s="59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</row>
    <row r="680" spans="1:123">
      <c r="A680" s="1"/>
      <c r="B680" s="118"/>
      <c r="C680" s="1"/>
      <c r="D680" s="1"/>
      <c r="E680" s="119" t="str">
        <f>IF(O680 = 0,"",O680)</f>
        <v/>
      </c>
      <c r="F680" s="59"/>
      <c r="G680" s="1"/>
      <c r="H680" s="1"/>
      <c r="I680" s="59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</row>
    <row r="681" spans="1:123">
      <c r="A681" s="1"/>
      <c r="B681" s="118"/>
      <c r="C681" s="1"/>
      <c r="D681" s="1"/>
      <c r="E681" s="119" t="str">
        <f>IF(O681 = 0,"",O681)</f>
        <v/>
      </c>
      <c r="F681" s="59"/>
      <c r="G681" s="1"/>
      <c r="H681" s="1"/>
      <c r="I681" s="59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</row>
    <row r="682" spans="1:123">
      <c r="B682" s="54"/>
      <c r="E682" s="73" t="str">
        <f>IF(O682 = 0,"",O682)</f>
        <v/>
      </c>
      <c r="F682" s="56"/>
      <c r="I682" s="56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</row>
    <row r="683" spans="1:123">
      <c r="B683" s="54"/>
      <c r="E683" s="73" t="str">
        <f>IF(O683 = 0,"",O683)</f>
        <v/>
      </c>
      <c r="F683" s="56"/>
      <c r="I683" s="56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</row>
    <row r="684" spans="1:123">
      <c r="B684" s="54"/>
      <c r="E684" s="73" t="str">
        <f>IF(O684 = 0,"",O684)</f>
        <v/>
      </c>
      <c r="F684" s="56"/>
      <c r="I684" s="56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</row>
    <row r="685" spans="1:123">
      <c r="B685" s="54"/>
      <c r="E685" s="73" t="str">
        <f>IF(O685 = 0,"",O685)</f>
        <v/>
      </c>
      <c r="F685" s="56"/>
      <c r="I685" s="56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</row>
    <row r="686" spans="1:123">
      <c r="B686" s="54"/>
      <c r="E686" s="73" t="str">
        <f>IF(O686 = 0,"",O686)</f>
        <v/>
      </c>
      <c r="F686" s="56"/>
      <c r="I686" s="56"/>
    </row>
    <row r="687" spans="1:123">
      <c r="B687" s="54"/>
      <c r="E687" s="73" t="str">
        <f>IF(O687 = 0,"",O687)</f>
        <v/>
      </c>
      <c r="F687" s="56"/>
      <c r="I687" s="56"/>
    </row>
    <row r="688" spans="1:123">
      <c r="B688" s="54"/>
      <c r="E688" s="73" t="str">
        <f>IF(O688 = 0,"",O688)</f>
        <v/>
      </c>
      <c r="F688" s="56"/>
      <c r="I688" s="56"/>
    </row>
    <row r="689" spans="2:9">
      <c r="B689" s="54"/>
      <c r="E689" s="73" t="str">
        <f>IF(O689 = 0,"",O689)</f>
        <v/>
      </c>
      <c r="F689" s="56"/>
      <c r="I689" s="56"/>
    </row>
    <row r="690" spans="2:9">
      <c r="B690" s="54"/>
      <c r="E690" s="73" t="str">
        <f>IF(O690 = 0,"",O690)</f>
        <v/>
      </c>
      <c r="F690" s="56"/>
      <c r="I690" s="56"/>
    </row>
    <row r="691" spans="2:9">
      <c r="B691" s="54"/>
      <c r="E691" s="73" t="str">
        <f>IF(O691 = 0,"",O691)</f>
        <v/>
      </c>
      <c r="F691" s="56"/>
      <c r="I691" s="56"/>
    </row>
    <row r="692" spans="2:9">
      <c r="B692" s="54"/>
      <c r="E692" s="73" t="str">
        <f>IF(O692 = 0,"",O692)</f>
        <v/>
      </c>
      <c r="F692" s="56"/>
      <c r="I692" s="56"/>
    </row>
    <row r="693" spans="2:9">
      <c r="B693" s="54"/>
      <c r="E693" s="73" t="str">
        <f>IF(O693 = 0,"",O693)</f>
        <v/>
      </c>
      <c r="F693" s="56"/>
      <c r="I693" s="56"/>
    </row>
    <row r="694" spans="2:9">
      <c r="B694" s="54"/>
      <c r="E694" s="73" t="str">
        <f>IF(O694 = 0,"",O694)</f>
        <v/>
      </c>
      <c r="F694" s="56"/>
      <c r="I694" s="56"/>
    </row>
    <row r="695" spans="2:9">
      <c r="B695" s="54"/>
      <c r="E695" s="73" t="str">
        <f>IF(O695 = 0,"",O695)</f>
        <v/>
      </c>
      <c r="F695" s="56"/>
      <c r="I695" s="56"/>
    </row>
    <row r="696" spans="2:9">
      <c r="B696" s="54"/>
      <c r="E696" s="73" t="str">
        <f>IF(O696 = 0,"",O696)</f>
        <v/>
      </c>
      <c r="F696" s="56"/>
      <c r="I696" s="56"/>
    </row>
    <row r="697" spans="2:9">
      <c r="B697" s="54"/>
      <c r="E697" s="73" t="str">
        <f>IF(O697 = 0,"",O697)</f>
        <v/>
      </c>
      <c r="F697" s="56"/>
      <c r="I697" s="56"/>
    </row>
    <row r="698" spans="2:9">
      <c r="B698" s="54"/>
      <c r="E698" s="73" t="str">
        <f>IF(O698 = 0,"",O698)</f>
        <v/>
      </c>
      <c r="F698" s="56"/>
      <c r="I698" s="56"/>
    </row>
    <row r="699" spans="2:9">
      <c r="B699" s="54"/>
      <c r="E699" s="73" t="str">
        <f>IF(O699 = 0,"",O699)</f>
        <v/>
      </c>
      <c r="F699" s="56"/>
      <c r="I699" s="56"/>
    </row>
    <row r="700" spans="2:9">
      <c r="B700" s="54"/>
      <c r="E700" s="73" t="str">
        <f>IF(O700 = 0,"",O700)</f>
        <v/>
      </c>
      <c r="F700" s="56"/>
      <c r="I700" s="56"/>
    </row>
    <row r="701" spans="2:9">
      <c r="B701" s="54"/>
      <c r="E701" s="73" t="str">
        <f>IF(O701 = 0,"",O701)</f>
        <v/>
      </c>
      <c r="F701" s="56"/>
      <c r="I701" s="56"/>
    </row>
    <row r="702" spans="2:9">
      <c r="B702" s="54"/>
      <c r="E702" s="73" t="str">
        <f>IF(O702 = 0,"",O702)</f>
        <v/>
      </c>
      <c r="F702" s="56"/>
      <c r="I702" s="56"/>
    </row>
    <row r="703" spans="2:9">
      <c r="B703" s="54"/>
      <c r="E703" s="73" t="str">
        <f>IF(O703 = 0,"",O703)</f>
        <v/>
      </c>
      <c r="F703" s="56"/>
      <c r="I703" s="56"/>
    </row>
    <row r="704" spans="2:9">
      <c r="B704" s="54"/>
      <c r="E704" s="73" t="str">
        <f>IF(O704 = 0,"",O704)</f>
        <v/>
      </c>
      <c r="F704" s="56"/>
      <c r="I704" s="56"/>
    </row>
    <row r="705" spans="2:9">
      <c r="B705" s="54"/>
      <c r="E705" s="73" t="str">
        <f>IF(O705 = 0,"",O705)</f>
        <v/>
      </c>
      <c r="F705" s="56"/>
      <c r="I705" s="56"/>
    </row>
    <row r="706" spans="2:9">
      <c r="B706" s="54"/>
      <c r="E706" s="73" t="str">
        <f>IF(O706 = 0,"",O706)</f>
        <v/>
      </c>
      <c r="F706" s="56"/>
      <c r="I706" s="56"/>
    </row>
    <row r="707" spans="2:9">
      <c r="B707" s="54"/>
      <c r="E707" s="73" t="str">
        <f>IF(O707 = 0,"",O707)</f>
        <v/>
      </c>
      <c r="F707" s="56"/>
      <c r="I707" s="56"/>
    </row>
    <row r="708" spans="2:9">
      <c r="B708" s="54"/>
      <c r="E708" s="73" t="str">
        <f>IF(O708 = 0,"",O708)</f>
        <v/>
      </c>
      <c r="F708" s="56"/>
      <c r="I708" s="56"/>
    </row>
    <row r="709" spans="2:9">
      <c r="B709" s="54"/>
      <c r="E709" s="73" t="str">
        <f>IF(O709 = 0,"",O709)</f>
        <v/>
      </c>
      <c r="F709" s="56"/>
      <c r="I709" s="56"/>
    </row>
    <row r="710" spans="2:9">
      <c r="B710" s="54"/>
      <c r="E710" s="73" t="str">
        <f>IF(O710 = 0,"",O710)</f>
        <v/>
      </c>
      <c r="F710" s="56"/>
      <c r="I710" s="56"/>
    </row>
    <row r="711" spans="2:9">
      <c r="B711" s="54"/>
      <c r="E711" s="73" t="str">
        <f>IF(O711 = 0,"",O711)</f>
        <v/>
      </c>
      <c r="F711" s="56"/>
      <c r="I711" s="56"/>
    </row>
    <row r="712" spans="2:9">
      <c r="B712" s="54"/>
      <c r="E712" s="73" t="str">
        <f>IF(O712 = 0,"",O712)</f>
        <v/>
      </c>
      <c r="F712" s="56"/>
      <c r="I712" s="56"/>
    </row>
    <row r="713" spans="2:9">
      <c r="B713" s="54"/>
      <c r="E713" s="73" t="str">
        <f>IF(O713 = 0,"",O713)</f>
        <v/>
      </c>
      <c r="F713" s="56"/>
      <c r="I713" s="56"/>
    </row>
    <row r="714" spans="2:9">
      <c r="B714" s="54"/>
      <c r="E714" s="73" t="str">
        <f>IF(O714 = 0,"",O714)</f>
        <v/>
      </c>
      <c r="F714" s="56"/>
      <c r="I714" s="56"/>
    </row>
    <row r="715" spans="2:9">
      <c r="B715" s="54"/>
      <c r="E715" s="73" t="str">
        <f>IF(O715 = 0,"",O715)</f>
        <v/>
      </c>
      <c r="F715" s="56"/>
      <c r="I715" s="56"/>
    </row>
    <row r="716" spans="2:9">
      <c r="B716" s="54"/>
      <c r="E716" s="73" t="str">
        <f>IF(O716 = 0,"",O716)</f>
        <v/>
      </c>
      <c r="F716" s="56"/>
      <c r="I716" s="56"/>
    </row>
    <row r="717" spans="2:9">
      <c r="B717" s="54"/>
      <c r="E717" s="73" t="str">
        <f>IF(O717 = 0,"",O717)</f>
        <v/>
      </c>
      <c r="F717" s="56"/>
      <c r="I717" s="56"/>
    </row>
    <row r="718" spans="2:9">
      <c r="B718" s="54"/>
      <c r="E718" s="73" t="str">
        <f>IF(O718 = 0,"",O718)</f>
        <v/>
      </c>
      <c r="F718" s="56"/>
      <c r="I718" s="56"/>
    </row>
    <row r="719" spans="2:9">
      <c r="B719" s="54"/>
      <c r="E719" s="73" t="str">
        <f>IF(O719 = 0,"",O719)</f>
        <v/>
      </c>
      <c r="F719" s="56"/>
      <c r="I719" s="56"/>
    </row>
    <row r="720" spans="2:9">
      <c r="B720" s="54"/>
      <c r="E720" s="73" t="str">
        <f>IF(O720 = 0,"",O720)</f>
        <v/>
      </c>
      <c r="F720" s="56"/>
      <c r="I720" s="56"/>
    </row>
    <row r="721" spans="2:9">
      <c r="B721" s="54"/>
      <c r="E721" s="73" t="str">
        <f>IF(O721 = 0,"",O721)</f>
        <v/>
      </c>
      <c r="F721" s="56"/>
      <c r="I721" s="56"/>
    </row>
    <row r="722" spans="2:9">
      <c r="B722" s="54"/>
      <c r="E722" s="73" t="str">
        <f>IF(O722 = 0,"",O722)</f>
        <v/>
      </c>
      <c r="F722" s="56"/>
      <c r="I722" s="56"/>
    </row>
    <row r="723" spans="2:9">
      <c r="B723" s="54"/>
      <c r="E723" s="73" t="str">
        <f>IF(O723 = 0,"",O723)</f>
        <v/>
      </c>
      <c r="F723" s="56"/>
      <c r="I723" s="56"/>
    </row>
    <row r="724" spans="2:9">
      <c r="B724" s="54"/>
      <c r="E724" s="73" t="str">
        <f>IF(O724 = 0,"",O724)</f>
        <v/>
      </c>
      <c r="F724" s="56"/>
      <c r="I724" s="56"/>
    </row>
    <row r="725" spans="2:9">
      <c r="B725" s="54"/>
      <c r="E725" s="73" t="str">
        <f>IF(O725 = 0,"",O725)</f>
        <v/>
      </c>
      <c r="F725" s="56"/>
      <c r="I725" s="56"/>
    </row>
    <row r="726" spans="2:9">
      <c r="B726" s="54"/>
      <c r="E726" s="73" t="str">
        <f>IF(O726 = 0,"",O726)</f>
        <v/>
      </c>
      <c r="F726" s="56"/>
      <c r="I726" s="56"/>
    </row>
    <row r="727" spans="2:9">
      <c r="B727" s="54"/>
      <c r="E727" s="73" t="str">
        <f>IF(O727 = 0,"",O727)</f>
        <v/>
      </c>
      <c r="F727" s="56"/>
      <c r="I727" s="56"/>
    </row>
    <row r="728" spans="2:9">
      <c r="B728" s="54"/>
      <c r="E728" s="73" t="str">
        <f>IF(O728 = 0,"",O728)</f>
        <v/>
      </c>
      <c r="F728" s="56"/>
      <c r="I728" s="56"/>
    </row>
    <row r="729" spans="2:9">
      <c r="B729" s="54"/>
      <c r="E729" s="73" t="str">
        <f>IF(O729 = 0,"",O729)</f>
        <v/>
      </c>
      <c r="F729" s="56"/>
      <c r="I729" s="56"/>
    </row>
    <row r="730" spans="2:9">
      <c r="B730" s="54"/>
      <c r="E730" s="73" t="str">
        <f>IF(O730 = 0,"",O730)</f>
        <v/>
      </c>
      <c r="F730" s="56"/>
      <c r="I730" s="56"/>
    </row>
    <row r="731" spans="2:9">
      <c r="B731" s="54"/>
      <c r="E731" s="73" t="str">
        <f>IF(O731 = 0,"",O731)</f>
        <v/>
      </c>
      <c r="F731" s="56"/>
      <c r="I731" s="56"/>
    </row>
    <row r="732" spans="2:9">
      <c r="B732" s="54"/>
      <c r="E732" s="73" t="str">
        <f>IF(O732 = 0,"",O732)</f>
        <v/>
      </c>
      <c r="F732" s="56"/>
      <c r="I732" s="56"/>
    </row>
    <row r="733" spans="2:9">
      <c r="B733" s="54"/>
      <c r="E733" s="73" t="str">
        <f>IF(O733 = 0,"",O733)</f>
        <v/>
      </c>
      <c r="F733" s="56"/>
      <c r="I733" s="56"/>
    </row>
    <row r="734" spans="2:9">
      <c r="B734" s="54"/>
      <c r="E734" s="73" t="str">
        <f>IF(O734 = 0,"",O734)</f>
        <v/>
      </c>
      <c r="F734" s="56"/>
      <c r="I734" s="56"/>
    </row>
    <row r="735" spans="2:9">
      <c r="B735" s="54"/>
      <c r="E735" s="73" t="str">
        <f>IF(O735 = 0,"",O735)</f>
        <v/>
      </c>
      <c r="F735" s="56"/>
      <c r="I735" s="56"/>
    </row>
    <row r="736" spans="2:9">
      <c r="B736" s="54"/>
      <c r="E736" s="73" t="str">
        <f>IF(O736 = 0,"",O736)</f>
        <v/>
      </c>
      <c r="F736" s="56"/>
      <c r="I736" s="56"/>
    </row>
    <row r="737" spans="2:9">
      <c r="B737" s="54"/>
      <c r="E737" s="73" t="str">
        <f>IF(O737 = 0,"",O737)</f>
        <v/>
      </c>
      <c r="F737" s="56"/>
      <c r="I737" s="56"/>
    </row>
    <row r="738" spans="2:9">
      <c r="B738" s="54"/>
      <c r="E738" s="73" t="str">
        <f>IF(O738 = 0,"",O738)</f>
        <v/>
      </c>
      <c r="F738" s="56"/>
      <c r="I738" s="56"/>
    </row>
    <row r="739" spans="2:9">
      <c r="B739" s="54"/>
      <c r="E739" s="73" t="str">
        <f>IF(O739 = 0,"",O739)</f>
        <v/>
      </c>
      <c r="F739" s="56"/>
      <c r="I739" s="56"/>
    </row>
    <row r="740" spans="2:9">
      <c r="B740" s="54"/>
      <c r="E740" s="73" t="str">
        <f>IF(O740 = 0,"",O740)</f>
        <v/>
      </c>
      <c r="F740" s="56"/>
      <c r="I740" s="56"/>
    </row>
    <row r="741" spans="2:9">
      <c r="B741" s="54"/>
      <c r="E741" s="73" t="str">
        <f>IF(O741 = 0,"",O741)</f>
        <v/>
      </c>
      <c r="F741" s="56"/>
      <c r="I741" s="56"/>
    </row>
    <row r="742" spans="2:9">
      <c r="B742" s="54"/>
      <c r="E742" s="73" t="str">
        <f>IF(O742 = 0,"",O742)</f>
        <v/>
      </c>
      <c r="F742" s="56"/>
      <c r="I742" s="56"/>
    </row>
    <row r="743" spans="2:9">
      <c r="B743" s="54"/>
      <c r="E743" s="73" t="str">
        <f>IF(O743 = 0,"",O743)</f>
        <v/>
      </c>
      <c r="F743" s="56"/>
      <c r="I743" s="56"/>
    </row>
    <row r="744" spans="2:9">
      <c r="B744" s="54"/>
      <c r="E744" s="73" t="str">
        <f>IF(O744 = 0,"",O744)</f>
        <v/>
      </c>
      <c r="F744" s="56"/>
      <c r="I744" s="56"/>
    </row>
    <row r="745" spans="2:9">
      <c r="B745" s="54"/>
      <c r="E745" s="73" t="str">
        <f>IF(O745 = 0,"",O745)</f>
        <v/>
      </c>
      <c r="F745" s="56"/>
      <c r="I745" s="56"/>
    </row>
    <row r="746" spans="2:9">
      <c r="B746" s="54"/>
      <c r="E746" s="73" t="str">
        <f>IF(O746 = 0,"",O746)</f>
        <v/>
      </c>
      <c r="F746" s="56"/>
      <c r="I746" s="56"/>
    </row>
    <row r="747" spans="2:9">
      <c r="B747" s="54"/>
      <c r="E747" s="73" t="str">
        <f>IF(O747 = 0,"",O747)</f>
        <v/>
      </c>
      <c r="F747" s="56"/>
      <c r="I747" s="56"/>
    </row>
    <row r="748" spans="2:9">
      <c r="B748" s="54"/>
      <c r="E748" s="73" t="str">
        <f>IF(O748 = 0,"",O748)</f>
        <v/>
      </c>
      <c r="F748" s="56"/>
      <c r="I748" s="56"/>
    </row>
    <row r="749" spans="2:9">
      <c r="B749" s="54"/>
      <c r="E749" s="73" t="str">
        <f>IF(O749 = 0,"",O749)</f>
        <v/>
      </c>
      <c r="F749" s="56"/>
      <c r="I749" s="56"/>
    </row>
    <row r="750" spans="2:9">
      <c r="B750" s="54"/>
      <c r="E750" s="73" t="str">
        <f>IF(O750 = 0,"",O750)</f>
        <v/>
      </c>
      <c r="F750" s="56"/>
      <c r="I750" s="56"/>
    </row>
    <row r="751" spans="2:9">
      <c r="B751" s="54"/>
      <c r="E751" s="73" t="str">
        <f>IF(O751 = 0,"",O751)</f>
        <v/>
      </c>
      <c r="F751" s="56"/>
      <c r="I751" s="56"/>
    </row>
    <row r="752" spans="2:9">
      <c r="B752" s="54"/>
      <c r="E752" s="73" t="str">
        <f>IF(O752 = 0,"",O752)</f>
        <v/>
      </c>
      <c r="F752" s="56"/>
      <c r="I752" s="56"/>
    </row>
    <row r="753" spans="2:9">
      <c r="B753" s="54"/>
      <c r="E753" s="73" t="str">
        <f>IF(O753 = 0,"",O753)</f>
        <v/>
      </c>
      <c r="F753" s="56"/>
      <c r="I753" s="56"/>
    </row>
    <row r="754" spans="2:9">
      <c r="B754" s="54"/>
      <c r="E754" s="73" t="str">
        <f>IF(O754 = 0,"",O754)</f>
        <v/>
      </c>
      <c r="F754" s="56"/>
      <c r="I754" s="56"/>
    </row>
    <row r="755" spans="2:9">
      <c r="B755" s="54"/>
      <c r="E755" s="73" t="str">
        <f>IF(O755 = 0,"",O755)</f>
        <v/>
      </c>
      <c r="F755" s="56"/>
      <c r="I755" s="56"/>
    </row>
    <row r="756" spans="2:9">
      <c r="B756" s="54"/>
      <c r="E756" s="73" t="str">
        <f>IF(O756 = 0,"",O756)</f>
        <v/>
      </c>
      <c r="F756" s="56"/>
      <c r="I756" s="56"/>
    </row>
    <row r="757" spans="2:9">
      <c r="B757" s="54"/>
      <c r="E757" s="73" t="str">
        <f>IF(O757 = 0,"",O757)</f>
        <v/>
      </c>
      <c r="F757" s="56"/>
      <c r="I757" s="56"/>
    </row>
    <row r="758" spans="2:9">
      <c r="B758" s="54"/>
      <c r="E758" s="73" t="str">
        <f>IF(O758 = 0,"",O758)</f>
        <v/>
      </c>
      <c r="F758" s="56"/>
      <c r="I758" s="56"/>
    </row>
    <row r="759" spans="2:9">
      <c r="B759" s="54"/>
      <c r="E759" s="73" t="str">
        <f>IF(O759 = 0,"",O759)</f>
        <v/>
      </c>
      <c r="F759" s="56"/>
      <c r="I759" s="56"/>
    </row>
    <row r="760" spans="2:9">
      <c r="B760" s="54"/>
      <c r="E760" s="73" t="str">
        <f>IF(O760 = 0,"",O760)</f>
        <v/>
      </c>
      <c r="F760" s="56"/>
      <c r="I760" s="56"/>
    </row>
    <row r="761" spans="2:9">
      <c r="B761" s="54"/>
      <c r="E761" s="73" t="str">
        <f>IF(O761 = 0,"",O761)</f>
        <v/>
      </c>
      <c r="F761" s="56"/>
      <c r="I761" s="56"/>
    </row>
    <row r="762" spans="2:9">
      <c r="B762" s="54"/>
      <c r="E762" s="73" t="str">
        <f>IF(O762 = 0,"",O762)</f>
        <v/>
      </c>
      <c r="F762" s="56"/>
      <c r="I762" s="56"/>
    </row>
    <row r="763" spans="2:9">
      <c r="B763" s="54"/>
      <c r="E763" s="73" t="str">
        <f>IF(O763 = 0,"",O763)</f>
        <v/>
      </c>
      <c r="F763" s="56"/>
      <c r="I763" s="56"/>
    </row>
    <row r="764" spans="2:9">
      <c r="B764" s="54"/>
      <c r="E764" s="73" t="str">
        <f>IF(O764 = 0,"",O764)</f>
        <v/>
      </c>
      <c r="F764" s="56"/>
      <c r="I764" s="56"/>
    </row>
    <row r="765" spans="2:9">
      <c r="B765" s="54"/>
      <c r="E765" s="73" t="str">
        <f>IF(O765 = 0,"",O765)</f>
        <v/>
      </c>
      <c r="F765" s="56"/>
      <c r="I765" s="56"/>
    </row>
    <row r="766" spans="2:9">
      <c r="B766" s="54"/>
      <c r="E766" s="73" t="str">
        <f>IF(O766 = 0,"",O766)</f>
        <v/>
      </c>
      <c r="F766" s="56"/>
      <c r="I766" s="56"/>
    </row>
    <row r="767" spans="2:9">
      <c r="B767" s="54"/>
      <c r="E767" s="73" t="str">
        <f>IF(O767 = 0,"",O767)</f>
        <v/>
      </c>
      <c r="F767" s="56"/>
      <c r="I767" s="56"/>
    </row>
    <row r="768" spans="2:9">
      <c r="B768" s="54"/>
      <c r="E768" s="73" t="str">
        <f>IF(O768 = 0,"",O768)</f>
        <v/>
      </c>
      <c r="F768" s="56"/>
      <c r="I768" s="56"/>
    </row>
    <row r="769" spans="2:9">
      <c r="B769" s="54"/>
      <c r="E769" s="73" t="str">
        <f>IF(O769 = 0,"",O769)</f>
        <v/>
      </c>
      <c r="F769" s="56"/>
      <c r="I769" s="56"/>
    </row>
    <row r="770" spans="2:9">
      <c r="B770" s="54"/>
      <c r="E770" s="73" t="str">
        <f>IF(O770 = 0,"",O770)</f>
        <v/>
      </c>
      <c r="F770" s="56"/>
      <c r="I770" s="56"/>
    </row>
    <row r="771" spans="2:9">
      <c r="B771" s="54"/>
      <c r="E771" s="73" t="str">
        <f>IF(O771 = 0,"",O771)</f>
        <v/>
      </c>
      <c r="F771" s="56"/>
      <c r="I771" s="56"/>
    </row>
    <row r="772" spans="2:9">
      <c r="B772" s="54"/>
      <c r="E772" s="73" t="str">
        <f>IF(O772 = 0,"",O772)</f>
        <v/>
      </c>
      <c r="F772" s="56"/>
      <c r="I772" s="56"/>
    </row>
    <row r="773" spans="2:9">
      <c r="B773" s="54"/>
      <c r="E773" s="73" t="str">
        <f>IF(O773 = 0,"",O773)</f>
        <v/>
      </c>
      <c r="F773" s="56"/>
      <c r="I773" s="56"/>
    </row>
    <row r="774" spans="2:9">
      <c r="B774" s="54"/>
      <c r="E774" s="73" t="str">
        <f>IF(O774 = 0,"",O774)</f>
        <v/>
      </c>
      <c r="F774" s="56"/>
      <c r="I774" s="56"/>
    </row>
    <row r="775" spans="2:9">
      <c r="B775" s="54"/>
      <c r="E775" s="73" t="str">
        <f>IF(O775 = 0,"",O775)</f>
        <v/>
      </c>
      <c r="F775" s="56"/>
      <c r="I775" s="56"/>
    </row>
    <row r="776" spans="2:9">
      <c r="B776" s="54"/>
      <c r="E776" s="73" t="str">
        <f>IF(O776 = 0,"",O776)</f>
        <v/>
      </c>
      <c r="F776" s="56"/>
      <c r="I776" s="56"/>
    </row>
    <row r="777" spans="2:9">
      <c r="B777" s="54"/>
      <c r="E777" s="73" t="str">
        <f>IF(O777 = 0,"",O777)</f>
        <v/>
      </c>
      <c r="F777" s="56"/>
      <c r="I777" s="56"/>
    </row>
    <row r="778" spans="2:9">
      <c r="B778" s="54"/>
      <c r="E778" s="73" t="str">
        <f>IF(O778 = 0,"",O778)</f>
        <v/>
      </c>
      <c r="F778" s="56"/>
      <c r="I778" s="56"/>
    </row>
    <row r="779" spans="2:9">
      <c r="B779" s="54"/>
      <c r="E779" s="73" t="str">
        <f>IF(O779 = 0,"",O779)</f>
        <v/>
      </c>
      <c r="F779" s="56"/>
      <c r="I779" s="56"/>
    </row>
    <row r="780" spans="2:9">
      <c r="B780" s="54"/>
      <c r="E780" s="73" t="str">
        <f>IF(O780 = 0,"",O780)</f>
        <v/>
      </c>
      <c r="F780" s="56"/>
      <c r="I780" s="56"/>
    </row>
    <row r="781" spans="2:9">
      <c r="B781" s="54"/>
      <c r="E781" s="73" t="str">
        <f>IF(O781 = 0,"",O781)</f>
        <v/>
      </c>
      <c r="F781" s="56"/>
      <c r="I781" s="56"/>
    </row>
    <row r="782" spans="2:9">
      <c r="B782" s="54"/>
      <c r="E782" s="73" t="str">
        <f>IF(O782 = 0,"",O782)</f>
        <v/>
      </c>
      <c r="F782" s="56"/>
      <c r="I782" s="56"/>
    </row>
    <row r="783" spans="2:9">
      <c r="B783" s="54"/>
      <c r="E783" s="73" t="str">
        <f>IF(O783 = 0,"",O783)</f>
        <v/>
      </c>
      <c r="F783" s="56"/>
      <c r="I783" s="56"/>
    </row>
    <row r="784" spans="2:9">
      <c r="B784" s="54"/>
      <c r="E784" s="73" t="str">
        <f>IF(O784 = 0,"",O784)</f>
        <v/>
      </c>
      <c r="F784" s="56"/>
      <c r="I784" s="56"/>
    </row>
    <row r="785" spans="2:9">
      <c r="B785" s="54"/>
      <c r="E785" s="73" t="str">
        <f>IF(O785 = 0,"",O785)</f>
        <v/>
      </c>
      <c r="F785" s="56"/>
      <c r="I785" s="56"/>
    </row>
    <row r="786" spans="2:9">
      <c r="B786" s="54"/>
      <c r="E786" s="73" t="str">
        <f>IF(O786 = 0,"",O786)</f>
        <v/>
      </c>
      <c r="F786" s="56"/>
      <c r="I786" s="56"/>
    </row>
    <row r="787" spans="2:9">
      <c r="B787" s="54"/>
      <c r="E787" s="73" t="str">
        <f>IF(O787 = 0,"",O787)</f>
        <v/>
      </c>
      <c r="F787" s="56"/>
      <c r="I787" s="56"/>
    </row>
    <row r="788" spans="2:9">
      <c r="B788" s="54"/>
      <c r="E788" s="73" t="str">
        <f>IF(O788 = 0,"",O788)</f>
        <v/>
      </c>
      <c r="F788" s="56"/>
      <c r="I788" s="56"/>
    </row>
    <row r="789" spans="2:9">
      <c r="B789" s="54"/>
      <c r="E789" s="73" t="str">
        <f>IF(O789 = 0,"",O789)</f>
        <v/>
      </c>
      <c r="F789" s="56"/>
      <c r="I789" s="56"/>
    </row>
    <row r="790" spans="2:9">
      <c r="B790" s="54"/>
      <c r="E790" s="73" t="str">
        <f>IF(O790 = 0,"",O790)</f>
        <v/>
      </c>
      <c r="F790" s="56"/>
      <c r="I790" s="56"/>
    </row>
    <row r="791" spans="2:9">
      <c r="B791" s="54"/>
      <c r="E791" s="73" t="str">
        <f>IF(O791 = 0,"",O791)</f>
        <v/>
      </c>
      <c r="F791" s="56"/>
      <c r="I791" s="56"/>
    </row>
    <row r="792" spans="2:9">
      <c r="B792" s="54"/>
      <c r="E792" s="73" t="str">
        <f>IF(O792 = 0,"",O792)</f>
        <v/>
      </c>
      <c r="F792" s="56"/>
      <c r="I792" s="56"/>
    </row>
    <row r="793" spans="2:9">
      <c r="B793" s="54"/>
      <c r="E793" s="73" t="str">
        <f>IF(O793 = 0,"",O793)</f>
        <v/>
      </c>
      <c r="F793" s="56"/>
      <c r="I793" s="56"/>
    </row>
    <row r="794" spans="2:9">
      <c r="B794" s="54"/>
      <c r="E794" s="73" t="str">
        <f>IF(O794 = 0,"",O794)</f>
        <v/>
      </c>
      <c r="F794" s="56"/>
      <c r="I794" s="56"/>
    </row>
    <row r="795" spans="2:9">
      <c r="B795" s="54"/>
      <c r="E795" s="73" t="str">
        <f>IF(O795 = 0,"",O795)</f>
        <v/>
      </c>
      <c r="F795" s="56"/>
      <c r="I795" s="56"/>
    </row>
    <row r="796" spans="2:9">
      <c r="B796" s="54"/>
      <c r="E796" s="73" t="str">
        <f>IF(O796 = 0,"",O796)</f>
        <v/>
      </c>
      <c r="F796" s="56"/>
      <c r="I796" s="56"/>
    </row>
    <row r="797" spans="2:9">
      <c r="B797" s="54"/>
      <c r="E797" s="73" t="str">
        <f>IF(O797 = 0,"",O797)</f>
        <v/>
      </c>
      <c r="F797" s="56"/>
      <c r="I797" s="56"/>
    </row>
    <row r="798" spans="2:9">
      <c r="B798" s="54"/>
      <c r="E798" s="73" t="str">
        <f>IF(O798 = 0,"",O798)</f>
        <v/>
      </c>
      <c r="F798" s="56"/>
      <c r="I798" s="56"/>
    </row>
    <row r="799" spans="2:9">
      <c r="B799" s="54"/>
      <c r="E799" s="73" t="str">
        <f>IF(O799 = 0,"",O799)</f>
        <v/>
      </c>
      <c r="F799" s="56"/>
      <c r="I799" s="56"/>
    </row>
    <row r="800" spans="2:9">
      <c r="B800" s="54"/>
      <c r="E800" s="73" t="str">
        <f>IF(O800 = 0,"",O800)</f>
        <v/>
      </c>
      <c r="F800" s="56"/>
      <c r="I800" s="56"/>
    </row>
    <row r="801" spans="2:9">
      <c r="B801" s="54"/>
      <c r="E801" s="73" t="str">
        <f>IF(O801 = 0,"",O801)</f>
        <v/>
      </c>
      <c r="F801" s="56"/>
      <c r="I801" s="56"/>
    </row>
    <row r="802" spans="2:9">
      <c r="B802" s="54"/>
      <c r="E802" s="73" t="str">
        <f>IF(O802 = 0,"",O802)</f>
        <v/>
      </c>
      <c r="F802" s="56"/>
      <c r="I802" s="56"/>
    </row>
    <row r="803" spans="2:9">
      <c r="B803" s="54"/>
      <c r="E803" s="73" t="str">
        <f>IF(O803 = 0,"",O803)</f>
        <v/>
      </c>
      <c r="F803" s="56"/>
      <c r="I803" s="56"/>
    </row>
    <row r="804" spans="2:9">
      <c r="B804" s="54"/>
      <c r="E804" s="73" t="str">
        <f>IF(O804 = 0,"",O804)</f>
        <v/>
      </c>
      <c r="F804" s="56"/>
      <c r="I804" s="56"/>
    </row>
    <row r="805" spans="2:9">
      <c r="B805" s="54"/>
      <c r="E805" s="73" t="str">
        <f>IF(O805 = 0,"",O805)</f>
        <v/>
      </c>
      <c r="F805" s="56"/>
      <c r="I805" s="56"/>
    </row>
    <row r="806" spans="2:9">
      <c r="B806" s="54"/>
      <c r="E806" s="73" t="str">
        <f>IF(O806 = 0,"",O806)</f>
        <v/>
      </c>
      <c r="F806" s="56"/>
      <c r="I806" s="56"/>
    </row>
    <row r="807" spans="2:9">
      <c r="B807" s="54"/>
      <c r="E807" s="73" t="str">
        <f>IF(O807 = 0,"",O807)</f>
        <v/>
      </c>
      <c r="F807" s="56"/>
      <c r="I807" s="56"/>
    </row>
    <row r="808" spans="2:9">
      <c r="B808" s="54"/>
      <c r="E808" s="73" t="str">
        <f>IF(O808 = 0,"",O808)</f>
        <v/>
      </c>
      <c r="F808" s="56"/>
      <c r="I808" s="56"/>
    </row>
    <row r="809" spans="2:9">
      <c r="B809" s="54"/>
      <c r="E809" s="73" t="str">
        <f>IF(O809 = 0,"",O809)</f>
        <v/>
      </c>
      <c r="F809" s="56"/>
      <c r="I809" s="56"/>
    </row>
    <row r="810" spans="2:9">
      <c r="B810" s="54"/>
      <c r="E810" s="73" t="str">
        <f>IF(O810 = 0,"",O810)</f>
        <v/>
      </c>
      <c r="F810" s="56"/>
      <c r="I810" s="56"/>
    </row>
    <row r="811" spans="2:9">
      <c r="B811" s="54"/>
      <c r="E811" s="73" t="str">
        <f>IF(O811 = 0,"",O811)</f>
        <v/>
      </c>
      <c r="F811" s="56"/>
      <c r="I811" s="56"/>
    </row>
    <row r="812" spans="2:9">
      <c r="B812" s="54"/>
      <c r="E812" s="73" t="str">
        <f>IF(O812 = 0,"",O812)</f>
        <v/>
      </c>
      <c r="F812" s="56"/>
      <c r="I812" s="56"/>
    </row>
    <row r="813" spans="2:9">
      <c r="B813" s="54"/>
      <c r="E813" s="73" t="str">
        <f>IF(O813 = 0,"",O813)</f>
        <v/>
      </c>
      <c r="F813" s="56"/>
      <c r="I813" s="56"/>
    </row>
    <row r="814" spans="2:9">
      <c r="B814" s="54"/>
      <c r="E814" s="73" t="str">
        <f>IF(O814 = 0,"",O814)</f>
        <v/>
      </c>
      <c r="F814" s="56"/>
      <c r="I814" s="56"/>
    </row>
    <row r="815" spans="2:9">
      <c r="B815" s="54"/>
      <c r="E815" s="73" t="str">
        <f>IF(O815 = 0,"",O815)</f>
        <v/>
      </c>
      <c r="F815" s="56"/>
      <c r="I815" s="56"/>
    </row>
    <row r="816" spans="2:9">
      <c r="B816" s="54"/>
      <c r="E816" s="73" t="str">
        <f>IF(O816 = 0,"",O816)</f>
        <v/>
      </c>
      <c r="F816" s="56"/>
      <c r="I816" s="56"/>
    </row>
    <row r="817" spans="2:9">
      <c r="B817" s="54"/>
      <c r="E817" s="73" t="str">
        <f>IF(O817 = 0,"",O817)</f>
        <v/>
      </c>
      <c r="F817" s="56"/>
      <c r="I817" s="56"/>
    </row>
    <row r="818" spans="2:9">
      <c r="B818" s="54"/>
      <c r="E818" s="73" t="str">
        <f>IF(O818 = 0,"",O818)</f>
        <v/>
      </c>
      <c r="F818" s="56"/>
      <c r="I818" s="56"/>
    </row>
    <row r="819" spans="2:9">
      <c r="B819" s="54"/>
      <c r="E819" s="73" t="str">
        <f>IF(O819 = 0,"",O819)</f>
        <v/>
      </c>
      <c r="F819" s="56"/>
      <c r="I819" s="56"/>
    </row>
    <row r="820" spans="2:9">
      <c r="B820" s="54"/>
      <c r="E820" s="73" t="str">
        <f>IF(O820 = 0,"",O820)</f>
        <v/>
      </c>
      <c r="F820" s="56"/>
      <c r="I820" s="56"/>
    </row>
    <row r="821" spans="2:9">
      <c r="B821" s="54"/>
      <c r="E821" s="73" t="str">
        <f>IF(O821 = 0,"",O821)</f>
        <v/>
      </c>
      <c r="F821" s="56"/>
      <c r="I821" s="56"/>
    </row>
    <row r="822" spans="2:9">
      <c r="B822" s="54"/>
      <c r="E822" s="73" t="str">
        <f>IF(O822 = 0,"",O822)</f>
        <v/>
      </c>
      <c r="F822" s="56"/>
      <c r="I822" s="56"/>
    </row>
    <row r="823" spans="2:9">
      <c r="B823" s="54"/>
      <c r="E823" s="73" t="str">
        <f>IF(O823 = 0,"",O823)</f>
        <v/>
      </c>
      <c r="F823" s="56"/>
      <c r="I823" s="56"/>
    </row>
    <row r="824" spans="2:9">
      <c r="B824" s="54"/>
      <c r="E824" s="73" t="str">
        <f>IF(O824 = 0,"",O824)</f>
        <v/>
      </c>
      <c r="F824" s="56"/>
      <c r="I824" s="56"/>
    </row>
    <row r="825" spans="2:9">
      <c r="B825" s="54"/>
      <c r="E825" s="73" t="str">
        <f>IF(O825 = 0,"",O825)</f>
        <v/>
      </c>
      <c r="F825" s="56"/>
      <c r="I825" s="56"/>
    </row>
    <row r="826" spans="2:9">
      <c r="B826" s="54"/>
      <c r="E826" s="73" t="str">
        <f>IF(O826 = 0,"",O826)</f>
        <v/>
      </c>
      <c r="F826" s="56"/>
      <c r="I826" s="56"/>
    </row>
    <row r="827" spans="2:9">
      <c r="B827" s="54"/>
      <c r="E827" s="73" t="str">
        <f>IF(O827 = 0,"",O827)</f>
        <v/>
      </c>
      <c r="F827" s="56"/>
      <c r="I827" s="56"/>
    </row>
    <row r="828" spans="2:9">
      <c r="B828" s="54"/>
      <c r="E828" s="73" t="str">
        <f>IF(O828 = 0,"",O828)</f>
        <v/>
      </c>
      <c r="F828" s="56"/>
      <c r="I828" s="56"/>
    </row>
    <row r="829" spans="2:9">
      <c r="B829" s="54"/>
      <c r="E829" s="73" t="str">
        <f>IF(O829 = 0,"",O829)</f>
        <v/>
      </c>
      <c r="F829" s="56"/>
      <c r="I829" s="56"/>
    </row>
    <row r="830" spans="2:9">
      <c r="B830" s="54"/>
      <c r="E830" s="73" t="str">
        <f>IF(O830 = 0,"",O830)</f>
        <v/>
      </c>
      <c r="F830" s="56"/>
      <c r="I830" s="56"/>
    </row>
    <row r="831" spans="2:9">
      <c r="B831" s="54"/>
      <c r="E831" s="73" t="str">
        <f>IF(O831 = 0,"",O831)</f>
        <v/>
      </c>
      <c r="F831" s="56"/>
      <c r="I831" s="56"/>
    </row>
    <row r="832" spans="2:9">
      <c r="B832" s="54"/>
      <c r="E832" s="73" t="str">
        <f>IF(O832 = 0,"",O832)</f>
        <v/>
      </c>
      <c r="F832" s="56"/>
      <c r="I832" s="56"/>
    </row>
    <row r="833" spans="2:9">
      <c r="B833" s="54"/>
      <c r="E833" s="73" t="str">
        <f>IF(O833 = 0,"",O833)</f>
        <v/>
      </c>
      <c r="F833" s="56"/>
      <c r="I833" s="56"/>
    </row>
    <row r="834" spans="2:9">
      <c r="B834" s="54"/>
      <c r="E834" s="73" t="str">
        <f>IF(O834 = 0,"",O834)</f>
        <v/>
      </c>
      <c r="F834" s="56"/>
      <c r="I834" s="56"/>
    </row>
    <row r="835" spans="2:9">
      <c r="B835" s="54"/>
      <c r="E835" s="73" t="str">
        <f>IF(O835 = 0,"",O835)</f>
        <v/>
      </c>
      <c r="F835" s="56"/>
      <c r="I835" s="56"/>
    </row>
    <row r="836" spans="2:9">
      <c r="B836" s="54"/>
      <c r="E836" s="73" t="str">
        <f>IF(O836 = 0,"",O836)</f>
        <v/>
      </c>
      <c r="F836" s="56"/>
      <c r="I836" s="56"/>
    </row>
    <row r="837" spans="2:9">
      <c r="B837" s="54"/>
      <c r="E837" s="73" t="str">
        <f>IF(O837 = 0,"",O837)</f>
        <v/>
      </c>
      <c r="F837" s="56"/>
      <c r="I837" s="56"/>
    </row>
    <row r="838" spans="2:9">
      <c r="B838" s="54"/>
      <c r="E838" s="73" t="str">
        <f>IF(O838 = 0,"",O838)</f>
        <v/>
      </c>
      <c r="F838" s="56"/>
      <c r="I838" s="56"/>
    </row>
    <row r="839" spans="2:9">
      <c r="B839" s="54"/>
      <c r="E839" s="73" t="str">
        <f>IF(O839 = 0,"",O839)</f>
        <v/>
      </c>
      <c r="F839" s="56"/>
      <c r="I839" s="56"/>
    </row>
    <row r="840" spans="2:9">
      <c r="B840" s="54"/>
      <c r="E840" s="73" t="str">
        <f>IF(O840 = 0,"",O840)</f>
        <v/>
      </c>
      <c r="F840" s="56"/>
      <c r="I840" s="56"/>
    </row>
    <row r="841" spans="2:9">
      <c r="B841" s="54"/>
      <c r="E841" s="73" t="str">
        <f>IF(O841 = 0,"",O841)</f>
        <v/>
      </c>
      <c r="F841" s="56"/>
      <c r="I841" s="56"/>
    </row>
    <row r="842" spans="2:9">
      <c r="B842" s="54"/>
      <c r="E842" s="73" t="str">
        <f>IF(O842 = 0,"",O842)</f>
        <v/>
      </c>
      <c r="F842" s="56"/>
      <c r="I842" s="56"/>
    </row>
    <row r="843" spans="2:9">
      <c r="B843" s="54"/>
      <c r="E843" s="73" t="str">
        <f>IF(O843 = 0,"",O843)</f>
        <v/>
      </c>
      <c r="F843" s="56"/>
      <c r="I843" s="56"/>
    </row>
    <row r="844" spans="2:9">
      <c r="B844" s="54"/>
      <c r="E844" s="73" t="str">
        <f>IF(O844 = 0,"",O844)</f>
        <v/>
      </c>
      <c r="F844" s="56"/>
      <c r="I844" s="56"/>
    </row>
    <row r="845" spans="2:9">
      <c r="B845" s="54"/>
      <c r="E845" s="73" t="str">
        <f>IF(O845 = 0,"",O845)</f>
        <v/>
      </c>
      <c r="F845" s="56"/>
      <c r="I845" s="56"/>
    </row>
    <row r="846" spans="2:9">
      <c r="B846" s="54"/>
      <c r="E846" s="73" t="str">
        <f>IF(O846 = 0,"",O846)</f>
        <v/>
      </c>
      <c r="F846" s="56"/>
      <c r="I846" s="56"/>
    </row>
    <row r="847" spans="2:9">
      <c r="B847" s="54"/>
      <c r="E847" s="73" t="str">
        <f>IF(O847 = 0,"",O847)</f>
        <v/>
      </c>
      <c r="F847" s="56"/>
      <c r="I847" s="56"/>
    </row>
    <row r="848" spans="2:9">
      <c r="B848" s="54"/>
      <c r="E848" s="73" t="str">
        <f>IF(O848 = 0,"",O848)</f>
        <v/>
      </c>
      <c r="F848" s="56"/>
      <c r="I848" s="56"/>
    </row>
    <row r="849" spans="2:9">
      <c r="B849" s="54"/>
      <c r="E849" s="73" t="str">
        <f>IF(O849 = 0,"",O849)</f>
        <v/>
      </c>
      <c r="F849" s="56"/>
      <c r="I849" s="56"/>
    </row>
    <row r="850" spans="2:9">
      <c r="B850" s="54"/>
      <c r="E850" s="73" t="str">
        <f>IF(O850 = 0,"",O850)</f>
        <v/>
      </c>
      <c r="F850" s="56"/>
      <c r="I850" s="56"/>
    </row>
    <row r="851" spans="2:9">
      <c r="B851" s="54"/>
      <c r="E851" s="73" t="str">
        <f>IF(O851 = 0,"",O851)</f>
        <v/>
      </c>
      <c r="F851" s="56"/>
      <c r="I851" s="56"/>
    </row>
    <row r="852" spans="2:9">
      <c r="B852" s="54"/>
      <c r="E852" s="73" t="str">
        <f>IF(O852 = 0,"",O852)</f>
        <v/>
      </c>
      <c r="F852" s="56"/>
      <c r="I852" s="56"/>
    </row>
    <row r="853" spans="2:9">
      <c r="B853" s="54"/>
      <c r="E853" s="73" t="str">
        <f>IF(O853 = 0,"",O853)</f>
        <v/>
      </c>
      <c r="F853" s="56"/>
      <c r="I853" s="56"/>
    </row>
    <row r="854" spans="2:9">
      <c r="B854" s="54"/>
      <c r="E854" s="73" t="str">
        <f>IF(O854 = 0,"",O854)</f>
        <v/>
      </c>
      <c r="F854" s="56"/>
      <c r="I854" s="56"/>
    </row>
    <row r="855" spans="2:9">
      <c r="B855" s="54"/>
      <c r="E855" s="73" t="str">
        <f>IF(O855 = 0,"",O855)</f>
        <v/>
      </c>
      <c r="F855" s="56"/>
      <c r="I855" s="56"/>
    </row>
    <row r="856" spans="2:9">
      <c r="B856" s="54"/>
      <c r="E856" s="73" t="str">
        <f>IF(O856 = 0,"",O856)</f>
        <v/>
      </c>
      <c r="F856" s="56"/>
      <c r="I856" s="56"/>
    </row>
    <row r="857" spans="2:9">
      <c r="B857" s="54"/>
      <c r="E857" s="73" t="str">
        <f>IF(O857 = 0,"",O857)</f>
        <v/>
      </c>
      <c r="F857" s="56"/>
      <c r="I857" s="56"/>
    </row>
    <row r="858" spans="2:9">
      <c r="B858" s="54"/>
      <c r="E858" s="73" t="str">
        <f>IF(O858 = 0,"",O858)</f>
        <v/>
      </c>
      <c r="F858" s="56"/>
      <c r="I858" s="56"/>
    </row>
    <row r="859" spans="2:9">
      <c r="B859" s="54"/>
      <c r="E859" s="73" t="str">
        <f>IF(O859 = 0,"",O859)</f>
        <v/>
      </c>
      <c r="F859" s="56"/>
      <c r="I859" s="56"/>
    </row>
    <row r="860" spans="2:9">
      <c r="B860" s="54"/>
      <c r="E860" s="73" t="str">
        <f>IF(O860 = 0,"",O860)</f>
        <v/>
      </c>
      <c r="F860" s="56"/>
      <c r="I860" s="56"/>
    </row>
    <row r="861" spans="2:9">
      <c r="B861" s="54"/>
      <c r="E861" s="73" t="str">
        <f>IF(O861 = 0,"",O861)</f>
        <v/>
      </c>
      <c r="F861" s="56"/>
      <c r="I861" s="56"/>
    </row>
    <row r="862" spans="2:9">
      <c r="B862" s="54"/>
      <c r="E862" s="73" t="str">
        <f>IF(O862 = 0,"",O862)</f>
        <v/>
      </c>
      <c r="F862" s="56"/>
      <c r="I862" s="56"/>
    </row>
    <row r="863" spans="2:9">
      <c r="B863" s="54"/>
      <c r="E863" s="73" t="str">
        <f>IF(O863 = 0,"",O863)</f>
        <v/>
      </c>
      <c r="F863" s="56"/>
      <c r="I863" s="56"/>
    </row>
    <row r="864" spans="2:9">
      <c r="B864" s="54"/>
      <c r="E864" s="73" t="str">
        <f>IF(O864 = 0,"",O864)</f>
        <v/>
      </c>
      <c r="F864" s="56"/>
      <c r="I864" s="56"/>
    </row>
    <row r="865" spans="2:9">
      <c r="B865" s="54"/>
      <c r="E865" s="73" t="str">
        <f>IF(O865 = 0,"",O865)</f>
        <v/>
      </c>
      <c r="F865" s="56"/>
      <c r="I865" s="56"/>
    </row>
    <row r="866" spans="2:9">
      <c r="B866" s="54"/>
      <c r="E866" s="73" t="str">
        <f>IF(O866 = 0,"",O866)</f>
        <v/>
      </c>
      <c r="F866" s="56"/>
      <c r="I866" s="56"/>
    </row>
    <row r="867" spans="2:9">
      <c r="B867" s="54"/>
      <c r="E867" s="73" t="str">
        <f>IF(O867 = 0,"",O867)</f>
        <v/>
      </c>
      <c r="F867" s="56"/>
      <c r="I867" s="56"/>
    </row>
    <row r="868" spans="2:9">
      <c r="B868" s="54"/>
      <c r="E868" s="73" t="str">
        <f>IF(O868 = 0,"",O868)</f>
        <v/>
      </c>
      <c r="F868" s="56"/>
      <c r="I868" s="56"/>
    </row>
    <row r="869" spans="2:9">
      <c r="B869" s="54"/>
      <c r="E869" s="73" t="str">
        <f>IF(O869 = 0,"",O869)</f>
        <v/>
      </c>
      <c r="F869" s="56"/>
      <c r="I869" s="56"/>
    </row>
    <row r="870" spans="2:9">
      <c r="B870" s="54"/>
      <c r="E870" s="73" t="str">
        <f>IF(O870 = 0,"",O870)</f>
        <v/>
      </c>
      <c r="F870" s="56"/>
      <c r="I870" s="56"/>
    </row>
    <row r="871" spans="2:9">
      <c r="B871" s="54"/>
      <c r="E871" s="73" t="str">
        <f>IF(O871 = 0,"",O871)</f>
        <v/>
      </c>
      <c r="F871" s="56"/>
      <c r="I871" s="56"/>
    </row>
    <row r="872" spans="2:9">
      <c r="B872" s="54"/>
      <c r="E872" s="73" t="str">
        <f>IF(O872 = 0,"",O872)</f>
        <v/>
      </c>
      <c r="F872" s="56"/>
      <c r="I872" s="56"/>
    </row>
    <row r="873" spans="2:9">
      <c r="B873" s="54"/>
      <c r="E873" s="73" t="str">
        <f>IF(O873 = 0,"",O873)</f>
        <v/>
      </c>
      <c r="F873" s="56"/>
      <c r="I873" s="56"/>
    </row>
    <row r="874" spans="2:9">
      <c r="B874" s="54"/>
      <c r="E874" s="73" t="str">
        <f>IF(O874 = 0,"",O874)</f>
        <v/>
      </c>
      <c r="F874" s="56"/>
      <c r="I874" s="56"/>
    </row>
    <row r="875" spans="2:9">
      <c r="B875" s="54"/>
      <c r="E875" s="73" t="str">
        <f>IF(O875 = 0,"",O875)</f>
        <v/>
      </c>
      <c r="F875" s="56"/>
      <c r="I875" s="56"/>
    </row>
    <row r="876" spans="2:9">
      <c r="B876" s="54"/>
      <c r="E876" s="73" t="str">
        <f>IF(O876 = 0,"",O876)</f>
        <v/>
      </c>
      <c r="F876" s="56"/>
      <c r="I876" s="56"/>
    </row>
    <row r="877" spans="2:9">
      <c r="B877" s="54"/>
      <c r="E877" s="73" t="str">
        <f>IF(O877 = 0,"",O877)</f>
        <v/>
      </c>
      <c r="F877" s="56"/>
      <c r="I877" s="56"/>
    </row>
    <row r="878" spans="2:9">
      <c r="B878" s="54"/>
      <c r="E878" s="73" t="str">
        <f>IF(O878 = 0,"",O878)</f>
        <v/>
      </c>
      <c r="F878" s="56"/>
      <c r="I878" s="56"/>
    </row>
    <row r="879" spans="2:9">
      <c r="B879" s="54"/>
      <c r="E879" s="73" t="str">
        <f>IF(O879 = 0,"",O879)</f>
        <v/>
      </c>
      <c r="F879" s="56"/>
      <c r="I879" s="56"/>
    </row>
    <row r="880" spans="2:9">
      <c r="B880" s="54"/>
      <c r="E880" s="73" t="str">
        <f>IF(O880 = 0,"",O880)</f>
        <v/>
      </c>
      <c r="F880" s="56"/>
      <c r="I880" s="56"/>
    </row>
    <row r="881" spans="2:9">
      <c r="B881" s="54"/>
      <c r="E881" s="73" t="str">
        <f>IF(O881 = 0,"",O881)</f>
        <v/>
      </c>
      <c r="F881" s="56"/>
      <c r="I881" s="56"/>
    </row>
    <row r="882" spans="2:9">
      <c r="B882" s="54"/>
      <c r="E882" s="73" t="str">
        <f>IF(O882 = 0,"",O882)</f>
        <v/>
      </c>
      <c r="F882" s="56"/>
      <c r="I882" s="56"/>
    </row>
    <row r="883" spans="2:9">
      <c r="B883" s="54"/>
      <c r="E883" s="73" t="str">
        <f>IF(O883 = 0,"",O883)</f>
        <v/>
      </c>
      <c r="F883" s="56"/>
      <c r="I883" s="56"/>
    </row>
    <row r="884" spans="2:9">
      <c r="B884" s="54"/>
      <c r="E884" s="73" t="str">
        <f>IF(O884 = 0,"",O884)</f>
        <v/>
      </c>
      <c r="F884" s="56"/>
      <c r="I884" s="56"/>
    </row>
    <row r="885" spans="2:9">
      <c r="B885" s="54"/>
      <c r="E885" s="73" t="str">
        <f>IF(O885 = 0,"",O885)</f>
        <v/>
      </c>
      <c r="F885" s="56"/>
      <c r="I885" s="56"/>
    </row>
    <row r="886" spans="2:9">
      <c r="B886" s="54"/>
      <c r="E886" s="73" t="str">
        <f>IF(O886 = 0,"",O886)</f>
        <v/>
      </c>
      <c r="F886" s="56"/>
      <c r="I886" s="56"/>
    </row>
    <row r="887" spans="2:9">
      <c r="B887" s="54"/>
      <c r="E887" s="73" t="str">
        <f>IF(O887 = 0,"",O887)</f>
        <v/>
      </c>
      <c r="F887" s="56"/>
      <c r="I887" s="56"/>
    </row>
    <row r="888" spans="2:9">
      <c r="B888" s="54"/>
      <c r="E888" s="73" t="str">
        <f>IF(O888 = 0,"",O888)</f>
        <v/>
      </c>
      <c r="F888" s="56"/>
      <c r="I888" s="56"/>
    </row>
    <row r="889" spans="2:9">
      <c r="B889" s="54"/>
      <c r="E889" s="73" t="str">
        <f>IF(O889 = 0,"",O889)</f>
        <v/>
      </c>
      <c r="F889" s="56"/>
      <c r="I889" s="56"/>
    </row>
    <row r="890" spans="2:9">
      <c r="B890" s="54"/>
      <c r="E890" s="73" t="str">
        <f>IF(O890 = 0,"",O890)</f>
        <v/>
      </c>
      <c r="F890" s="56"/>
      <c r="I890" s="56"/>
    </row>
    <row r="891" spans="2:9">
      <c r="B891" s="54"/>
      <c r="E891" s="73" t="str">
        <f>IF(O891 = 0,"",O891)</f>
        <v/>
      </c>
      <c r="F891" s="56"/>
      <c r="I891" s="56"/>
    </row>
    <row r="892" spans="2:9">
      <c r="B892" s="54"/>
      <c r="E892" s="73" t="str">
        <f>IF(O892 = 0,"",O892)</f>
        <v/>
      </c>
      <c r="F892" s="56"/>
      <c r="I892" s="56"/>
    </row>
    <row r="893" spans="2:9">
      <c r="B893" s="54"/>
      <c r="E893" s="73" t="str">
        <f>IF(O893 = 0,"",O893)</f>
        <v/>
      </c>
      <c r="F893" s="56"/>
      <c r="I893" s="56"/>
    </row>
    <row r="894" spans="2:9">
      <c r="B894" s="54"/>
      <c r="E894" s="73" t="str">
        <f>IF(O894 = 0,"",O894)</f>
        <v/>
      </c>
      <c r="F894" s="56"/>
      <c r="I894" s="56"/>
    </row>
    <row r="895" spans="2:9">
      <c r="B895" s="54"/>
      <c r="E895" s="73" t="str">
        <f>IF(O895 = 0,"",O895)</f>
        <v/>
      </c>
      <c r="F895" s="56"/>
      <c r="I895" s="56"/>
    </row>
    <row r="896" spans="2:9">
      <c r="B896" s="54"/>
      <c r="E896" s="73" t="str">
        <f>IF(O896 = 0,"",O896)</f>
        <v/>
      </c>
      <c r="F896" s="56"/>
      <c r="I896" s="56"/>
    </row>
    <row r="897" spans="2:9">
      <c r="B897" s="54"/>
      <c r="E897" s="73" t="str">
        <f>IF(O897 = 0,"",O897)</f>
        <v/>
      </c>
      <c r="F897" s="56"/>
      <c r="I897" s="56"/>
    </row>
    <row r="898" spans="2:9">
      <c r="B898" s="54"/>
      <c r="E898" s="73" t="str">
        <f>IF(O898 = 0,"",O898)</f>
        <v/>
      </c>
      <c r="F898" s="56"/>
      <c r="I898" s="56"/>
    </row>
    <row r="899" spans="2:9">
      <c r="B899" s="54"/>
      <c r="E899" s="73" t="str">
        <f>IF(O899 = 0,"",O899)</f>
        <v/>
      </c>
      <c r="F899" s="56"/>
      <c r="I899" s="56"/>
    </row>
    <row r="900" spans="2:9">
      <c r="B900" s="54"/>
      <c r="E900" s="73" t="str">
        <f>IF(O900 = 0,"",O900)</f>
        <v/>
      </c>
      <c r="F900" s="56"/>
      <c r="I900" s="56"/>
    </row>
    <row r="901" spans="2:9">
      <c r="B901" s="54"/>
      <c r="E901" s="73" t="str">
        <f>IF(O901 = 0,"",O901)</f>
        <v/>
      </c>
      <c r="F901" s="56"/>
      <c r="I901" s="56"/>
    </row>
    <row r="902" spans="2:9">
      <c r="B902" s="54"/>
      <c r="E902" s="73" t="str">
        <f>IF(O902 = 0,"",O902)</f>
        <v/>
      </c>
      <c r="F902" s="56"/>
      <c r="I902" s="56"/>
    </row>
    <row r="903" spans="2:9">
      <c r="B903" s="54"/>
      <c r="E903" s="73" t="str">
        <f>IF(O903 = 0,"",O903)</f>
        <v/>
      </c>
      <c r="F903" s="56"/>
      <c r="I903" s="56"/>
    </row>
    <row r="904" spans="2:9">
      <c r="B904" s="54"/>
      <c r="E904" s="73" t="str">
        <f>IF(O904 = 0,"",O904)</f>
        <v/>
      </c>
      <c r="F904" s="56"/>
      <c r="I904" s="56"/>
    </row>
    <row r="905" spans="2:9">
      <c r="B905" s="54"/>
      <c r="E905" s="73" t="str">
        <f>IF(O905 = 0,"",O905)</f>
        <v/>
      </c>
      <c r="F905" s="56"/>
      <c r="I905" s="56"/>
    </row>
    <row r="906" spans="2:9">
      <c r="B906" s="54"/>
      <c r="E906" s="73" t="str">
        <f>IF(O906 = 0,"",O906)</f>
        <v/>
      </c>
      <c r="F906" s="56"/>
      <c r="I906" s="56"/>
    </row>
    <row r="907" spans="2:9">
      <c r="B907" s="54"/>
      <c r="E907" s="73" t="str">
        <f>IF(O907 = 0,"",O907)</f>
        <v/>
      </c>
      <c r="F907" s="56"/>
      <c r="I907" s="56"/>
    </row>
    <row r="908" spans="2:9">
      <c r="B908" s="54"/>
      <c r="E908" s="73" t="str">
        <f>IF(O908 = 0,"",O908)</f>
        <v/>
      </c>
      <c r="F908" s="56"/>
      <c r="I908" s="56"/>
    </row>
    <row r="909" spans="2:9">
      <c r="B909" s="54"/>
      <c r="E909" s="73" t="str">
        <f>IF(O909 = 0,"",O909)</f>
        <v/>
      </c>
      <c r="F909" s="56"/>
      <c r="I909" s="56"/>
    </row>
    <row r="910" spans="2:9">
      <c r="B910" s="54"/>
      <c r="E910" s="73" t="str">
        <f>IF(O910 = 0,"",O910)</f>
        <v/>
      </c>
      <c r="F910" s="56"/>
      <c r="I910" s="56"/>
    </row>
    <row r="911" spans="2:9">
      <c r="B911" s="54"/>
      <c r="E911" s="73" t="str">
        <f>IF(O911 = 0,"",O911)</f>
        <v/>
      </c>
      <c r="F911" s="56"/>
      <c r="I911" s="56"/>
    </row>
    <row r="912" spans="2:9">
      <c r="B912" s="54"/>
      <c r="E912" s="73" t="str">
        <f>IF(O912 = 0,"",O912)</f>
        <v/>
      </c>
      <c r="F912" s="56"/>
      <c r="I912" s="56"/>
    </row>
    <row r="913" spans="2:9">
      <c r="B913" s="54"/>
      <c r="E913" s="73" t="str">
        <f>IF(O913 = 0,"",O913)</f>
        <v/>
      </c>
      <c r="F913" s="56"/>
      <c r="I913" s="56"/>
    </row>
    <row r="914" spans="2:9">
      <c r="B914" s="54"/>
      <c r="E914" s="73" t="str">
        <f>IF(O914 = 0,"",O914)</f>
        <v/>
      </c>
      <c r="F914" s="56"/>
      <c r="I914" s="56"/>
    </row>
    <row r="915" spans="2:9">
      <c r="B915" s="54"/>
      <c r="E915" s="73" t="str">
        <f>IF(O915 = 0,"",O915)</f>
        <v/>
      </c>
      <c r="F915" s="56"/>
      <c r="I915" s="56"/>
    </row>
    <row r="916" spans="2:9">
      <c r="B916" s="54"/>
      <c r="E916" s="73" t="str">
        <f>IF(O916 = 0,"",O916)</f>
        <v/>
      </c>
      <c r="F916" s="56"/>
      <c r="I916" s="56"/>
    </row>
    <row r="917" spans="2:9">
      <c r="B917" s="54"/>
      <c r="E917" s="73" t="str">
        <f>IF(O917 = 0,"",O917)</f>
        <v/>
      </c>
      <c r="F917" s="56"/>
      <c r="I917" s="56"/>
    </row>
    <row r="918" spans="2:9">
      <c r="B918" s="54"/>
      <c r="E918" s="73" t="str">
        <f>IF(O918 = 0,"",O918)</f>
        <v/>
      </c>
      <c r="F918" s="56"/>
      <c r="I918" s="56"/>
    </row>
    <row r="919" spans="2:9">
      <c r="B919" s="54"/>
      <c r="E919" s="73" t="str">
        <f>IF(O919 = 0,"",O919)</f>
        <v/>
      </c>
      <c r="F919" s="56"/>
      <c r="I919" s="56"/>
    </row>
    <row r="920" spans="2:9">
      <c r="B920" s="54"/>
      <c r="E920" s="73" t="str">
        <f>IF(O920 = 0,"",O920)</f>
        <v/>
      </c>
      <c r="F920" s="56"/>
      <c r="I920" s="56"/>
    </row>
    <row r="921" spans="2:9">
      <c r="B921" s="54"/>
      <c r="E921" s="73" t="str">
        <f>IF(O921 = 0,"",O921)</f>
        <v/>
      </c>
      <c r="F921" s="56"/>
      <c r="I921" s="56"/>
    </row>
    <row r="922" spans="2:9">
      <c r="B922" s="54"/>
      <c r="E922" s="73" t="str">
        <f>IF(O922 = 0,"",O922)</f>
        <v/>
      </c>
      <c r="F922" s="56"/>
      <c r="I922" s="56"/>
    </row>
    <row r="923" spans="2:9">
      <c r="B923" s="54"/>
      <c r="E923" s="73" t="str">
        <f>IF(O923 = 0,"",O923)</f>
        <v/>
      </c>
      <c r="F923" s="56"/>
      <c r="I923" s="56"/>
    </row>
    <row r="924" spans="2:9">
      <c r="B924" s="54"/>
      <c r="E924" s="73" t="str">
        <f>IF(O924 = 0,"",O924)</f>
        <v/>
      </c>
      <c r="F924" s="56"/>
      <c r="I924" s="56"/>
    </row>
    <row r="925" spans="2:9">
      <c r="B925" s="54"/>
      <c r="E925" s="73" t="str">
        <f>IF(O925 = 0,"",O925)</f>
        <v/>
      </c>
      <c r="F925" s="56"/>
      <c r="I925" s="56"/>
    </row>
    <row r="926" spans="2:9">
      <c r="B926" s="54"/>
      <c r="E926" s="73" t="str">
        <f>IF(O926 = 0,"",O926)</f>
        <v/>
      </c>
      <c r="F926" s="56"/>
      <c r="I926" s="56"/>
    </row>
    <row r="927" spans="2:9">
      <c r="B927" s="54"/>
      <c r="E927" s="73" t="str">
        <f>IF(O927 = 0,"",O927)</f>
        <v/>
      </c>
      <c r="F927" s="56"/>
      <c r="I927" s="56"/>
    </row>
    <row r="928" spans="2:9">
      <c r="B928" s="54"/>
      <c r="E928" s="73" t="str">
        <f>IF(O928 = 0,"",O928)</f>
        <v/>
      </c>
      <c r="F928" s="56"/>
      <c r="I928" s="56"/>
    </row>
    <row r="929" spans="2:9">
      <c r="B929" s="54"/>
      <c r="E929" s="73" t="str">
        <f>IF(O929 = 0,"",O929)</f>
        <v/>
      </c>
      <c r="F929" s="56"/>
      <c r="I929" s="56"/>
    </row>
    <row r="930" spans="2:9">
      <c r="B930" s="54"/>
      <c r="E930" s="73" t="str">
        <f>IF(O930 = 0,"",O930)</f>
        <v/>
      </c>
      <c r="F930" s="56"/>
      <c r="I930" s="56"/>
    </row>
    <row r="931" spans="2:9">
      <c r="B931" s="54"/>
      <c r="E931" s="73" t="str">
        <f>IF(O931 = 0,"",O931)</f>
        <v/>
      </c>
      <c r="F931" s="56"/>
      <c r="I931" s="56"/>
    </row>
    <row r="932" spans="2:9">
      <c r="B932" s="54"/>
      <c r="E932" s="73" t="str">
        <f>IF(O932 = 0,"",O932)</f>
        <v/>
      </c>
      <c r="F932" s="56"/>
      <c r="I932" s="56"/>
    </row>
    <row r="933" spans="2:9">
      <c r="B933" s="54"/>
      <c r="E933" s="73" t="str">
        <f>IF(O933 = 0,"",O933)</f>
        <v/>
      </c>
      <c r="F933" s="56"/>
      <c r="I933" s="56"/>
    </row>
    <row r="934" spans="2:9">
      <c r="B934" s="54"/>
      <c r="E934" s="73" t="str">
        <f>IF(O934 = 0,"",O934)</f>
        <v/>
      </c>
      <c r="F934" s="56"/>
      <c r="I934" s="56"/>
    </row>
    <row r="935" spans="2:9">
      <c r="B935" s="54"/>
      <c r="E935" s="73" t="str">
        <f>IF(O935 = 0,"",O935)</f>
        <v/>
      </c>
      <c r="F935" s="56"/>
      <c r="I935" s="56"/>
    </row>
    <row r="936" spans="2:9">
      <c r="B936" s="54"/>
      <c r="E936" s="73" t="str">
        <f>IF(O936 = 0,"",O936)</f>
        <v/>
      </c>
      <c r="F936" s="56"/>
      <c r="I936" s="56"/>
    </row>
    <row r="937" spans="2:9">
      <c r="B937" s="54"/>
      <c r="E937" s="73" t="str">
        <f>IF(O937 = 0,"",O937)</f>
        <v/>
      </c>
      <c r="F937" s="56"/>
      <c r="I937" s="56"/>
    </row>
    <row r="938" spans="2:9">
      <c r="B938" s="54"/>
      <c r="E938" s="73" t="str">
        <f>IF(O938 = 0,"",O938)</f>
        <v/>
      </c>
      <c r="F938" s="56"/>
      <c r="I938" s="56"/>
    </row>
    <row r="939" spans="2:9">
      <c r="B939" s="54"/>
      <c r="E939" s="73" t="str">
        <f>IF(O939 = 0,"",O939)</f>
        <v/>
      </c>
      <c r="F939" s="56"/>
      <c r="I939" s="56"/>
    </row>
    <row r="940" spans="2:9">
      <c r="B940" s="54"/>
      <c r="E940" s="73" t="str">
        <f>IF(O940 = 0,"",O940)</f>
        <v/>
      </c>
      <c r="F940" s="56"/>
      <c r="I940" s="56"/>
    </row>
    <row r="941" spans="2:9">
      <c r="B941" s="54"/>
      <c r="E941" s="73" t="str">
        <f>IF(O941 = 0,"",O941)</f>
        <v/>
      </c>
      <c r="F941" s="56"/>
      <c r="I941" s="56"/>
    </row>
    <row r="942" spans="2:9">
      <c r="B942" s="54"/>
      <c r="E942" s="73" t="str">
        <f>IF(O942 = 0,"",O942)</f>
        <v/>
      </c>
      <c r="F942" s="56"/>
      <c r="I942" s="56"/>
    </row>
    <row r="943" spans="2:9">
      <c r="B943" s="54"/>
      <c r="E943" s="73" t="str">
        <f>IF(O943 = 0,"",O943)</f>
        <v/>
      </c>
      <c r="F943" s="56"/>
      <c r="I943" s="56"/>
    </row>
    <row r="944" spans="2:9">
      <c r="B944" s="54"/>
      <c r="E944" s="73" t="str">
        <f>IF(O944 = 0,"",O944)</f>
        <v/>
      </c>
      <c r="F944" s="56"/>
      <c r="I944" s="56"/>
    </row>
    <row r="945" spans="2:9">
      <c r="B945" s="54"/>
      <c r="E945" s="73" t="str">
        <f>IF(O945 = 0,"",O945)</f>
        <v/>
      </c>
      <c r="F945" s="56"/>
      <c r="I945" s="56"/>
    </row>
    <row r="946" spans="2:9">
      <c r="B946" s="54"/>
      <c r="E946" s="73" t="str">
        <f>IF(O946 = 0,"",O946)</f>
        <v/>
      </c>
      <c r="F946" s="56"/>
      <c r="I946" s="56"/>
    </row>
    <row r="947" spans="2:9">
      <c r="B947" s="54"/>
      <c r="E947" s="73" t="str">
        <f>IF(O947 = 0,"",O947)</f>
        <v/>
      </c>
      <c r="F947" s="56"/>
      <c r="I947" s="56"/>
    </row>
    <row r="948" spans="2:9">
      <c r="B948" s="54"/>
      <c r="E948" s="73" t="str">
        <f>IF(O948 = 0,"",O948)</f>
        <v/>
      </c>
      <c r="F948" s="56"/>
      <c r="I948" s="56"/>
    </row>
    <row r="949" spans="2:9">
      <c r="B949" s="54"/>
      <c r="E949" s="73" t="str">
        <f>IF(O949 = 0,"",O949)</f>
        <v/>
      </c>
      <c r="F949" s="56"/>
      <c r="I949" s="56"/>
    </row>
    <row r="950" spans="2:9">
      <c r="B950" s="54"/>
      <c r="E950" s="73" t="str">
        <f>IF(O950 = 0,"",O950)</f>
        <v/>
      </c>
      <c r="F950" s="56"/>
      <c r="I950" s="56"/>
    </row>
    <row r="951" spans="2:9">
      <c r="B951" s="54"/>
      <c r="E951" s="73" t="str">
        <f>IF(O951 = 0,"",O951)</f>
        <v/>
      </c>
      <c r="F951" s="56"/>
      <c r="I951" s="56"/>
    </row>
    <row r="952" spans="2:9">
      <c r="B952" s="54"/>
      <c r="E952" s="73" t="str">
        <f>IF(O952 = 0,"",O952)</f>
        <v/>
      </c>
      <c r="F952" s="56"/>
      <c r="I952" s="56"/>
    </row>
    <row r="953" spans="2:9">
      <c r="B953" s="54"/>
      <c r="E953" s="73" t="str">
        <f>IF(O953 = 0,"",O953)</f>
        <v/>
      </c>
      <c r="F953" s="56"/>
      <c r="I953" s="56"/>
    </row>
    <row r="954" spans="2:9">
      <c r="B954" s="54"/>
      <c r="E954" s="73" t="str">
        <f>IF(O954 = 0,"",O954)</f>
        <v/>
      </c>
      <c r="F954" s="56"/>
      <c r="I954" s="56"/>
    </row>
    <row r="955" spans="2:9">
      <c r="B955" s="54"/>
      <c r="E955" s="73" t="str">
        <f>IF(O955 = 0,"",O955)</f>
        <v/>
      </c>
      <c r="F955" s="56"/>
      <c r="I955" s="56"/>
    </row>
    <row r="956" spans="2:9">
      <c r="B956" s="54"/>
      <c r="E956" s="73" t="str">
        <f>IF(O956 = 0,"",O956)</f>
        <v/>
      </c>
      <c r="F956" s="56"/>
      <c r="I956" s="56"/>
    </row>
    <row r="957" spans="2:9">
      <c r="B957" s="54"/>
      <c r="E957" s="73" t="str">
        <f>IF(O957 = 0,"",O957)</f>
        <v/>
      </c>
      <c r="F957" s="56"/>
      <c r="I957" s="56"/>
    </row>
    <row r="958" spans="2:9">
      <c r="B958" s="54"/>
      <c r="E958" s="73" t="str">
        <f>IF(O958 = 0,"",O958)</f>
        <v/>
      </c>
      <c r="F958" s="56"/>
      <c r="I958" s="56"/>
    </row>
    <row r="959" spans="2:9">
      <c r="B959" s="54"/>
      <c r="E959" s="73" t="str">
        <f>IF(O959 = 0,"",O959)</f>
        <v/>
      </c>
      <c r="F959" s="56"/>
      <c r="I959" s="56"/>
    </row>
    <row r="960" spans="2:9">
      <c r="B960" s="54"/>
      <c r="E960" s="73" t="str">
        <f>IF(O960 = 0,"",O960)</f>
        <v/>
      </c>
      <c r="F960" s="56"/>
      <c r="I960" s="56"/>
    </row>
    <row r="961" spans="2:9">
      <c r="B961" s="54"/>
      <c r="E961" s="73" t="str">
        <f>IF(O961 = 0,"",O961)</f>
        <v/>
      </c>
      <c r="F961" s="56"/>
      <c r="I961" s="56"/>
    </row>
    <row r="962" spans="2:9">
      <c r="B962" s="54"/>
      <c r="E962" s="73" t="str">
        <f>IF(O962 = 0,"",O962)</f>
        <v/>
      </c>
      <c r="F962" s="56"/>
      <c r="I962" s="56"/>
    </row>
    <row r="963" spans="2:9">
      <c r="B963" s="54"/>
      <c r="E963" s="73" t="str">
        <f>IF(O963 = 0,"",O963)</f>
        <v/>
      </c>
      <c r="F963" s="56"/>
      <c r="I963" s="56"/>
    </row>
    <row r="964" spans="2:9">
      <c r="B964" s="54"/>
      <c r="E964" s="73" t="str">
        <f>IF(O964 = 0,"",O964)</f>
        <v/>
      </c>
      <c r="F964" s="56"/>
      <c r="I964" s="56"/>
    </row>
    <row r="965" spans="2:9">
      <c r="B965" s="54"/>
      <c r="E965" s="73" t="str">
        <f>IF(O965 = 0,"",O965)</f>
        <v/>
      </c>
      <c r="F965" s="56"/>
      <c r="I965" s="56"/>
    </row>
    <row r="966" spans="2:9">
      <c r="B966" s="54"/>
      <c r="E966" s="73" t="str">
        <f>IF(O966 = 0,"",O966)</f>
        <v/>
      </c>
      <c r="F966" s="56"/>
      <c r="I966" s="56"/>
    </row>
    <row r="967" spans="2:9">
      <c r="B967" s="54"/>
      <c r="E967" s="73" t="str">
        <f>IF(O967 = 0,"",O967)</f>
        <v/>
      </c>
      <c r="F967" s="56"/>
      <c r="I967" s="56"/>
    </row>
    <row r="968" spans="2:9">
      <c r="B968" s="54"/>
      <c r="E968" s="73" t="str">
        <f>IF(O968 = 0,"",O968)</f>
        <v/>
      </c>
      <c r="F968" s="56"/>
      <c r="I968" s="56"/>
    </row>
    <row r="969" spans="2:9">
      <c r="B969" s="54"/>
      <c r="E969" s="73" t="str">
        <f>IF(O969 = 0,"",O969)</f>
        <v/>
      </c>
      <c r="F969" s="56"/>
      <c r="I969" s="56"/>
    </row>
    <row r="970" spans="2:9">
      <c r="B970" s="54"/>
      <c r="E970" s="73" t="str">
        <f>IF(O970 = 0,"",O970)</f>
        <v/>
      </c>
      <c r="F970" s="56"/>
      <c r="I970" s="56"/>
    </row>
    <row r="971" spans="2:9">
      <c r="B971" s="54"/>
      <c r="E971" s="73" t="str">
        <f>IF(O971 = 0,"",O971)</f>
        <v/>
      </c>
      <c r="F971" s="56"/>
      <c r="I971" s="56"/>
    </row>
    <row r="972" spans="2:9">
      <c r="B972" s="54"/>
      <c r="E972" s="73" t="str">
        <f>IF(O972 = 0,"",O972)</f>
        <v/>
      </c>
      <c r="F972" s="56"/>
      <c r="I972" s="56"/>
    </row>
    <row r="973" spans="2:9">
      <c r="B973" s="54"/>
      <c r="E973" s="73" t="str">
        <f>IF(O973 = 0,"",O973)</f>
        <v/>
      </c>
      <c r="F973" s="56"/>
      <c r="I973" s="56"/>
    </row>
    <row r="974" spans="2:9">
      <c r="B974" s="54"/>
      <c r="E974" s="73" t="str">
        <f>IF(O974 = 0,"",O974)</f>
        <v/>
      </c>
      <c r="F974" s="56"/>
      <c r="I974" s="56"/>
    </row>
    <row r="975" spans="2:9">
      <c r="B975" s="54"/>
      <c r="E975" s="73" t="str">
        <f>IF(O975 = 0,"",O975)</f>
        <v/>
      </c>
      <c r="F975" s="56"/>
      <c r="I975" s="56"/>
    </row>
    <row r="976" spans="2:9">
      <c r="B976" s="54"/>
      <c r="E976" s="73" t="str">
        <f>IF(O976 = 0,"",O976)</f>
        <v/>
      </c>
      <c r="F976" s="56"/>
      <c r="I976" s="56"/>
    </row>
    <row r="977" spans="2:9">
      <c r="B977" s="54"/>
      <c r="E977" s="73" t="str">
        <f>IF(O977 = 0,"",O977)</f>
        <v/>
      </c>
      <c r="F977" s="56"/>
      <c r="I977" s="56"/>
    </row>
    <row r="978" spans="2:9">
      <c r="B978" s="54"/>
      <c r="E978" s="73" t="str">
        <f>IF(O978 = 0,"",O978)</f>
        <v/>
      </c>
      <c r="F978" s="56"/>
      <c r="I978" s="56"/>
    </row>
    <row r="979" spans="2:9">
      <c r="B979" s="54"/>
      <c r="E979" s="73" t="str">
        <f>IF(O979 = 0,"",O979)</f>
        <v/>
      </c>
      <c r="F979" s="56"/>
      <c r="I979" s="56"/>
    </row>
    <row r="980" spans="2:9">
      <c r="B980" s="54"/>
      <c r="E980" s="73" t="str">
        <f>IF(O980 = 0,"",O980)</f>
        <v/>
      </c>
      <c r="F980" s="56"/>
      <c r="I980" s="56"/>
    </row>
    <row r="981" spans="2:9">
      <c r="B981" s="54"/>
      <c r="E981" s="73" t="str">
        <f>IF(O981 = 0,"",O981)</f>
        <v/>
      </c>
      <c r="F981" s="56"/>
      <c r="I981" s="56"/>
    </row>
    <row r="982" spans="2:9">
      <c r="B982" s="54"/>
      <c r="E982" s="73" t="str">
        <f>IF(O982 = 0,"",O982)</f>
        <v/>
      </c>
      <c r="F982" s="56"/>
      <c r="I982" s="56"/>
    </row>
    <row r="983" spans="2:9">
      <c r="B983" s="54"/>
      <c r="E983" s="73" t="str">
        <f>IF(O983 = 0,"",O983)</f>
        <v/>
      </c>
      <c r="F983" s="56"/>
      <c r="I983" s="56"/>
    </row>
    <row r="984" spans="2:9">
      <c r="B984" s="54"/>
      <c r="E984" s="73" t="str">
        <f>IF(O984 = 0,"",O984)</f>
        <v/>
      </c>
      <c r="F984" s="56"/>
      <c r="I984" s="56"/>
    </row>
    <row r="985" spans="2:9">
      <c r="B985" s="54"/>
      <c r="E985" s="73" t="str">
        <f>IF(O985 = 0,"",O985)</f>
        <v/>
      </c>
      <c r="F985" s="56"/>
      <c r="I985" s="56"/>
    </row>
    <row r="986" spans="2:9">
      <c r="B986" s="54"/>
      <c r="E986" s="73" t="str">
        <f>IF(O986 = 0,"",O986)</f>
        <v/>
      </c>
      <c r="F986" s="56"/>
      <c r="I986" s="56"/>
    </row>
    <row r="987" spans="2:9">
      <c r="B987" s="54"/>
      <c r="E987" s="73" t="str">
        <f>IF(O987 = 0,"",O987)</f>
        <v/>
      </c>
      <c r="F987" s="56"/>
      <c r="I987" s="56"/>
    </row>
    <row r="988" spans="2:9">
      <c r="B988" s="54"/>
      <c r="E988" s="73" t="str">
        <f>IF(O988 = 0,"",O988)</f>
        <v/>
      </c>
      <c r="F988" s="56"/>
      <c r="I988" s="56"/>
    </row>
    <row r="989" spans="2:9">
      <c r="B989" s="54"/>
      <c r="E989" s="73" t="str">
        <f>IF(O989 = 0,"",O989)</f>
        <v/>
      </c>
      <c r="F989" s="56"/>
      <c r="I989" s="56"/>
    </row>
    <row r="990" spans="2:9">
      <c r="B990" s="54"/>
      <c r="E990" s="73" t="str">
        <f>IF(O990 = 0,"",O990)</f>
        <v/>
      </c>
      <c r="F990" s="56"/>
      <c r="I990" s="56"/>
    </row>
    <row r="991" spans="2:9">
      <c r="B991" s="54"/>
      <c r="E991" s="73" t="str">
        <f>IF(O991 = 0,"",O991)</f>
        <v/>
      </c>
      <c r="F991" s="56"/>
      <c r="I991" s="56"/>
    </row>
    <row r="992" spans="2:9">
      <c r="B992" s="54"/>
      <c r="E992" s="73" t="str">
        <f>IF(O992 = 0,"",O992)</f>
        <v/>
      </c>
      <c r="F992" s="56"/>
      <c r="I992" s="56"/>
    </row>
    <row r="993" spans="2:9">
      <c r="B993" s="54"/>
      <c r="E993" s="73" t="str">
        <f>IF(O993 = 0,"",O993)</f>
        <v/>
      </c>
      <c r="F993" s="56"/>
      <c r="I993" s="56"/>
    </row>
    <row r="994" spans="2:9">
      <c r="B994" s="54"/>
      <c r="E994" s="73" t="str">
        <f>IF(O994 = 0,"",O994)</f>
        <v/>
      </c>
      <c r="F994" s="56"/>
      <c r="I994" s="56"/>
    </row>
    <row r="995" spans="2:9">
      <c r="B995" s="54"/>
      <c r="E995" s="73" t="str">
        <f>IF(O995 = 0,"",O995)</f>
        <v/>
      </c>
      <c r="F995" s="56"/>
      <c r="I995" s="56"/>
    </row>
    <row r="996" spans="2:9">
      <c r="B996" s="54"/>
      <c r="E996" s="73" t="str">
        <f>IF(O996 = 0,"",O996)</f>
        <v/>
      </c>
      <c r="F996" s="56"/>
      <c r="I996" s="56"/>
    </row>
    <row r="997" spans="2:9">
      <c r="B997" s="54"/>
      <c r="E997" s="73" t="str">
        <f>IF(O997 = 0,"",O997)</f>
        <v/>
      </c>
      <c r="F997" s="56"/>
      <c r="I997" s="56"/>
    </row>
    <row r="998" spans="2:9">
      <c r="B998" s="54"/>
      <c r="E998" s="73" t="str">
        <f>IF(O998 = 0,"",O998)</f>
        <v/>
      </c>
      <c r="F998" s="56"/>
      <c r="I998" s="56"/>
    </row>
    <row r="999" spans="2:9">
      <c r="B999" s="54"/>
      <c r="E999" s="73" t="str">
        <f>IF(O999 = 0,"",O999)</f>
        <v/>
      </c>
      <c r="F999" s="56"/>
      <c r="I999" s="56"/>
    </row>
    <row r="1000" spans="2:9">
      <c r="B1000" s="54"/>
      <c r="E1000" s="73" t="str">
        <f>IF(O1000 = 0,"",O1000)</f>
        <v/>
      </c>
      <c r="F1000" s="56"/>
      <c r="I1000" s="56"/>
    </row>
    <row r="1001" spans="2:9">
      <c r="B1001" s="54"/>
      <c r="E1001" s="73" t="str">
        <f>IF(O1001 = 0,"",O1001)</f>
        <v/>
      </c>
      <c r="F1001" s="56"/>
      <c r="I1001" s="56"/>
    </row>
    <row r="1002" spans="2:9">
      <c r="B1002" s="54"/>
      <c r="E1002" s="73" t="str">
        <f>IF(O1002 = 0,"",O1002)</f>
        <v/>
      </c>
      <c r="F1002" s="56"/>
      <c r="I1002" s="56"/>
    </row>
    <row r="1003" spans="2:9">
      <c r="B1003" s="54"/>
      <c r="E1003" s="73" t="str">
        <f>IF(O1003 = 0,"",O1003)</f>
        <v/>
      </c>
      <c r="F1003" s="56"/>
      <c r="I1003" s="56"/>
    </row>
  </sheetData>
  <conditionalFormatting sqref="C5:C30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30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G30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3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30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:J3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B1" xr:uid="{BE73ED38-FC93-4FDE-AA6B-2622EFED9B51}">
      <formula1>$B5:$B300</formula1>
    </dataValidation>
    <dataValidation type="list" allowBlank="1" showInputMessage="1" showErrorMessage="1" sqref="B2:B3" xr:uid="{201D6B5A-2004-4DD0-8906-E399BCECE708}">
      <formula1>$B$5:$B$300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UpdateProcessorInfo" altText="Update Processor Information">
                <anchor moveWithCells="1" sizeWithCells="1">
                  <from>
                    <xdr:col>4</xdr:col>
                    <xdr:colOff>107950</xdr:colOff>
                    <xdr:row>0</xdr:row>
                    <xdr:rowOff>95250</xdr:rowOff>
                  </from>
                  <to>
                    <xdr:col>6</xdr:col>
                    <xdr:colOff>895350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D314-828A-4736-A317-930D39CD577A}">
  <sheetPr codeName="Sheet2">
    <tabColor rgb="FFFFFF00"/>
  </sheetPr>
  <dimension ref="A1:BD163"/>
  <sheetViews>
    <sheetView zoomScale="80" zoomScaleNormal="80" workbookViewId="0">
      <selection activeCell="I8" sqref="I8"/>
    </sheetView>
  </sheetViews>
  <sheetFormatPr defaultRowHeight="14.5"/>
  <cols>
    <col min="1" max="1" width="22.1796875" customWidth="1"/>
    <col min="2" max="2" width="10.6328125" bestFit="1" customWidth="1"/>
    <col min="3" max="3" width="11.453125" bestFit="1" customWidth="1"/>
    <col min="4" max="4" width="15.90625" customWidth="1"/>
    <col min="5" max="5" width="11.54296875" customWidth="1"/>
    <col min="6" max="6" width="7.54296875" customWidth="1"/>
    <col min="7" max="7" width="7.6328125" customWidth="1"/>
    <col min="8" max="8" width="7.90625" customWidth="1"/>
    <col min="9" max="9" width="11.81640625" customWidth="1"/>
    <col min="10" max="10" width="18" customWidth="1"/>
    <col min="11" max="11" width="11.08984375" customWidth="1"/>
    <col min="12" max="12" width="11.36328125" customWidth="1"/>
    <col min="13" max="13" width="12.90625" customWidth="1"/>
    <col min="14" max="15" width="15.81640625" customWidth="1"/>
    <col min="16" max="16" width="14.1796875" customWidth="1"/>
    <col min="17" max="17" width="14.26953125" customWidth="1"/>
    <col min="18" max="18" width="14.08984375" bestFit="1" customWidth="1"/>
    <col min="19" max="19" width="36.81640625" customWidth="1"/>
    <col min="20" max="20" width="84.81640625" bestFit="1" customWidth="1"/>
    <col min="21" max="21" width="14.1796875" customWidth="1"/>
    <col min="22" max="22" width="14.1796875" bestFit="1" customWidth="1"/>
    <col min="23" max="23" width="13.08984375" customWidth="1"/>
    <col min="24" max="24" width="11.1796875" customWidth="1"/>
  </cols>
  <sheetData>
    <row r="1" spans="1:56" s="6" customFormat="1" ht="43.5">
      <c r="A1" s="41" t="s">
        <v>380</v>
      </c>
      <c r="B1" s="36" t="s">
        <v>4</v>
      </c>
      <c r="C1" s="36" t="s">
        <v>98</v>
      </c>
      <c r="D1" s="36" t="s">
        <v>101</v>
      </c>
      <c r="E1" s="36" t="s">
        <v>125</v>
      </c>
      <c r="F1" s="36" t="s">
        <v>3</v>
      </c>
      <c r="G1" s="36" t="s">
        <v>126</v>
      </c>
      <c r="H1" s="36" t="s">
        <v>99</v>
      </c>
      <c r="I1" s="36" t="s">
        <v>127</v>
      </c>
      <c r="J1" s="36" t="s">
        <v>142</v>
      </c>
      <c r="K1" s="36" t="s">
        <v>144</v>
      </c>
      <c r="L1" s="36" t="s">
        <v>143</v>
      </c>
      <c r="M1" s="36" t="s">
        <v>16</v>
      </c>
      <c r="N1" s="36" t="s">
        <v>382</v>
      </c>
      <c r="O1" s="36" t="s">
        <v>383</v>
      </c>
      <c r="P1" s="36" t="s">
        <v>120</v>
      </c>
      <c r="Q1" s="36" t="s">
        <v>129</v>
      </c>
      <c r="R1" s="36" t="s">
        <v>132</v>
      </c>
      <c r="S1" s="36" t="s">
        <v>134</v>
      </c>
      <c r="T1" s="36" t="s">
        <v>133</v>
      </c>
      <c r="U1" s="7"/>
      <c r="V1" s="7"/>
      <c r="W1" s="7"/>
      <c r="X1" s="7"/>
      <c r="Y1" s="7"/>
      <c r="Z1" s="7"/>
      <c r="AA1" s="7"/>
      <c r="AB1" s="7"/>
      <c r="AD1" s="7" t="s">
        <v>381</v>
      </c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</row>
    <row r="2" spans="1:56">
      <c r="A2" s="2" t="s">
        <v>444</v>
      </c>
      <c r="B2" s="79"/>
      <c r="C2" s="2" t="str">
        <f>'Processor Comparisons'!B1</f>
        <v>8268</v>
      </c>
      <c r="D2" s="2">
        <f t="shared" ref="D2:D7" si="0">2*B2</f>
        <v>0</v>
      </c>
      <c r="E2" s="2">
        <f>VLOOKUP(C2,'Processor Comparisons'!$B$5:'Processor Comparisons'!$C$300,2,FALSE)</f>
        <v>24</v>
      </c>
      <c r="F2" s="2">
        <f t="shared" ref="F2:F7" si="1">D2*E2</f>
        <v>0</v>
      </c>
      <c r="G2" s="2" t="str">
        <f>VLOOKUP(C2,'Processor Comparisons'!$B$5:'Processor Comparisons'!$D$300,3,FALSE)</f>
        <v>2.9</v>
      </c>
      <c r="H2" s="2">
        <f t="shared" ref="H2:H7" si="2">F2*G2</f>
        <v>0</v>
      </c>
      <c r="I2" s="51" t="str">
        <f>IFERROR('VDI Profiles'!$F$4/Table157[[#This Row],[Total Cores]],"")</f>
        <v/>
      </c>
      <c r="J2" s="80" t="s">
        <v>74</v>
      </c>
      <c r="K2" s="81">
        <v>64</v>
      </c>
      <c r="L2" s="113">
        <v>24</v>
      </c>
      <c r="M2" s="43">
        <f t="shared" ref="M2:M7" si="3">B2*(K2*L2)</f>
        <v>0</v>
      </c>
      <c r="N2" s="2">
        <f>'VDI Profiles'!$G$4</f>
        <v>800</v>
      </c>
      <c r="O2" s="60" t="str">
        <f>IFERROR(1-(N2/M2),"")</f>
        <v/>
      </c>
      <c r="P2" s="5">
        <f>VLOOKUP(C2,'Processor Comparisons'!$B$5:'Processor Comparisons'!$E$300,4,FALSE)*D2</f>
        <v>0</v>
      </c>
      <c r="Q2" s="31">
        <f t="array" ref="Q2">IFERROR((INDEX('Memory Options'!$F$2:'Memory Options'!$F$10,MATCH(J2&amp;K2,'Memory Options'!$B$2:'Memory Options'!$B$10&amp;'Memory Options'!$C$2:'Memory Options'!$C$10,0))*L2)*B2,0)</f>
        <v>0</v>
      </c>
      <c r="R2" s="58">
        <f t="shared" ref="R2:R7" si="4">P2+Q2</f>
        <v>0</v>
      </c>
      <c r="S2" s="49">
        <f t="shared" ref="S2:S7" si="5">1-(R2/$AD$2)</f>
        <v>1</v>
      </c>
      <c r="T2" s="79"/>
      <c r="U2" s="1"/>
      <c r="V2" s="1"/>
      <c r="W2" s="1"/>
      <c r="X2" s="1"/>
      <c r="Y2" s="1"/>
      <c r="Z2" s="1"/>
      <c r="AA2" s="1"/>
      <c r="AB2" s="1"/>
      <c r="AC2" s="1">
        <f>_xlfn.IFNA(R2,0)</f>
        <v>0</v>
      </c>
      <c r="AD2" s="1">
        <f>MAX(AC:AC)</f>
        <v>132448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>
        <f>MAX(Table157[Total (proc &amp; mem)])</f>
        <v>132448</v>
      </c>
    </row>
    <row r="3" spans="1:56">
      <c r="A3" s="2" t="s">
        <v>445</v>
      </c>
      <c r="B3" s="79">
        <v>4</v>
      </c>
      <c r="C3" s="2" t="str">
        <f>'Processor Comparisons'!B1</f>
        <v>8268</v>
      </c>
      <c r="D3" s="2">
        <f t="shared" si="0"/>
        <v>8</v>
      </c>
      <c r="E3" s="2">
        <f>VLOOKUP(C3,'Processor Comparisons'!$B$5:'Processor Comparisons'!$C$300,2,FALSE)</f>
        <v>24</v>
      </c>
      <c r="F3" s="2">
        <f t="shared" si="1"/>
        <v>192</v>
      </c>
      <c r="G3" s="2" t="str">
        <f>VLOOKUP(C3,'Processor Comparisons'!$B$5:'Processor Comparisons'!$D$300,3,FALSE)</f>
        <v>2.9</v>
      </c>
      <c r="H3" s="2">
        <f t="shared" si="2"/>
        <v>556.79999999999995</v>
      </c>
      <c r="I3" s="51">
        <f>IFERROR('VDI Profiles'!$F$4/Table157[[#This Row],[Total Cores]],"")</f>
        <v>2.0833333333333335</v>
      </c>
      <c r="J3" s="80" t="s">
        <v>74</v>
      </c>
      <c r="K3" s="81">
        <v>64</v>
      </c>
      <c r="L3" s="113">
        <v>12</v>
      </c>
      <c r="M3" s="43">
        <f t="shared" si="3"/>
        <v>3072</v>
      </c>
      <c r="N3" s="2">
        <f>'VDI Profiles'!$G$4</f>
        <v>800</v>
      </c>
      <c r="O3" s="60">
        <f>IFERROR(1-(N3/M3),"")</f>
        <v>0.73958333333333326</v>
      </c>
      <c r="P3" s="5">
        <f>VLOOKUP(C3,'Processor Comparisons'!$B$5:'Processor Comparisons'!$E$300,4,FALSE)*D3</f>
        <v>50416</v>
      </c>
      <c r="Q3" s="31">
        <f t="array" ref="Q3">IFERROR((INDEX('Memory Options'!$F$2:'Memory Options'!$F$10,MATCH(J3&amp;K3,'Memory Options'!$B$2:'Memory Options'!$B$10&amp;'Memory Options'!$C$2:'Memory Options'!$C$10,0))*L3)*B3,0)</f>
        <v>82032</v>
      </c>
      <c r="R3" s="58">
        <f t="shared" si="4"/>
        <v>132448</v>
      </c>
      <c r="S3" s="49">
        <f t="shared" si="5"/>
        <v>0</v>
      </c>
      <c r="T3" s="79"/>
      <c r="U3" s="1"/>
      <c r="V3" s="1"/>
      <c r="W3" s="1"/>
      <c r="X3" s="1"/>
      <c r="Y3" s="1"/>
      <c r="Z3" s="1"/>
      <c r="AA3" s="1"/>
      <c r="AB3" s="1"/>
      <c r="AC3" s="1">
        <f t="shared" ref="AC3:AC4" si="6">_xlfn.IFNA(R3,0)</f>
        <v>132448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6">
      <c r="A4" s="2" t="s">
        <v>446</v>
      </c>
      <c r="B4" s="79"/>
      <c r="C4" s="2" t="str">
        <f>'Processor Comparisons'!B2</f>
        <v>6240</v>
      </c>
      <c r="D4" s="2">
        <f t="shared" si="0"/>
        <v>0</v>
      </c>
      <c r="E4" s="2">
        <f>VLOOKUP(C4,'Processor Comparisons'!$B$5:'Processor Comparisons'!$C$300,2,FALSE)</f>
        <v>18</v>
      </c>
      <c r="F4" s="2">
        <f t="shared" si="1"/>
        <v>0</v>
      </c>
      <c r="G4" s="2" t="str">
        <f>VLOOKUP(C4,'Processor Comparisons'!$B$5:'Processor Comparisons'!$D$300,3,FALSE)</f>
        <v>2.6</v>
      </c>
      <c r="H4" s="2">
        <f t="shared" si="2"/>
        <v>0</v>
      </c>
      <c r="I4" s="51" t="str">
        <f>IFERROR('VDI Profiles'!$F$4/Table157[[#This Row],[Total Cores]],"")</f>
        <v/>
      </c>
      <c r="J4" s="80" t="s">
        <v>74</v>
      </c>
      <c r="K4" s="81">
        <v>64</v>
      </c>
      <c r="L4" s="113">
        <v>24</v>
      </c>
      <c r="M4" s="43">
        <f t="shared" si="3"/>
        <v>0</v>
      </c>
      <c r="N4" s="2">
        <f>'VDI Profiles'!$G$4</f>
        <v>800</v>
      </c>
      <c r="O4" s="60" t="str">
        <f>IFERROR(1-(N4/M4),"")</f>
        <v/>
      </c>
      <c r="P4" s="5">
        <f>VLOOKUP(C4,'Processor Comparisons'!$B$5:'Processor Comparisons'!$E$300,4,FALSE)*D4</f>
        <v>0</v>
      </c>
      <c r="Q4" s="31">
        <f t="array" ref="Q4">IFERROR((INDEX('Memory Options'!$F$2:'Memory Options'!$F$10,MATCH(J4&amp;K4,'Memory Options'!$B$2:'Memory Options'!$B$10&amp;'Memory Options'!$C$2:'Memory Options'!$C$10,0))*L4)*B4,0)</f>
        <v>0</v>
      </c>
      <c r="R4" s="58">
        <f t="shared" si="4"/>
        <v>0</v>
      </c>
      <c r="S4" s="49">
        <f t="shared" si="5"/>
        <v>1</v>
      </c>
      <c r="T4" s="79"/>
      <c r="U4" s="1"/>
      <c r="V4" s="1"/>
      <c r="W4" s="1"/>
      <c r="X4" s="1"/>
      <c r="Y4" s="1"/>
      <c r="Z4" s="1"/>
      <c r="AA4" s="1"/>
      <c r="AB4" s="1"/>
      <c r="AC4" s="1">
        <f t="shared" si="6"/>
        <v>0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6">
      <c r="A5" s="2" t="s">
        <v>447</v>
      </c>
      <c r="B5" s="79">
        <v>4</v>
      </c>
      <c r="C5" s="2" t="str">
        <f>'Processor Comparisons'!B2</f>
        <v>6240</v>
      </c>
      <c r="D5" s="2">
        <f t="shared" si="0"/>
        <v>8</v>
      </c>
      <c r="E5" s="2">
        <f>VLOOKUP(C5,'Processor Comparisons'!$B$5:'Processor Comparisons'!$C$300,2,FALSE)</f>
        <v>18</v>
      </c>
      <c r="F5" s="2">
        <f t="shared" si="1"/>
        <v>144</v>
      </c>
      <c r="G5" s="2" t="str">
        <f>VLOOKUP(C5,'Processor Comparisons'!$B$5:'Processor Comparisons'!$D$300,3,FALSE)</f>
        <v>2.6</v>
      </c>
      <c r="H5" s="2">
        <f t="shared" si="2"/>
        <v>374.40000000000003</v>
      </c>
      <c r="I5" s="51">
        <f>IFERROR('VDI Profiles'!$F$4/Table157[[#This Row],[Total Cores]],"")</f>
        <v>2.7777777777777777</v>
      </c>
      <c r="J5" s="80" t="s">
        <v>74</v>
      </c>
      <c r="K5" s="81">
        <v>64</v>
      </c>
      <c r="L5" s="113">
        <v>12</v>
      </c>
      <c r="M5" s="43">
        <f t="shared" si="3"/>
        <v>3072</v>
      </c>
      <c r="N5" s="2">
        <f>'VDI Profiles'!$G$4</f>
        <v>800</v>
      </c>
      <c r="O5" s="60">
        <f>IFERROR(1-(N5/M5),"")</f>
        <v>0.73958333333333326</v>
      </c>
      <c r="P5" s="5">
        <f>VLOOKUP(C5,'Processor Comparisons'!$B$5:'Processor Comparisons'!$E$300,4,FALSE)*D5</f>
        <v>19608</v>
      </c>
      <c r="Q5" s="31">
        <f t="array" ref="Q5">IFERROR((INDEX('Memory Options'!$F$2:'Memory Options'!$F$10,MATCH(J5&amp;K5,'Memory Options'!$B$2:'Memory Options'!$B$10&amp;'Memory Options'!$C$2:'Memory Options'!$C$10,0))*L5)*B5,0)</f>
        <v>82032</v>
      </c>
      <c r="R5" s="58">
        <f t="shared" si="4"/>
        <v>101640</v>
      </c>
      <c r="S5" s="49">
        <f t="shared" si="5"/>
        <v>0.23260449383909154</v>
      </c>
      <c r="T5" s="79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6">
      <c r="A6" s="2" t="s">
        <v>448</v>
      </c>
      <c r="B6" s="79"/>
      <c r="C6" s="2" t="str">
        <f>'Processor Comparisons'!B3</f>
        <v>5218R</v>
      </c>
      <c r="D6" s="2">
        <f t="shared" si="0"/>
        <v>0</v>
      </c>
      <c r="E6" s="2">
        <f>VLOOKUP(C6,'Processor Comparisons'!$B$5:'Processor Comparisons'!$C$300,2,FALSE)</f>
        <v>20</v>
      </c>
      <c r="F6" s="2">
        <f t="shared" si="1"/>
        <v>0</v>
      </c>
      <c r="G6" s="2" t="str">
        <f>VLOOKUP(C6,'Processor Comparisons'!$B$5:'Processor Comparisons'!$D$300,3,FALSE)</f>
        <v>2.1</v>
      </c>
      <c r="H6" s="2">
        <f t="shared" si="2"/>
        <v>0</v>
      </c>
      <c r="I6" s="51" t="str">
        <f>IFERROR('VDI Profiles'!$F$4/Table157[[#This Row],[Total Cores]],"")</f>
        <v/>
      </c>
      <c r="J6" s="80" t="s">
        <v>74</v>
      </c>
      <c r="K6" s="81">
        <v>64</v>
      </c>
      <c r="L6" s="113">
        <v>24</v>
      </c>
      <c r="M6" s="43">
        <f t="shared" si="3"/>
        <v>0</v>
      </c>
      <c r="N6" s="2">
        <f>'VDI Profiles'!$G$4</f>
        <v>800</v>
      </c>
      <c r="O6" s="60" t="str">
        <f>IFERROR(1-(N6/M6),"")</f>
        <v/>
      </c>
      <c r="P6" s="5">
        <f>VLOOKUP(C6,'Processor Comparisons'!$B$5:'Processor Comparisons'!$E$300,4,FALSE)*D6</f>
        <v>0</v>
      </c>
      <c r="Q6" s="31">
        <f t="array" ref="Q6">IFERROR((INDEX('Memory Options'!$F$2:'Memory Options'!$F$10,MATCH(J6&amp;K6,'Memory Options'!$B$2:'Memory Options'!$B$10&amp;'Memory Options'!$C$2:'Memory Options'!$C$10,0))*L6)*B6,0)</f>
        <v>0</v>
      </c>
      <c r="R6" s="58">
        <f t="shared" si="4"/>
        <v>0</v>
      </c>
      <c r="S6" s="49">
        <f t="shared" si="5"/>
        <v>1</v>
      </c>
      <c r="T6" s="79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6">
      <c r="A7" s="2" t="s">
        <v>449</v>
      </c>
      <c r="B7" s="79">
        <v>4</v>
      </c>
      <c r="C7" s="2" t="str">
        <f>'Processor Comparisons'!B3</f>
        <v>5218R</v>
      </c>
      <c r="D7" s="2">
        <f t="shared" si="0"/>
        <v>8</v>
      </c>
      <c r="E7" s="2">
        <f>VLOOKUP(C7,'Processor Comparisons'!$B$5:'Processor Comparisons'!$C$300,2,FALSE)</f>
        <v>20</v>
      </c>
      <c r="F7" s="2">
        <f t="shared" si="1"/>
        <v>160</v>
      </c>
      <c r="G7" s="2" t="str">
        <f>VLOOKUP(C7,'Processor Comparisons'!$B$5:'Processor Comparisons'!$D$300,3,FALSE)</f>
        <v>2.1</v>
      </c>
      <c r="H7" s="2">
        <f t="shared" si="2"/>
        <v>336</v>
      </c>
      <c r="I7" s="51">
        <f>IFERROR('VDI Profiles'!$F$4/Table157[[#This Row],[Total Cores]],"")</f>
        <v>2.5</v>
      </c>
      <c r="J7" s="80" t="s">
        <v>74</v>
      </c>
      <c r="K7" s="81">
        <v>64</v>
      </c>
      <c r="L7" s="113">
        <v>12</v>
      </c>
      <c r="M7" s="43">
        <f t="shared" si="3"/>
        <v>3072</v>
      </c>
      <c r="N7" s="2">
        <f>'VDI Profiles'!$G$4</f>
        <v>800</v>
      </c>
      <c r="O7" s="60">
        <f>IFERROR(1-(N7/M7),"")</f>
        <v>0.73958333333333326</v>
      </c>
      <c r="P7" s="5">
        <f>VLOOKUP(C7,'Processor Comparisons'!$B$5:'Processor Comparisons'!$E$300,4,FALSE)*D7</f>
        <v>10240</v>
      </c>
      <c r="Q7" s="31">
        <f t="array" ref="Q7">IFERROR((INDEX('Memory Options'!$F$2:'Memory Options'!$F$10,MATCH(J7&amp;K7,'Memory Options'!$B$2:'Memory Options'!$B$10&amp;'Memory Options'!$C$2:'Memory Options'!$C$10,0))*L7)*B7,0)</f>
        <v>82032</v>
      </c>
      <c r="R7" s="58">
        <f t="shared" si="4"/>
        <v>92272</v>
      </c>
      <c r="S7" s="49">
        <f t="shared" si="5"/>
        <v>0.3033341386808408</v>
      </c>
      <c r="T7" s="79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6">
      <c r="A8" s="1"/>
      <c r="B8" s="1"/>
      <c r="C8" s="1"/>
      <c r="D8" s="1"/>
      <c r="E8" s="1"/>
      <c r="F8" s="1"/>
      <c r="G8" s="1"/>
      <c r="H8" s="1"/>
      <c r="I8" s="7"/>
      <c r="J8" s="1"/>
      <c r="K8" s="7"/>
      <c r="L8" s="7"/>
      <c r="M8" s="1"/>
      <c r="N8" s="1"/>
      <c r="O8" s="1"/>
      <c r="P8" s="1"/>
      <c r="Q8" s="1"/>
      <c r="R8" s="7"/>
      <c r="S8" s="1"/>
      <c r="T8" s="1"/>
      <c r="U8" s="1"/>
      <c r="V8" s="1"/>
      <c r="W8" s="1"/>
      <c r="X8" s="50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85" t="s">
        <v>384</v>
      </c>
      <c r="B9" s="1"/>
      <c r="C9" s="1"/>
      <c r="D9" s="1"/>
      <c r="E9" s="1"/>
      <c r="F9" s="1"/>
      <c r="G9" s="1"/>
      <c r="H9" s="1"/>
      <c r="I9" s="7"/>
      <c r="J9" s="1"/>
      <c r="K9" s="7"/>
      <c r="L9" s="7"/>
      <c r="M9" s="1"/>
      <c r="N9" s="1"/>
      <c r="O9" s="1"/>
      <c r="P9" s="1"/>
      <c r="Q9" s="1"/>
      <c r="R9" s="7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77" t="s">
        <v>449</v>
      </c>
      <c r="B10" s="1"/>
      <c r="C10" s="1"/>
      <c r="D10" s="1"/>
      <c r="E10" s="1"/>
      <c r="F10" s="1"/>
      <c r="G10" s="1"/>
      <c r="H10" s="1"/>
      <c r="I10" s="7"/>
      <c r="J10" s="1"/>
      <c r="K10" s="7"/>
      <c r="L10" s="7"/>
      <c r="M10" s="1"/>
      <c r="N10" s="1"/>
      <c r="O10" s="1"/>
      <c r="P10" s="1"/>
      <c r="Q10" s="1"/>
      <c r="R10" s="7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s="40" customFormat="1" ht="13.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</row>
    <row r="12" spans="1:56">
      <c r="A12" s="85" t="s">
        <v>385</v>
      </c>
      <c r="B12" s="1"/>
      <c r="C12" s="1"/>
      <c r="D12" s="1"/>
      <c r="E12" s="1"/>
      <c r="F12" s="1"/>
      <c r="G12" s="1"/>
      <c r="H12" s="1"/>
      <c r="I12" s="7"/>
      <c r="J12" s="1"/>
      <c r="K12" s="7"/>
      <c r="L12" s="7"/>
      <c r="M12" s="1"/>
      <c r="N12" s="1"/>
      <c r="O12" s="1"/>
      <c r="P12" s="1"/>
      <c r="Q12" s="1"/>
      <c r="R12" s="7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77" t="s">
        <v>447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85" t="s">
        <v>386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77" t="s">
        <v>445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7:56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7:56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7:56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7:56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7:56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7:56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7:56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7:56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7:56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7:56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7:56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7:56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7:56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7:56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7:56"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7:56"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7:56"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7:56"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7:56"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7:56"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7:56"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7:56"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7:56"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7:56"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7:56"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7:56"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7:56"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7:56"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7:56"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7:56"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7:56"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7:56"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7:56"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7:56"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7:56"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7:56"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7:56"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7:56"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7:56"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7:56"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7:56"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7:56"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7:56"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7:56"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7:56"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7:56"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7:56"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7:56"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21:56"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21:56"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21:56"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</sheetData>
  <conditionalFormatting sqref="R2:R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10 A13 A16" xr:uid="{1742D439-9B3C-44DA-9721-705757BF2B17}">
      <formula1>$A$2:$A$8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C3B0AB-71A2-45AE-A07D-93CF7DB78E1D}">
          <x14:formula1>
            <xm:f>'Memory Options'!$B$2:$B$10</xm:f>
          </x14:formula1>
          <xm:sqref>J2:J7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CCA91-C4DC-4295-9C82-B729E627F309}">
  <sheetPr codeName="Sheet3"/>
  <dimension ref="A1:AZ171"/>
  <sheetViews>
    <sheetView zoomScale="80" zoomScaleNormal="80" workbookViewId="0">
      <selection activeCell="E34" sqref="E34"/>
    </sheetView>
  </sheetViews>
  <sheetFormatPr defaultRowHeight="14.5"/>
  <cols>
    <col min="1" max="1" width="14.81640625" bestFit="1" customWidth="1"/>
    <col min="2" max="2" width="10.6328125" bestFit="1" customWidth="1"/>
    <col min="3" max="3" width="11.453125" bestFit="1" customWidth="1"/>
    <col min="4" max="4" width="15.90625" customWidth="1"/>
    <col min="5" max="5" width="11.54296875" customWidth="1"/>
    <col min="6" max="6" width="7.54296875" customWidth="1"/>
    <col min="7" max="7" width="7.6328125" customWidth="1"/>
    <col min="8" max="8" width="7.90625" customWidth="1"/>
    <col min="9" max="9" width="18.81640625" customWidth="1"/>
    <col min="10" max="10" width="12.90625" customWidth="1"/>
    <col min="11" max="11" width="12" customWidth="1"/>
    <col min="12" max="12" width="13.81640625" bestFit="1" customWidth="1"/>
    <col min="13" max="13" width="36.81640625" customWidth="1"/>
    <col min="14" max="14" width="14" customWidth="1"/>
    <col min="15" max="15" width="14.1796875" customWidth="1"/>
    <col min="16" max="16" width="14.1796875" bestFit="1" customWidth="1"/>
    <col min="17" max="17" width="13.08984375" customWidth="1"/>
    <col min="18" max="18" width="84.81640625" bestFit="1" customWidth="1"/>
  </cols>
  <sheetData>
    <row r="1" spans="1:52">
      <c r="A1" s="115" t="s">
        <v>145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52" s="6" customFormat="1" ht="29">
      <c r="A2" s="6" t="s">
        <v>96</v>
      </c>
      <c r="B2" s="6" t="s">
        <v>4</v>
      </c>
      <c r="C2" s="6" t="s">
        <v>98</v>
      </c>
      <c r="D2" s="6" t="s">
        <v>101</v>
      </c>
      <c r="E2" s="6" t="s">
        <v>125</v>
      </c>
      <c r="F2" s="6" t="s">
        <v>3</v>
      </c>
      <c r="G2" s="6" t="s">
        <v>126</v>
      </c>
      <c r="H2" s="6" t="s">
        <v>99</v>
      </c>
      <c r="I2" s="6" t="s">
        <v>121</v>
      </c>
      <c r="J2" s="6" t="s">
        <v>16</v>
      </c>
      <c r="K2" s="6" t="s">
        <v>114</v>
      </c>
      <c r="L2" s="6" t="s">
        <v>127</v>
      </c>
      <c r="M2" s="6" t="s">
        <v>102</v>
      </c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</row>
    <row r="3" spans="1:52" ht="29">
      <c r="A3" t="s">
        <v>97</v>
      </c>
      <c r="B3">
        <v>4</v>
      </c>
      <c r="C3" t="s">
        <v>100</v>
      </c>
      <c r="D3">
        <v>8</v>
      </c>
      <c r="E3">
        <v>12</v>
      </c>
      <c r="F3">
        <v>96</v>
      </c>
      <c r="G3">
        <v>2.2999999999999998</v>
      </c>
      <c r="H3">
        <v>220.79999999999998</v>
      </c>
      <c r="I3" s="30">
        <v>0.95</v>
      </c>
      <c r="J3" s="35">
        <v>2048</v>
      </c>
      <c r="K3" s="37">
        <v>0.65</v>
      </c>
      <c r="L3" s="38" t="e">
        <f>250*Table1[[#This Row],[vCPU]]/F3</f>
        <v>#VALUE!</v>
      </c>
      <c r="M3" s="6" t="s">
        <v>139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>
      <c r="A4" s="1"/>
      <c r="B4" s="1"/>
      <c r="C4" s="1"/>
      <c r="D4" s="1"/>
      <c r="E4" s="1"/>
      <c r="F4" s="1"/>
      <c r="G4" s="1"/>
      <c r="H4" s="1"/>
      <c r="I4" s="1"/>
      <c r="J4" s="1"/>
      <c r="K4" s="7"/>
      <c r="L4" s="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>
      <c r="A5" s="1"/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s="6" customFormat="1" ht="58">
      <c r="A6" s="41" t="s">
        <v>96</v>
      </c>
      <c r="B6" s="36" t="s">
        <v>4</v>
      </c>
      <c r="C6" s="36" t="s">
        <v>98</v>
      </c>
      <c r="D6" s="36" t="s">
        <v>101</v>
      </c>
      <c r="E6" s="36" t="s">
        <v>125</v>
      </c>
      <c r="F6" s="36" t="s">
        <v>3</v>
      </c>
      <c r="G6" s="36" t="s">
        <v>126</v>
      </c>
      <c r="H6" s="36" t="s">
        <v>99</v>
      </c>
      <c r="I6" s="36" t="s">
        <v>122</v>
      </c>
      <c r="J6" s="36" t="s">
        <v>16</v>
      </c>
      <c r="K6" s="36" t="s">
        <v>115</v>
      </c>
      <c r="L6" s="36" t="s">
        <v>131</v>
      </c>
      <c r="M6" s="42" t="s">
        <v>102</v>
      </c>
      <c r="N6" s="36" t="s">
        <v>120</v>
      </c>
      <c r="O6" s="36" t="s">
        <v>129</v>
      </c>
      <c r="P6" s="36" t="s">
        <v>132</v>
      </c>
      <c r="Q6" s="36" t="s">
        <v>134</v>
      </c>
      <c r="R6" s="36" t="s">
        <v>133</v>
      </c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2" hidden="1">
      <c r="A7" s="3" t="s">
        <v>18</v>
      </c>
      <c r="B7" s="3">
        <v>3</v>
      </c>
      <c r="C7" s="3">
        <v>8268</v>
      </c>
      <c r="D7" s="2">
        <f t="shared" ref="D7:D12" si="0">2*B7</f>
        <v>6</v>
      </c>
      <c r="E7" s="3">
        <v>24</v>
      </c>
      <c r="F7" s="2">
        <f t="shared" ref="F7:F12" si="1">D7*E7</f>
        <v>144</v>
      </c>
      <c r="G7" s="3">
        <v>2.9</v>
      </c>
      <c r="H7" s="2">
        <f t="shared" ref="H7:H12" si="2">F7*G7</f>
        <v>417.59999999999997</v>
      </c>
      <c r="I7" s="45">
        <f t="shared" ref="I7:I12" si="3">$H$17/H7</f>
        <v>0.50229885057471269</v>
      </c>
      <c r="J7" s="43">
        <f>B7*1536</f>
        <v>4608</v>
      </c>
      <c r="K7" s="46">
        <f t="shared" ref="K7:K12" si="4">$K$17/J7</f>
        <v>0.28888888888888892</v>
      </c>
      <c r="L7" s="47">
        <f>'VDI Profiles'!$F$4/Table15[[#This Row],[Total Cores]]</f>
        <v>2.7777777777777777</v>
      </c>
      <c r="M7" s="44" t="s">
        <v>128</v>
      </c>
      <c r="N7" s="5">
        <f>D7*'Processor Options'!$E$6</f>
        <v>50880</v>
      </c>
      <c r="O7" s="31">
        <f>(24*'Memory Options'!$F$5)*B7</f>
        <v>123048</v>
      </c>
      <c r="P7" s="48">
        <f>Table15[[#This Row],[Total Processor Costs (List)]]+Table15[[#This Row],[Total Memory Costs (List)]]</f>
        <v>173928</v>
      </c>
      <c r="Q7" s="49">
        <f t="shared" ref="Q7:Q12" si="5">($P$11/P7)-1</f>
        <v>0.33141299848213057</v>
      </c>
      <c r="R7" s="3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2">
      <c r="A8" s="3" t="s">
        <v>18</v>
      </c>
      <c r="B8" s="3">
        <v>3</v>
      </c>
      <c r="C8" s="3">
        <v>8268</v>
      </c>
      <c r="D8" s="2">
        <f t="shared" si="0"/>
        <v>6</v>
      </c>
      <c r="E8" s="3">
        <v>24</v>
      </c>
      <c r="F8" s="2">
        <f t="shared" si="1"/>
        <v>144</v>
      </c>
      <c r="G8" s="3">
        <v>2.9</v>
      </c>
      <c r="H8" s="2">
        <f t="shared" si="2"/>
        <v>417.59999999999997</v>
      </c>
      <c r="I8" s="45">
        <f t="shared" si="3"/>
        <v>0.50229885057471269</v>
      </c>
      <c r="J8" s="43">
        <f>B8*768</f>
        <v>2304</v>
      </c>
      <c r="K8" s="46">
        <f t="shared" si="4"/>
        <v>0.57777777777777783</v>
      </c>
      <c r="L8" s="47">
        <f>'VDI Profiles'!$F$4/Table15[[#This Row],[Total Cores]]</f>
        <v>2.7777777777777777</v>
      </c>
      <c r="M8" s="44" t="s">
        <v>130</v>
      </c>
      <c r="N8" s="5">
        <f>D8*'Processor Options'!$E$6</f>
        <v>50880</v>
      </c>
      <c r="O8" s="31">
        <f>(12*'Memory Options'!$F$5)*B8</f>
        <v>61524</v>
      </c>
      <c r="P8" s="48">
        <f>Table15[[#This Row],[Total Processor Costs (List)]]+Table15[[#This Row],[Total Memory Costs (List)]]</f>
        <v>112404</v>
      </c>
      <c r="Q8" s="49">
        <f t="shared" si="5"/>
        <v>1.0601580014946088</v>
      </c>
      <c r="R8" s="3" t="s">
        <v>137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2" hidden="1">
      <c r="A9" s="3" t="s">
        <v>18</v>
      </c>
      <c r="B9" s="3">
        <v>4</v>
      </c>
      <c r="C9" s="3">
        <v>6254</v>
      </c>
      <c r="D9" s="2">
        <f t="shared" si="0"/>
        <v>8</v>
      </c>
      <c r="E9" s="3">
        <f>'Processor Options'!C13</f>
        <v>18</v>
      </c>
      <c r="F9" s="2">
        <f t="shared" si="1"/>
        <v>144</v>
      </c>
      <c r="G9" s="3">
        <v>3.1</v>
      </c>
      <c r="H9" s="2">
        <f t="shared" si="2"/>
        <v>446.40000000000003</v>
      </c>
      <c r="I9" s="45">
        <f t="shared" si="3"/>
        <v>0.46989247311827953</v>
      </c>
      <c r="J9" s="43">
        <f>B9*1536</f>
        <v>6144</v>
      </c>
      <c r="K9" s="46">
        <f t="shared" si="4"/>
        <v>0.21666666666666667</v>
      </c>
      <c r="L9" s="47">
        <f>'VDI Profiles'!$F$4/Table15[[#This Row],[Total Cores]]</f>
        <v>2.7777777777777777</v>
      </c>
      <c r="M9" s="44" t="s">
        <v>128</v>
      </c>
      <c r="N9" s="5">
        <f>D9*'Processor Options'!$E$13</f>
        <v>37360</v>
      </c>
      <c r="O9" s="31">
        <f>(24*'Memory Options'!$F$5)*B9</f>
        <v>164064</v>
      </c>
      <c r="P9" s="48">
        <f>Table15[[#This Row],[Total Processor Costs (List)]]+Table15[[#This Row],[Total Memory Costs (List)]]</f>
        <v>201424</v>
      </c>
      <c r="Q9" s="49">
        <f t="shared" si="5"/>
        <v>0.14966438954642935</v>
      </c>
      <c r="R9" s="3" t="s">
        <v>136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2">
      <c r="A10" s="3" t="s">
        <v>18</v>
      </c>
      <c r="B10" s="3">
        <v>3</v>
      </c>
      <c r="C10" s="3">
        <v>6254</v>
      </c>
      <c r="D10" s="2">
        <f t="shared" si="0"/>
        <v>6</v>
      </c>
      <c r="E10" s="3">
        <f>'Processor Options'!C13</f>
        <v>18</v>
      </c>
      <c r="F10" s="2">
        <f t="shared" si="1"/>
        <v>108</v>
      </c>
      <c r="G10" s="3">
        <v>3.1</v>
      </c>
      <c r="H10" s="2">
        <f t="shared" si="2"/>
        <v>334.8</v>
      </c>
      <c r="I10" s="45">
        <f t="shared" si="3"/>
        <v>0.62652329749103941</v>
      </c>
      <c r="J10" s="43">
        <f>B10*768</f>
        <v>2304</v>
      </c>
      <c r="K10" s="46">
        <f t="shared" si="4"/>
        <v>0.57777777777777783</v>
      </c>
      <c r="L10" s="47">
        <f>'VDI Profiles'!$F$4/Table15[[#This Row],[Total Cores]]</f>
        <v>3.7037037037037037</v>
      </c>
      <c r="M10" s="44" t="s">
        <v>130</v>
      </c>
      <c r="N10" s="5">
        <f>D10*'Processor Options'!$E$13</f>
        <v>28020</v>
      </c>
      <c r="O10" s="31">
        <f>(12*'Memory Options'!$F$5)*B10</f>
        <v>61524</v>
      </c>
      <c r="P10" s="48">
        <f>Table15[[#This Row],[Total Processor Costs (List)]]+Table15[[#This Row],[Total Memory Costs (List)]]</f>
        <v>89544</v>
      </c>
      <c r="Q10" s="49">
        <f t="shared" si="5"/>
        <v>1.586102921468775</v>
      </c>
      <c r="R10" s="3" t="s">
        <v>136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2" hidden="1">
      <c r="A11" s="3" t="s">
        <v>18</v>
      </c>
      <c r="B11" s="3">
        <v>5</v>
      </c>
      <c r="C11" s="3">
        <v>6240</v>
      </c>
      <c r="D11" s="2">
        <f t="shared" si="0"/>
        <v>10</v>
      </c>
      <c r="E11" s="3">
        <f>'Processor Options'!C16</f>
        <v>18</v>
      </c>
      <c r="F11" s="2">
        <f t="shared" si="1"/>
        <v>180</v>
      </c>
      <c r="G11" s="3">
        <v>2.6</v>
      </c>
      <c r="H11" s="2">
        <f t="shared" si="2"/>
        <v>468</v>
      </c>
      <c r="I11" s="45">
        <f t="shared" si="3"/>
        <v>0.4482051282051282</v>
      </c>
      <c r="J11" s="43">
        <f>B11*1536</f>
        <v>7680</v>
      </c>
      <c r="K11" s="46">
        <f t="shared" si="4"/>
        <v>0.17333333333333334</v>
      </c>
      <c r="L11" s="47">
        <f>'VDI Profiles'!$F$4/Table15[[#This Row],[Total Cores]]</f>
        <v>2.2222222222222223</v>
      </c>
      <c r="M11" s="44" t="s">
        <v>128</v>
      </c>
      <c r="N11" s="5">
        <f>D11*'Processor Options'!$E$16</f>
        <v>26490</v>
      </c>
      <c r="O11" s="31">
        <f>(24*'Memory Options'!$F$5)*B11</f>
        <v>205080</v>
      </c>
      <c r="P11" s="48">
        <f>Table15[[#This Row],[Total Processor Costs (List)]]+Table15[[#This Row],[Total Memory Costs (List)]]</f>
        <v>231570</v>
      </c>
      <c r="Q11" s="49">
        <f t="shared" si="5"/>
        <v>0</v>
      </c>
      <c r="R11" s="3" t="s">
        <v>138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2" hidden="1">
      <c r="A12" s="3" t="s">
        <v>18</v>
      </c>
      <c r="B12" s="3">
        <v>5</v>
      </c>
      <c r="C12" s="3">
        <v>6240</v>
      </c>
      <c r="D12" s="2">
        <f t="shared" si="0"/>
        <v>10</v>
      </c>
      <c r="E12" s="3">
        <f>'Processor Options'!C16</f>
        <v>18</v>
      </c>
      <c r="F12" s="2">
        <f t="shared" si="1"/>
        <v>180</v>
      </c>
      <c r="G12" s="3">
        <v>2.6</v>
      </c>
      <c r="H12" s="2">
        <f t="shared" si="2"/>
        <v>468</v>
      </c>
      <c r="I12" s="45">
        <f t="shared" si="3"/>
        <v>0.4482051282051282</v>
      </c>
      <c r="J12" s="43">
        <f>B12*768</f>
        <v>3840</v>
      </c>
      <c r="K12" s="46">
        <f t="shared" si="4"/>
        <v>0.34666666666666668</v>
      </c>
      <c r="L12" s="47">
        <f>'VDI Profiles'!$F$4/Table15[[#This Row],[Total Cores]]</f>
        <v>2.2222222222222223</v>
      </c>
      <c r="M12" s="44" t="s">
        <v>130</v>
      </c>
      <c r="N12" s="5">
        <f>D12*'Processor Options'!$E$16</f>
        <v>26490</v>
      </c>
      <c r="O12" s="31">
        <f>(12*'Memory Options'!$F$5)*B12</f>
        <v>102540</v>
      </c>
      <c r="P12" s="48">
        <f>Table15[[#This Row],[Total Processor Costs (List)]]+Table15[[#This Row],[Total Memory Costs (List)]]</f>
        <v>129030</v>
      </c>
      <c r="Q12" s="49">
        <f t="shared" si="5"/>
        <v>0.79469890723087655</v>
      </c>
      <c r="R12" s="3" t="s">
        <v>138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2">
      <c r="A13" s="1"/>
      <c r="B13" s="1"/>
      <c r="C13" s="1"/>
      <c r="D13" s="1"/>
      <c r="E13" s="1"/>
      <c r="F13" s="1"/>
      <c r="G13" s="1"/>
      <c r="H13" s="1"/>
      <c r="I13" s="1"/>
      <c r="J13" s="1"/>
      <c r="K13" s="7"/>
      <c r="L13" s="7"/>
      <c r="M13" s="1"/>
      <c r="N13" s="1"/>
      <c r="O13" s="1"/>
      <c r="P13" s="1"/>
      <c r="Q13" s="1"/>
      <c r="R13" s="50" t="s">
        <v>135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2">
      <c r="A14" s="1"/>
      <c r="B14" s="1"/>
      <c r="C14" s="1"/>
      <c r="D14" s="1"/>
      <c r="E14" s="1"/>
      <c r="F14" s="1"/>
      <c r="G14" s="1"/>
      <c r="H14" s="1"/>
      <c r="I14" s="1"/>
      <c r="J14" s="1"/>
      <c r="K14" s="7"/>
      <c r="L14" s="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2">
      <c r="A15" s="1"/>
      <c r="B15" s="1"/>
      <c r="C15" s="1"/>
      <c r="D15" s="1"/>
      <c r="E15" s="1"/>
      <c r="F15" s="1"/>
      <c r="G15" s="1"/>
      <c r="H15" s="1"/>
      <c r="I15" s="1"/>
      <c r="J15" s="1"/>
      <c r="K15" s="7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</row>
    <row r="16" spans="1:52" s="40" customFormat="1" ht="31" customHeight="1">
      <c r="A16" s="39"/>
      <c r="B16" s="39"/>
      <c r="C16" s="39"/>
      <c r="D16" s="39"/>
      <c r="E16" s="39"/>
      <c r="F16" s="39" t="s">
        <v>116</v>
      </c>
      <c r="G16" s="39"/>
      <c r="H16" s="39" t="s">
        <v>117</v>
      </c>
      <c r="I16" s="39" t="s">
        <v>118</v>
      </c>
      <c r="J16" s="39" t="s">
        <v>123</v>
      </c>
      <c r="K16" s="39" t="s">
        <v>124</v>
      </c>
      <c r="L16" s="39"/>
      <c r="M16" s="39" t="s">
        <v>114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</row>
    <row r="17" spans="1:50">
      <c r="A17" s="1"/>
      <c r="B17" s="1"/>
      <c r="C17" s="1"/>
      <c r="D17" s="1"/>
      <c r="E17" s="1"/>
      <c r="F17" s="1">
        <v>220.8</v>
      </c>
      <c r="G17" s="1"/>
      <c r="H17" s="1">
        <v>209.76</v>
      </c>
      <c r="I17" s="1">
        <v>0.95</v>
      </c>
      <c r="J17" s="1">
        <v>2048</v>
      </c>
      <c r="K17" s="7">
        <v>1331.2</v>
      </c>
      <c r="L17" s="7"/>
      <c r="M17" s="1">
        <v>0.65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5:50"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5:50"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5:50"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5:50"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5:50"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5:50"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5:50"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5:50"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5:50"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5:50"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5:50"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5:50"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5:50"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5:50"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5:50"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5:50"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5:50"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5:50"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5:50"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5:50"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5:50"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5:50"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5:50"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5:50"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5:50"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5:50"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5:50"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5:50"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5:50"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5:50"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5:50"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5:50"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5:50"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5:50"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5:50"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5:50"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5:50"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5:50"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5:50"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5:50"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5:50"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5:50"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5:50"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</sheetData>
  <mergeCells count="1">
    <mergeCell ref="A1:M1"/>
  </mergeCells>
  <conditionalFormatting sqref="P7:P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45164-7517-46C5-A159-4A709D2F8954}">
  <sheetPr codeName="Sheet4">
    <tabColor rgb="FFFFFF00"/>
  </sheetPr>
  <dimension ref="A1:BF401"/>
  <sheetViews>
    <sheetView workbookViewId="0">
      <selection activeCell="D19" sqref="D19"/>
    </sheetView>
  </sheetViews>
  <sheetFormatPr defaultRowHeight="14.5"/>
  <cols>
    <col min="1" max="1" width="20.6328125" customWidth="1"/>
    <col min="2" max="2" width="12.54296875" bestFit="1" customWidth="1"/>
    <col min="3" max="3" width="15.54296875" customWidth="1"/>
    <col min="4" max="4" width="24.453125" customWidth="1"/>
    <col min="5" max="5" width="18.54296875" customWidth="1"/>
    <col min="6" max="6" width="20.1796875" customWidth="1"/>
    <col min="7" max="7" width="24.1796875" customWidth="1"/>
    <col min="8" max="8" width="21.453125" customWidth="1"/>
    <col min="9" max="9" width="25.1796875" customWidth="1"/>
    <col min="10" max="10" width="21" customWidth="1"/>
  </cols>
  <sheetData>
    <row r="1" spans="1:58" ht="30" customHeight="1">
      <c r="A1" s="4" t="s">
        <v>5</v>
      </c>
      <c r="B1" s="4" t="s">
        <v>10</v>
      </c>
      <c r="C1" s="4" t="s">
        <v>11</v>
      </c>
      <c r="D1" s="4" t="s">
        <v>12</v>
      </c>
      <c r="E1" s="4" t="s">
        <v>13</v>
      </c>
      <c r="F1" s="4" t="s">
        <v>387</v>
      </c>
      <c r="G1" s="4" t="s">
        <v>388</v>
      </c>
      <c r="H1" s="4" t="s">
        <v>104</v>
      </c>
      <c r="I1" s="4" t="s">
        <v>107</v>
      </c>
      <c r="J1" s="4" t="s">
        <v>113</v>
      </c>
      <c r="K1" s="1"/>
      <c r="L1" s="32" t="s">
        <v>112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</row>
    <row r="2" spans="1:58">
      <c r="A2" s="2" t="s">
        <v>6</v>
      </c>
      <c r="B2" s="2">
        <v>24</v>
      </c>
      <c r="C2" s="2">
        <v>3840</v>
      </c>
      <c r="D2" s="2">
        <v>250</v>
      </c>
      <c r="E2" s="2" t="s">
        <v>14</v>
      </c>
      <c r="F2" s="79">
        <v>3</v>
      </c>
      <c r="G2" s="82">
        <v>6200</v>
      </c>
      <c r="H2" s="31">
        <f>F2*G2</f>
        <v>18600</v>
      </c>
      <c r="I2" s="2" t="s">
        <v>108</v>
      </c>
      <c r="J2" s="31">
        <f>H2/((B2/1)*F2)</f>
        <v>258.33333333333331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>
      <c r="A3" s="2" t="s">
        <v>7</v>
      </c>
      <c r="B3" s="2">
        <v>16</v>
      </c>
      <c r="C3" s="2">
        <v>4096</v>
      </c>
      <c r="D3" s="2">
        <v>300</v>
      </c>
      <c r="E3" s="2" t="s">
        <v>15</v>
      </c>
      <c r="F3" s="79">
        <v>3</v>
      </c>
      <c r="G3" s="82">
        <v>7000</v>
      </c>
      <c r="H3" s="31">
        <f>F3*G3</f>
        <v>21000</v>
      </c>
      <c r="I3" s="2" t="s">
        <v>109</v>
      </c>
      <c r="J3" s="31">
        <f>H3/((B3/0.5)*F3)</f>
        <v>218.75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>
      <c r="A4" s="2" t="s">
        <v>8</v>
      </c>
      <c r="B4" s="2">
        <v>32</v>
      </c>
      <c r="C4" s="2">
        <v>2560</v>
      </c>
      <c r="D4" s="2">
        <v>225</v>
      </c>
      <c r="E4" s="2" t="s">
        <v>14</v>
      </c>
      <c r="F4" s="79">
        <v>3</v>
      </c>
      <c r="G4" s="82">
        <v>3000</v>
      </c>
      <c r="H4" s="31">
        <f>F4*G4</f>
        <v>9000</v>
      </c>
      <c r="I4" s="2" t="s">
        <v>106</v>
      </c>
      <c r="J4" s="31">
        <f>H4/((B4/0.5)*F4)</f>
        <v>46.875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>
      <c r="A5" s="2" t="s">
        <v>9</v>
      </c>
      <c r="B5" s="2">
        <v>16</v>
      </c>
      <c r="C5" s="2">
        <v>2560</v>
      </c>
      <c r="D5" s="2">
        <v>70</v>
      </c>
      <c r="E5" s="2" t="s">
        <v>14</v>
      </c>
      <c r="F5" s="79">
        <v>16</v>
      </c>
      <c r="G5" s="82">
        <v>2300</v>
      </c>
      <c r="H5" s="31">
        <f>F5*G5</f>
        <v>36800</v>
      </c>
      <c r="I5" s="2" t="s">
        <v>111</v>
      </c>
      <c r="J5" s="31">
        <f>H5/((B5/1)*F5)</f>
        <v>143.75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>
      <c r="A6" s="2" t="s">
        <v>105</v>
      </c>
      <c r="B6" s="2">
        <v>48</v>
      </c>
      <c r="C6" s="2">
        <v>4608</v>
      </c>
      <c r="D6" s="2">
        <v>250</v>
      </c>
      <c r="E6" s="2" t="s">
        <v>14</v>
      </c>
      <c r="F6" s="79">
        <v>3</v>
      </c>
      <c r="G6" s="82">
        <v>5500</v>
      </c>
      <c r="H6" s="31">
        <f>F6*G6</f>
        <v>16500</v>
      </c>
      <c r="I6" s="2" t="s">
        <v>110</v>
      </c>
      <c r="J6" s="31">
        <f>H6/((B6/1)*F6)</f>
        <v>114.58333333333333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>
      <c r="A7" s="1"/>
      <c r="B7" s="1"/>
      <c r="C7" s="1"/>
      <c r="D7" s="1"/>
      <c r="E7" s="1"/>
      <c r="F7" s="63" t="s">
        <v>450</v>
      </c>
      <c r="G7" s="63" t="s">
        <v>389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ht="45" customHeight="1">
      <c r="A10" s="4" t="s">
        <v>380</v>
      </c>
      <c r="B10" s="4" t="s">
        <v>4</v>
      </c>
      <c r="C10" s="4" t="s">
        <v>95</v>
      </c>
      <c r="D10" s="4" t="s">
        <v>393</v>
      </c>
      <c r="E10" s="4" t="s">
        <v>394</v>
      </c>
      <c r="F10" s="4" t="s">
        <v>480</v>
      </c>
      <c r="G10" s="4" t="s">
        <v>104</v>
      </c>
      <c r="H10" s="4" t="s">
        <v>390</v>
      </c>
      <c r="I10" s="4" t="s">
        <v>119</v>
      </c>
      <c r="J10" s="7"/>
      <c r="K10" s="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>
      <c r="A11" s="2" t="str">
        <f>'Server Options (Greenfield)'!A10</f>
        <v>Option 3b:  12 DIMMs</v>
      </c>
      <c r="B11" s="2">
        <f>VLOOKUP(A11,'Server Options (Greenfield)'!$A$1:'Server Options (Greenfield)'!$C$300,2,FALSE)</f>
        <v>4</v>
      </c>
      <c r="C11" s="79" t="s">
        <v>8</v>
      </c>
      <c r="D11" s="79">
        <v>3</v>
      </c>
      <c r="E11" s="2">
        <f>IFERROR(VLOOKUP(C11,$A$2:$B$6,2)*(B11*D11),"")</f>
        <v>384</v>
      </c>
      <c r="F11" s="2">
        <f>'VDI Profiles'!$H$14</f>
        <v>550</v>
      </c>
      <c r="G11" s="31">
        <f>IFERROR((B11*D11)*VLOOKUP(C11,$A$1:$G$6,7,FALSE),"")</f>
        <v>36000</v>
      </c>
      <c r="H11" s="82"/>
      <c r="I11" s="31">
        <f>IFERROR(G11+H11,"")</f>
        <v>36000</v>
      </c>
      <c r="J11" s="3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>
      <c r="A12" s="2" t="str">
        <f>'Server Options (Greenfield)'!$A$13</f>
        <v>Option 2b:  12 DIMMs</v>
      </c>
      <c r="B12" s="2">
        <f>VLOOKUP(A12,'Server Options (Greenfield)'!$A$1:'Server Options (Greenfield)'!$C$300,2,FALSE)</f>
        <v>4</v>
      </c>
      <c r="C12" s="79" t="s">
        <v>8</v>
      </c>
      <c r="D12" s="79">
        <v>3</v>
      </c>
      <c r="E12" s="2">
        <f>IFERROR(VLOOKUP(C12,$A$2:$B$6,2)*(B12*D12),"")</f>
        <v>384</v>
      </c>
      <c r="F12" s="2">
        <f>'VDI Profiles'!$H$14</f>
        <v>550</v>
      </c>
      <c r="G12" s="31">
        <f>IFERROR((B12*D12)*VLOOKUP(C12,$A$1:$G$6,7,FALSE),"")</f>
        <v>36000</v>
      </c>
      <c r="H12" s="82"/>
      <c r="I12" s="31">
        <f>IFERROR(G12+H12,"")</f>
        <v>36000</v>
      </c>
      <c r="J12" s="59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ht="12.5" customHeight="1">
      <c r="A13" s="4" t="str">
        <f>'Server Options (Greenfield)'!A16</f>
        <v>Option 1b:  12 DIMMs</v>
      </c>
      <c r="B13" s="2">
        <f>VLOOKUP(A13,'Server Options (Greenfield)'!$A$1:'Server Options (Greenfield)'!$C$300,2,FALSE)</f>
        <v>4</v>
      </c>
      <c r="C13" s="79" t="s">
        <v>8</v>
      </c>
      <c r="D13" s="79">
        <v>3</v>
      </c>
      <c r="E13" s="2">
        <f>IFERROR(VLOOKUP(C13,$A$2:$B$6,2)*(B13*D13),"")</f>
        <v>384</v>
      </c>
      <c r="F13" s="2">
        <f>'VDI Profiles'!$H$14</f>
        <v>550</v>
      </c>
      <c r="G13" s="31">
        <f>IFERROR((B13*D13)*VLOOKUP(C13,$A$1:$G$6,7,FALSE),"")</f>
        <v>36000</v>
      </c>
      <c r="H13" s="82"/>
      <c r="I13" s="31">
        <f>IFERROR(G13+H13,"")</f>
        <v>36000</v>
      </c>
      <c r="J13" s="59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>
      <c r="A14" s="1"/>
      <c r="B14" s="8"/>
      <c r="C14" s="1"/>
      <c r="D14" s="1"/>
      <c r="E14" s="34"/>
      <c r="F14" s="34"/>
      <c r="G14" s="3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>
      <c r="A15" s="1"/>
      <c r="B15" s="1"/>
      <c r="C15" s="1"/>
      <c r="E15" s="34"/>
      <c r="F15" s="34"/>
      <c r="G15" s="3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>
      <c r="A16" s="1"/>
      <c r="B16" s="1"/>
      <c r="C16" s="1"/>
      <c r="D16" s="1"/>
      <c r="E16" s="34"/>
      <c r="F16" s="34"/>
      <c r="G16" s="3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>
      <c r="A17" s="1"/>
      <c r="B17" s="1"/>
      <c r="C17" s="1"/>
      <c r="D17" s="1"/>
      <c r="E17" s="34"/>
      <c r="F17" s="1"/>
      <c r="G17" s="3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1:58">
      <c r="A23" s="1"/>
      <c r="B23" s="1"/>
      <c r="C23" s="1"/>
      <c r="D23" s="1"/>
      <c r="E23" s="1"/>
      <c r="F23" s="34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1:5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</row>
    <row r="28" spans="1:5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</row>
    <row r="29" spans="1:58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</row>
    <row r="31" spans="1:58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</row>
    <row r="40" spans="1:58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</row>
    <row r="41" spans="1:58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</row>
    <row r="42" spans="1:58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</row>
    <row r="43" spans="1:58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</row>
    <row r="44" spans="1:5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</row>
    <row r="45" spans="1:5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</row>
    <row r="46" spans="1:5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</row>
    <row r="47" spans="1:5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</row>
    <row r="48" spans="1:5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</row>
    <row r="49" spans="1:58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  <row r="50" spans="1:58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</row>
    <row r="51" spans="1:58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</row>
    <row r="52" spans="1:58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</row>
    <row r="53" spans="1:58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</row>
    <row r="54" spans="1:58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</row>
    <row r="55" spans="1:58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</row>
    <row r="56" spans="1:58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</row>
    <row r="57" spans="1:58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</row>
    <row r="58" spans="1:58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</row>
    <row r="59" spans="1:58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</row>
    <row r="60" spans="1:58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</row>
    <row r="61" spans="1:58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</row>
    <row r="62" spans="1:58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</row>
    <row r="63" spans="1:58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</row>
    <row r="64" spans="1:58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</row>
    <row r="65" spans="1:58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</row>
    <row r="66" spans="1:58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</row>
    <row r="67" spans="1:58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</row>
    <row r="68" spans="1:58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</row>
    <row r="69" spans="1:58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</row>
    <row r="70" spans="1:58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</row>
    <row r="71" spans="1:58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</row>
    <row r="72" spans="1:58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</row>
    <row r="73" spans="1:58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</row>
    <row r="74" spans="1:58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</row>
    <row r="75" spans="1:58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</row>
    <row r="76" spans="1:58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</row>
    <row r="77" spans="1:58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</row>
    <row r="78" spans="1:58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</row>
    <row r="79" spans="1:58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</row>
    <row r="80" spans="1:58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</row>
    <row r="81" spans="1:58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</row>
    <row r="82" spans="1:58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</row>
    <row r="83" spans="1:58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</row>
    <row r="84" spans="1:58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</row>
    <row r="85" spans="1:58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</row>
    <row r="86" spans="1:58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</row>
    <row r="87" spans="1:58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</row>
    <row r="88" spans="1:58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</row>
    <row r="89" spans="1:58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</row>
    <row r="90" spans="1:58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</row>
    <row r="91" spans="1:58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</row>
    <row r="92" spans="1:58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</row>
    <row r="93" spans="1:58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</row>
    <row r="94" spans="1:58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</row>
    <row r="95" spans="1:58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</row>
    <row r="96" spans="1:58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</row>
    <row r="97" spans="1:58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</row>
    <row r="98" spans="1:58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</row>
    <row r="99" spans="1:58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</row>
    <row r="100" spans="1:58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</row>
    <row r="101" spans="1:58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</row>
    <row r="102" spans="1:58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</row>
    <row r="103" spans="1:58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</row>
    <row r="104" spans="1:58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</row>
    <row r="105" spans="1:58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</row>
    <row r="106" spans="1:58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</row>
    <row r="107" spans="1:58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</row>
    <row r="108" spans="1:58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</row>
    <row r="109" spans="1:58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</row>
    <row r="110" spans="1:58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</row>
    <row r="111" spans="1:58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</row>
    <row r="112" spans="1:58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</row>
    <row r="113" spans="1:58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</row>
    <row r="114" spans="1:58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</row>
    <row r="115" spans="1:58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</row>
    <row r="116" spans="1:58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</row>
    <row r="117" spans="1:58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</row>
    <row r="118" spans="1:58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</row>
    <row r="119" spans="1:58"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</row>
    <row r="120" spans="1:58"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</row>
    <row r="121" spans="1:58"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</row>
    <row r="122" spans="1:58"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</row>
    <row r="123" spans="1:58"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</row>
    <row r="124" spans="1:58"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</row>
    <row r="125" spans="1:58"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</row>
    <row r="126" spans="1:58"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</row>
    <row r="127" spans="1:58"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</row>
    <row r="128" spans="1:58"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</row>
    <row r="129" spans="22:58"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</row>
    <row r="130" spans="22:58"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</row>
    <row r="131" spans="22:58"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</row>
    <row r="132" spans="22:58"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</row>
    <row r="133" spans="22:58"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</row>
    <row r="134" spans="22:58"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</row>
    <row r="135" spans="22:58"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</row>
    <row r="136" spans="22:58"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</row>
    <row r="137" spans="22:58"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</row>
    <row r="138" spans="22:58"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</row>
    <row r="139" spans="22:58"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</row>
    <row r="140" spans="22:58"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</row>
    <row r="141" spans="22:58"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</row>
    <row r="142" spans="22:58"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</row>
    <row r="143" spans="22:58"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</row>
    <row r="144" spans="22:58"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</row>
    <row r="145" spans="22:58"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</row>
    <row r="146" spans="22:58"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</row>
    <row r="147" spans="22:58"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</row>
    <row r="148" spans="22:58"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</row>
    <row r="149" spans="22:58"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</row>
    <row r="150" spans="22:58"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</row>
    <row r="151" spans="22:58"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</row>
    <row r="152" spans="22:58"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</row>
    <row r="153" spans="22:58"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</row>
    <row r="154" spans="22:58"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</row>
    <row r="155" spans="22:58"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</row>
    <row r="156" spans="22:58"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</row>
    <row r="157" spans="22:58"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</row>
    <row r="158" spans="22:58"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</row>
    <row r="159" spans="22:58"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</row>
    <row r="160" spans="22:58"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</row>
    <row r="161" spans="22:58"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</row>
    <row r="162" spans="22:58"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</row>
    <row r="163" spans="22:58"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</row>
    <row r="164" spans="22:58"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</row>
    <row r="165" spans="22:58"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</row>
    <row r="166" spans="22:58"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</row>
    <row r="167" spans="22:58"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</row>
    <row r="168" spans="22:58"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</row>
    <row r="169" spans="22:58"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</row>
    <row r="170" spans="22:58"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</row>
    <row r="171" spans="22:58"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</row>
    <row r="172" spans="22:58"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</row>
    <row r="173" spans="22:58"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</row>
    <row r="174" spans="22:58"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</row>
    <row r="175" spans="22:58"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</row>
    <row r="176" spans="22:58"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</row>
    <row r="177" spans="22:58"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</row>
    <row r="178" spans="22:58"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</row>
    <row r="179" spans="22:58"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</row>
    <row r="180" spans="22:58"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</row>
    <row r="181" spans="22:58"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</row>
    <row r="182" spans="22:58"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</row>
    <row r="183" spans="22:58"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</row>
    <row r="184" spans="22:58"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</row>
    <row r="185" spans="22:58"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</row>
    <row r="186" spans="22:58"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</row>
    <row r="187" spans="22:58"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</row>
    <row r="188" spans="22:58"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</row>
    <row r="189" spans="22:58"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</row>
    <row r="190" spans="22:58"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</row>
    <row r="191" spans="22:58"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</row>
    <row r="192" spans="22:58"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</row>
    <row r="193" spans="22:58"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</row>
    <row r="194" spans="22:58"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</row>
    <row r="195" spans="22:58"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</row>
    <row r="196" spans="22:58"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</row>
    <row r="197" spans="22:58"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</row>
    <row r="198" spans="22:58"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</row>
    <row r="199" spans="22:58"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</row>
    <row r="200" spans="22:58"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</row>
    <row r="201" spans="22:58"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</row>
    <row r="202" spans="22:58"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</row>
    <row r="203" spans="22:58"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</row>
    <row r="204" spans="22:58"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</row>
    <row r="205" spans="22:58"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</row>
    <row r="206" spans="22:58"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</row>
    <row r="207" spans="22:58"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</row>
    <row r="208" spans="22:58"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</row>
    <row r="209" spans="22:58"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</row>
    <row r="210" spans="22:58"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</row>
    <row r="211" spans="22:58"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</row>
    <row r="212" spans="22:58"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</row>
    <row r="213" spans="22:58"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</row>
    <row r="214" spans="22:58"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</row>
    <row r="215" spans="22:58"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</row>
    <row r="216" spans="22:58"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</row>
    <row r="217" spans="22:58"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</row>
    <row r="218" spans="22:58"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</row>
    <row r="219" spans="22:58"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</row>
    <row r="220" spans="22:58"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</row>
    <row r="221" spans="22:58"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</row>
    <row r="222" spans="22:58"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</row>
    <row r="223" spans="22:58"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</row>
    <row r="224" spans="22:58"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</row>
    <row r="225" spans="22:58"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</row>
    <row r="226" spans="22:58"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</row>
    <row r="227" spans="22:58"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</row>
    <row r="228" spans="22:58"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</row>
    <row r="229" spans="22:58"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</row>
    <row r="230" spans="22:58"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</row>
    <row r="231" spans="22:58"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</row>
    <row r="232" spans="22:58"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</row>
    <row r="233" spans="22:58"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</row>
    <row r="234" spans="22:58"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</row>
    <row r="235" spans="22:58"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</row>
    <row r="236" spans="22:58"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</row>
    <row r="237" spans="22:58"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</row>
    <row r="238" spans="22:58"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</row>
    <row r="239" spans="22:58"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</row>
    <row r="240" spans="22:58"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</row>
    <row r="241" spans="22:58"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</row>
    <row r="242" spans="22:58"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</row>
    <row r="243" spans="22:58"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</row>
    <row r="244" spans="22:58"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</row>
    <row r="245" spans="22:58"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</row>
    <row r="246" spans="22:58"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</row>
    <row r="247" spans="22:58"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</row>
    <row r="248" spans="22:58"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</row>
    <row r="249" spans="22:58"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</row>
    <row r="250" spans="22:58"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</row>
    <row r="251" spans="22:58"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</row>
    <row r="252" spans="22:58"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</row>
    <row r="253" spans="22:58"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</row>
    <row r="254" spans="22:58"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</row>
    <row r="255" spans="22:58"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</row>
    <row r="256" spans="22:58"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</row>
    <row r="257" spans="22:58"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</row>
    <row r="258" spans="22:58"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</row>
    <row r="259" spans="22:58"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</row>
    <row r="260" spans="22:58"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</row>
    <row r="261" spans="22:58"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</row>
    <row r="262" spans="22:58"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</row>
    <row r="263" spans="22:58"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</row>
    <row r="264" spans="22:58"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</row>
    <row r="265" spans="22:58"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</row>
    <row r="266" spans="22:58"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</row>
    <row r="267" spans="22:58"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</row>
    <row r="268" spans="22:58"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</row>
    <row r="269" spans="22:58"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</row>
    <row r="270" spans="22:58"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</row>
    <row r="271" spans="22:58"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</row>
    <row r="272" spans="22:58"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</row>
    <row r="273" spans="22:58"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</row>
    <row r="274" spans="22:58"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</row>
    <row r="275" spans="22:58"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</row>
    <row r="276" spans="22:58"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</row>
    <row r="277" spans="22:58"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</row>
    <row r="278" spans="22:58"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</row>
    <row r="279" spans="22:58"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</row>
    <row r="280" spans="22:58"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</row>
    <row r="281" spans="22:58"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</row>
    <row r="282" spans="22:58"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</row>
    <row r="283" spans="22:58"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</row>
    <row r="284" spans="22:58"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</row>
    <row r="285" spans="22:58"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</row>
    <row r="286" spans="22:58"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</row>
    <row r="287" spans="22:58"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</row>
    <row r="288" spans="22:58"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</row>
    <row r="289" spans="22:58"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</row>
    <row r="290" spans="22:58"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</row>
    <row r="291" spans="22:58"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</row>
    <row r="292" spans="22:58"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</row>
    <row r="293" spans="22:58"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</row>
    <row r="294" spans="22:58"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</row>
    <row r="295" spans="22:58"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</row>
    <row r="296" spans="22:58"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</row>
    <row r="297" spans="22:58"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</row>
    <row r="298" spans="22:58"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</row>
    <row r="299" spans="22:58"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</row>
    <row r="300" spans="22:58"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</row>
    <row r="301" spans="22:58"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</row>
    <row r="302" spans="22:58"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</row>
    <row r="303" spans="22:58"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</row>
    <row r="304" spans="22:58"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</row>
    <row r="305" spans="22:58"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</row>
    <row r="306" spans="22:58"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</row>
    <row r="307" spans="22:58"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</row>
    <row r="308" spans="22:58"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</row>
    <row r="309" spans="22:58"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</row>
    <row r="310" spans="22:58"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</row>
    <row r="311" spans="22:58"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</row>
    <row r="312" spans="22:58"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</row>
    <row r="313" spans="22:58"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</row>
    <row r="314" spans="22:58"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</row>
    <row r="315" spans="22:58"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</row>
    <row r="316" spans="22:58"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</row>
    <row r="317" spans="22:58"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</row>
    <row r="318" spans="22:58"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</row>
    <row r="319" spans="22:58"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</row>
    <row r="320" spans="22:58"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</row>
    <row r="321" spans="22:58"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</row>
    <row r="322" spans="22:58"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</row>
    <row r="323" spans="22:58"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</row>
    <row r="324" spans="22:58"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</row>
    <row r="325" spans="22:58"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</row>
    <row r="326" spans="22:58"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</row>
    <row r="327" spans="22:58"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</row>
    <row r="328" spans="22:58"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</row>
    <row r="329" spans="22:58"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</row>
    <row r="330" spans="22:58"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</row>
    <row r="331" spans="22:58"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</row>
    <row r="332" spans="22:58"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</row>
    <row r="333" spans="22:58"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</row>
    <row r="334" spans="22:58"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</row>
    <row r="335" spans="22:58"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</row>
    <row r="336" spans="22:58"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</row>
    <row r="337" spans="22:58"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</row>
    <row r="338" spans="22:58"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</row>
    <row r="339" spans="22:58"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</row>
    <row r="340" spans="22:58"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</row>
    <row r="341" spans="22:58"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</row>
    <row r="342" spans="22:58"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</row>
    <row r="343" spans="22:58"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</row>
    <row r="344" spans="22:58"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</row>
    <row r="345" spans="22:58"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</row>
    <row r="346" spans="22:58"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</row>
    <row r="347" spans="22:58"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</row>
    <row r="348" spans="22:58"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</row>
    <row r="349" spans="22:58"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</row>
    <row r="350" spans="22:58"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</row>
    <row r="351" spans="22:58"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</row>
    <row r="352" spans="22:58"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</row>
    <row r="353" spans="22:58"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</row>
    <row r="354" spans="22:58"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</row>
    <row r="355" spans="22:58"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</row>
    <row r="356" spans="22:58"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</row>
    <row r="357" spans="22:58"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</row>
    <row r="358" spans="22:58"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</row>
    <row r="359" spans="22:58"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</row>
    <row r="360" spans="22:58"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</row>
    <row r="361" spans="22:58"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</row>
    <row r="362" spans="22:58"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</row>
    <row r="363" spans="22:58"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</row>
    <row r="364" spans="22:58"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</row>
    <row r="365" spans="22:58"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</row>
    <row r="366" spans="22:58"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</row>
    <row r="367" spans="22:58"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</row>
    <row r="368" spans="22:58"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</row>
    <row r="369" spans="22:58"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</row>
    <row r="370" spans="22:58"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</row>
    <row r="371" spans="22:58"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</row>
    <row r="372" spans="22:58"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</row>
    <row r="373" spans="22:58"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</row>
    <row r="374" spans="22:58"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</row>
    <row r="375" spans="22:58"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</row>
    <row r="376" spans="22:58"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</row>
    <row r="377" spans="22:58"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</row>
    <row r="378" spans="22:58"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</row>
    <row r="379" spans="22:58"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</row>
    <row r="380" spans="22:58"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</row>
    <row r="381" spans="22:58"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</row>
    <row r="382" spans="22:58"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</row>
    <row r="383" spans="22:58"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</row>
    <row r="384" spans="22:58"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</row>
    <row r="385" spans="22:58"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</row>
    <row r="386" spans="22:58"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</row>
    <row r="387" spans="22:58"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</row>
    <row r="388" spans="22:58"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</row>
    <row r="389" spans="22:58"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</row>
    <row r="390" spans="22:58"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</row>
    <row r="391" spans="22:58"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</row>
    <row r="392" spans="22:58"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</row>
    <row r="393" spans="22:58"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</row>
    <row r="394" spans="22:58"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</row>
    <row r="395" spans="22:58"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</row>
    <row r="396" spans="22:58"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</row>
    <row r="397" spans="22:58"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</row>
    <row r="398" spans="22:58"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</row>
    <row r="399" spans="22:58"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</row>
    <row r="400" spans="22:58"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</row>
    <row r="401" spans="22:58"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</row>
  </sheetData>
  <conditionalFormatting sqref="J2:J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11:C13" xr:uid="{1965C288-A57D-4759-83B4-5909D3C61745}">
      <formula1>$A$2:$A$6</formula1>
    </dataValidation>
  </dataValidations>
  <hyperlinks>
    <hyperlink ref="L1" r:id="rId1" xr:uid="{7E8C70AE-5A4D-48CB-A3DB-1EB3CC1E3BD5}"/>
  </hyperlinks>
  <pageMargins left="0.7" right="0.7" top="0.75" bottom="0.75" header="0.3" footer="0.3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2684-D9B3-467A-91F3-AFAE584248F1}">
  <sheetPr codeName="Sheet5"/>
  <dimension ref="A1:AZ260"/>
  <sheetViews>
    <sheetView zoomScale="90" zoomScaleNormal="90" workbookViewId="0">
      <selection activeCell="J8" sqref="J8"/>
    </sheetView>
  </sheetViews>
  <sheetFormatPr defaultColWidth="8.90625" defaultRowHeight="14.5"/>
  <cols>
    <col min="1" max="1" width="21" style="11" customWidth="1"/>
    <col min="2" max="2" width="17.453125" style="11" customWidth="1"/>
    <col min="3" max="3" width="9.453125" style="11" bestFit="1" customWidth="1"/>
    <col min="4" max="4" width="14.08984375" style="11" customWidth="1"/>
    <col min="5" max="5" width="12.08984375" style="11" bestFit="1" customWidth="1"/>
    <col min="6" max="6" width="15.453125" style="11" bestFit="1" customWidth="1"/>
    <col min="7" max="7" width="17.6328125" style="11" customWidth="1"/>
    <col min="8" max="8" width="26.6328125" style="11" customWidth="1"/>
    <col min="9" max="9" width="13.90625" style="11" bestFit="1" customWidth="1"/>
    <col min="10" max="10" width="17.54296875" style="11" customWidth="1"/>
    <col min="11" max="11" width="12" style="11" bestFit="1" customWidth="1"/>
    <col min="12" max="12" width="11.54296875" style="11" customWidth="1"/>
    <col min="13" max="13" width="9.453125" style="11" bestFit="1" customWidth="1"/>
    <col min="14" max="14" width="11" style="11" bestFit="1" customWidth="1"/>
    <col min="15" max="16384" width="8.90625" style="11"/>
  </cols>
  <sheetData>
    <row r="1" spans="1:52" ht="29">
      <c r="A1" s="9" t="s">
        <v>40</v>
      </c>
      <c r="B1" s="9" t="s">
        <v>41</v>
      </c>
      <c r="C1" s="9" t="s">
        <v>42</v>
      </c>
      <c r="D1" s="9" t="s">
        <v>43</v>
      </c>
      <c r="E1" s="9" t="s">
        <v>44</v>
      </c>
      <c r="F1" s="9" t="s">
        <v>45</v>
      </c>
      <c r="G1" s="17" t="s">
        <v>48</v>
      </c>
      <c r="H1" s="17" t="s">
        <v>49</v>
      </c>
      <c r="I1" s="16" t="s">
        <v>50</v>
      </c>
      <c r="J1" s="17" t="s">
        <v>103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>
      <c r="A2" s="9" t="s">
        <v>150</v>
      </c>
      <c r="B2" s="14" t="s">
        <v>47</v>
      </c>
      <c r="C2" s="9">
        <v>28</v>
      </c>
      <c r="D2" s="9">
        <v>2.7</v>
      </c>
      <c r="E2" s="22">
        <v>20250</v>
      </c>
      <c r="F2" s="12">
        <f>Table12[[#This Row],[List Price]]/Table12[[#This Row],[Cores]]</f>
        <v>723.21428571428567</v>
      </c>
      <c r="G2" s="13">
        <f t="shared" ref="G2:G27" si="0">C2*D2</f>
        <v>75.600000000000009</v>
      </c>
      <c r="H2" s="9">
        <f t="shared" ref="H2:H27" si="1">G2*2</f>
        <v>151.20000000000002</v>
      </c>
      <c r="I2" s="12">
        <f>E2/G2</f>
        <v>267.85714285714283</v>
      </c>
      <c r="J2" s="21">
        <f>1-(I2/$I$8)</f>
        <v>0.30114358322744594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</row>
    <row r="3" spans="1:52">
      <c r="A3" s="9" t="s">
        <v>152</v>
      </c>
      <c r="B3" s="14" t="s">
        <v>46</v>
      </c>
      <c r="C3" s="9">
        <v>28</v>
      </c>
      <c r="D3" s="9">
        <v>2.7</v>
      </c>
      <c r="E3" s="22">
        <v>26400</v>
      </c>
      <c r="F3" s="12">
        <f>Table12[[#This Row],[List Price]]/Table12[[#This Row],[Cores]]</f>
        <v>942.85714285714289</v>
      </c>
      <c r="G3" s="13">
        <f t="shared" si="0"/>
        <v>75.600000000000009</v>
      </c>
      <c r="H3" s="9">
        <f t="shared" si="1"/>
        <v>151.20000000000002</v>
      </c>
      <c r="I3" s="12">
        <f t="shared" ref="I3:I27" si="2">E3/G3</f>
        <v>349.20634920634916</v>
      </c>
      <c r="J3" s="21">
        <f>1-(I3/$I$8)</f>
        <v>8.8898301096522192E-2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</row>
    <row r="4" spans="1:52">
      <c r="A4" s="9" t="s">
        <v>153</v>
      </c>
      <c r="B4" s="14">
        <v>8280</v>
      </c>
      <c r="C4" s="9">
        <v>28</v>
      </c>
      <c r="D4" s="9">
        <v>2.7</v>
      </c>
      <c r="E4" s="22">
        <v>15800</v>
      </c>
      <c r="F4" s="18">
        <f>Table12[[#This Row],[List Price]]/Table12[[#This Row],[Cores]]</f>
        <v>564.28571428571433</v>
      </c>
      <c r="G4" s="13">
        <f t="shared" si="0"/>
        <v>75.600000000000009</v>
      </c>
      <c r="H4" s="9">
        <f t="shared" si="1"/>
        <v>151.20000000000002</v>
      </c>
      <c r="I4" s="12">
        <f t="shared" si="2"/>
        <v>208.99470899470896</v>
      </c>
      <c r="J4" s="21">
        <f>1-(I4/$I$8)</f>
        <v>0.45471943777746404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</row>
    <row r="5" spans="1:52">
      <c r="A5" s="9" t="s">
        <v>154</v>
      </c>
      <c r="B5" s="14">
        <v>8270</v>
      </c>
      <c r="C5" s="9">
        <v>26</v>
      </c>
      <c r="D5" s="9">
        <v>2.7</v>
      </c>
      <c r="E5" s="23">
        <v>10820</v>
      </c>
      <c r="F5" s="20">
        <f>Table12[[#This Row],[List Price]]/Table12[[#This Row],[Cores]]</f>
        <v>416.15384615384613</v>
      </c>
      <c r="G5" s="13">
        <f t="shared" si="0"/>
        <v>70.2</v>
      </c>
      <c r="H5" s="9">
        <f t="shared" si="1"/>
        <v>140.4</v>
      </c>
      <c r="I5" s="12">
        <f t="shared" si="2"/>
        <v>154.13105413105413</v>
      </c>
      <c r="J5" s="21">
        <f>1-(I5/$I$8)</f>
        <v>0.59786222217395446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>
      <c r="A6" s="9" t="s">
        <v>151</v>
      </c>
      <c r="B6" s="14">
        <v>8268</v>
      </c>
      <c r="C6" s="9">
        <v>24</v>
      </c>
      <c r="D6" s="9">
        <v>2.9</v>
      </c>
      <c r="E6" s="22">
        <v>8480</v>
      </c>
      <c r="F6" s="12">
        <f>Table12[[#This Row],[List Price]]/Table12[[#This Row],[Cores]]</f>
        <v>353.33333333333331</v>
      </c>
      <c r="G6" s="13">
        <f t="shared" si="0"/>
        <v>69.599999999999994</v>
      </c>
      <c r="H6" s="9">
        <f t="shared" si="1"/>
        <v>139.19999999999999</v>
      </c>
      <c r="I6" s="12">
        <f t="shared" si="2"/>
        <v>121.83908045977013</v>
      </c>
      <c r="J6" s="21">
        <f t="shared" ref="J6:J27" si="3">1-(I6/$I$8)</f>
        <v>0.6821140467462159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</row>
    <row r="7" spans="1:52">
      <c r="A7" s="9" t="s">
        <v>155</v>
      </c>
      <c r="B7" s="19" t="s">
        <v>53</v>
      </c>
      <c r="C7" s="9">
        <v>28</v>
      </c>
      <c r="D7" s="9">
        <v>2.2000000000000002</v>
      </c>
      <c r="E7" s="23">
        <v>18000</v>
      </c>
      <c r="F7" s="20">
        <f>Table12[[#This Row],[List Price]]/Table12[[#This Row],[Cores]]</f>
        <v>642.85714285714289</v>
      </c>
      <c r="G7" s="13">
        <f t="shared" si="0"/>
        <v>61.600000000000009</v>
      </c>
      <c r="H7" s="9">
        <f t="shared" si="1"/>
        <v>123.20000000000002</v>
      </c>
      <c r="I7" s="12">
        <f t="shared" si="2"/>
        <v>292.20779220779218</v>
      </c>
      <c r="J7" s="21">
        <f t="shared" si="3"/>
        <v>0.23761118170266837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</row>
    <row r="8" spans="1:52">
      <c r="A8" s="9" t="s">
        <v>156</v>
      </c>
      <c r="B8" s="19" t="s">
        <v>54</v>
      </c>
      <c r="C8" s="9">
        <v>28</v>
      </c>
      <c r="D8" s="9">
        <v>2.2000000000000002</v>
      </c>
      <c r="E8" s="23">
        <v>23610</v>
      </c>
      <c r="F8" s="20">
        <f>Table12[[#This Row],[List Price]]/Table12[[#This Row],[Cores]]</f>
        <v>843.21428571428567</v>
      </c>
      <c r="G8" s="13">
        <f t="shared" si="0"/>
        <v>61.600000000000009</v>
      </c>
      <c r="H8" s="9">
        <f t="shared" si="1"/>
        <v>123.20000000000002</v>
      </c>
      <c r="I8" s="12">
        <f t="shared" si="2"/>
        <v>383.27922077922074</v>
      </c>
      <c r="J8" s="21">
        <f t="shared" si="3"/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>
      <c r="A9" s="9" t="s">
        <v>157</v>
      </c>
      <c r="B9" s="14">
        <v>8276</v>
      </c>
      <c r="C9" s="9">
        <v>28</v>
      </c>
      <c r="D9" s="9">
        <v>2.2000000000000002</v>
      </c>
      <c r="E9" s="23">
        <v>12938</v>
      </c>
      <c r="F9" s="20">
        <f>Table12[[#This Row],[List Price]]/Table12[[#This Row],[Cores]]</f>
        <v>462.07142857142856</v>
      </c>
      <c r="G9" s="13">
        <f t="shared" si="0"/>
        <v>61.600000000000009</v>
      </c>
      <c r="H9" s="9">
        <f t="shared" si="1"/>
        <v>123.20000000000002</v>
      </c>
      <c r="I9" s="12">
        <f t="shared" si="2"/>
        <v>210.03246753246751</v>
      </c>
      <c r="J9" s="21">
        <f t="shared" si="3"/>
        <v>0.45201185938161792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>
      <c r="A10" s="9" t="s">
        <v>158</v>
      </c>
      <c r="B10" s="19" t="s">
        <v>52</v>
      </c>
      <c r="C10" s="9">
        <v>24</v>
      </c>
      <c r="D10" s="9">
        <v>2.4</v>
      </c>
      <c r="E10" s="22">
        <v>10320</v>
      </c>
      <c r="F10" s="20">
        <f>Table12[[#This Row],[List Price]]/Table12[[#This Row],[Cores]]</f>
        <v>430</v>
      </c>
      <c r="G10" s="13">
        <f t="shared" si="0"/>
        <v>57.599999999999994</v>
      </c>
      <c r="H10" s="9">
        <f t="shared" si="1"/>
        <v>115.19999999999999</v>
      </c>
      <c r="I10" s="12">
        <f t="shared" si="2"/>
        <v>179.16666666666669</v>
      </c>
      <c r="J10" s="21">
        <f t="shared" si="3"/>
        <v>0.53254270789213598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>
      <c r="A11" s="9" t="s">
        <v>159</v>
      </c>
      <c r="B11" s="19" t="s">
        <v>51</v>
      </c>
      <c r="C11" s="9">
        <v>24</v>
      </c>
      <c r="D11" s="9">
        <v>2.4</v>
      </c>
      <c r="E11" s="23">
        <v>16640</v>
      </c>
      <c r="F11" s="20">
        <f>Table12[[#This Row],[List Price]]/Table12[[#This Row],[Cores]]</f>
        <v>693.33333333333337</v>
      </c>
      <c r="G11" s="13">
        <f t="shared" si="0"/>
        <v>57.599999999999994</v>
      </c>
      <c r="H11" s="9">
        <f t="shared" si="1"/>
        <v>115.19999999999999</v>
      </c>
      <c r="I11" s="12">
        <f t="shared" si="2"/>
        <v>288.88888888888891</v>
      </c>
      <c r="J11" s="21">
        <f t="shared" si="3"/>
        <v>0.24627041272530459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>
      <c r="A12" s="9" t="s">
        <v>160</v>
      </c>
      <c r="B12" s="14">
        <v>8260</v>
      </c>
      <c r="C12" s="9">
        <v>24</v>
      </c>
      <c r="D12" s="9">
        <v>2.4</v>
      </c>
      <c r="E12" s="23">
        <v>6560</v>
      </c>
      <c r="F12" s="20">
        <f>Table12[[#This Row],[List Price]]/Table12[[#This Row],[Cores]]</f>
        <v>273.33333333333331</v>
      </c>
      <c r="G12" s="13">
        <f t="shared" si="0"/>
        <v>57.599999999999994</v>
      </c>
      <c r="H12" s="9">
        <f t="shared" si="1"/>
        <v>115.19999999999999</v>
      </c>
      <c r="I12" s="12">
        <f t="shared" si="2"/>
        <v>113.8888888888889</v>
      </c>
      <c r="J12" s="21">
        <f t="shared" si="3"/>
        <v>0.70285660501670666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>
      <c r="A13" s="9" t="s">
        <v>161</v>
      </c>
      <c r="B13" s="14">
        <v>6254</v>
      </c>
      <c r="C13" s="9">
        <v>18</v>
      </c>
      <c r="D13" s="9">
        <v>3.1</v>
      </c>
      <c r="E13" s="22">
        <v>4670</v>
      </c>
      <c r="F13" s="12">
        <f>Table12[[#This Row],[List Price]]/Table12[[#This Row],[Cores]]</f>
        <v>259.44444444444446</v>
      </c>
      <c r="G13" s="13">
        <f t="shared" si="0"/>
        <v>55.800000000000004</v>
      </c>
      <c r="H13" s="9">
        <f t="shared" si="1"/>
        <v>111.60000000000001</v>
      </c>
      <c r="I13" s="12">
        <f t="shared" si="2"/>
        <v>83.69175627240142</v>
      </c>
      <c r="J13" s="21">
        <f t="shared" si="3"/>
        <v>0.78164285529945243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>
      <c r="A14" s="9" t="s">
        <v>162</v>
      </c>
      <c r="B14" s="14">
        <v>6252</v>
      </c>
      <c r="C14" s="9">
        <v>24</v>
      </c>
      <c r="D14" s="9">
        <v>2.1</v>
      </c>
      <c r="E14" s="23">
        <v>4740</v>
      </c>
      <c r="F14" s="20">
        <f>Table12[[#This Row],[List Price]]/Table12[[#This Row],[Cores]]</f>
        <v>197.5</v>
      </c>
      <c r="G14" s="13">
        <f t="shared" si="0"/>
        <v>50.400000000000006</v>
      </c>
      <c r="H14" s="9">
        <f t="shared" si="1"/>
        <v>100.80000000000001</v>
      </c>
      <c r="I14" s="12">
        <f t="shared" si="2"/>
        <v>94.047619047619037</v>
      </c>
      <c r="J14" s="21">
        <f t="shared" si="3"/>
        <v>0.75462374699985879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>
      <c r="A15" s="9" t="s">
        <v>163</v>
      </c>
      <c r="B15" s="14">
        <v>6248</v>
      </c>
      <c r="C15" s="9">
        <v>20</v>
      </c>
      <c r="D15" s="9">
        <v>2.5</v>
      </c>
      <c r="E15" s="22">
        <v>3690</v>
      </c>
      <c r="F15" s="20">
        <f>Table12[[#This Row],[List Price]]/Table12[[#This Row],[Cores]]</f>
        <v>184.5</v>
      </c>
      <c r="G15" s="13">
        <f t="shared" si="0"/>
        <v>50</v>
      </c>
      <c r="H15" s="13">
        <f t="shared" si="1"/>
        <v>100</v>
      </c>
      <c r="I15" s="12">
        <f t="shared" si="2"/>
        <v>73.8</v>
      </c>
      <c r="J15" s="21">
        <f t="shared" si="3"/>
        <v>0.80745108005082589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>
      <c r="A16" s="9" t="s">
        <v>164</v>
      </c>
      <c r="B16" s="14">
        <v>6240</v>
      </c>
      <c r="C16" s="9">
        <v>18</v>
      </c>
      <c r="D16" s="9">
        <v>2.6</v>
      </c>
      <c r="E16" s="23">
        <v>2649</v>
      </c>
      <c r="F16" s="20">
        <f>Table12[[#This Row],[List Price]]/Table12[[#This Row],[Cores]]</f>
        <v>147.16666666666666</v>
      </c>
      <c r="G16" s="13">
        <f t="shared" si="0"/>
        <v>46.800000000000004</v>
      </c>
      <c r="H16" s="9">
        <f t="shared" si="1"/>
        <v>93.600000000000009</v>
      </c>
      <c r="I16" s="12">
        <f t="shared" si="2"/>
        <v>56.602564102564095</v>
      </c>
      <c r="J16" s="21">
        <f t="shared" si="3"/>
        <v>0.85232029018560151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>
      <c r="A17" s="9" t="s">
        <v>165</v>
      </c>
      <c r="B17" s="19" t="s">
        <v>57</v>
      </c>
      <c r="C17" s="9">
        <v>18</v>
      </c>
      <c r="D17" s="9">
        <v>2.6</v>
      </c>
      <c r="E17" s="23">
        <v>6920</v>
      </c>
      <c r="F17" s="20">
        <f>Table12[[#This Row],[List Price]]/Table12[[#This Row],[Cores]]</f>
        <v>384.44444444444446</v>
      </c>
      <c r="G17" s="13">
        <f t="shared" si="0"/>
        <v>46.800000000000004</v>
      </c>
      <c r="H17" s="13">
        <f t="shared" si="1"/>
        <v>93.600000000000009</v>
      </c>
      <c r="I17" s="12">
        <f t="shared" si="2"/>
        <v>147.86324786324786</v>
      </c>
      <c r="J17" s="21">
        <f t="shared" si="3"/>
        <v>0.61421532959017067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>
      <c r="A18" s="9" t="s">
        <v>166</v>
      </c>
      <c r="B18" s="19" t="s">
        <v>58</v>
      </c>
      <c r="C18" s="9">
        <v>18</v>
      </c>
      <c r="D18" s="9">
        <v>2.6</v>
      </c>
      <c r="E18" s="23">
        <v>17270</v>
      </c>
      <c r="F18" s="20">
        <f>Table12[[#This Row],[List Price]]/Table12[[#This Row],[Cores]]</f>
        <v>959.44444444444446</v>
      </c>
      <c r="G18" s="13">
        <f t="shared" si="0"/>
        <v>46.800000000000004</v>
      </c>
      <c r="H18" s="13">
        <f t="shared" si="1"/>
        <v>93.600000000000009</v>
      </c>
      <c r="I18" s="12">
        <f t="shared" si="2"/>
        <v>369.017094017094</v>
      </c>
      <c r="J18" s="21">
        <f t="shared" si="3"/>
        <v>3.721080087026718E-2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>
      <c r="A19" s="9" t="s">
        <v>167</v>
      </c>
      <c r="B19" s="19" t="s">
        <v>55</v>
      </c>
      <c r="C19" s="9">
        <v>24</v>
      </c>
      <c r="D19" s="9">
        <v>1.9</v>
      </c>
      <c r="E19" s="23">
        <v>4320</v>
      </c>
      <c r="F19" s="20">
        <f>Table12[[#This Row],[List Price]]/Table12[[#This Row],[Cores]]</f>
        <v>180</v>
      </c>
      <c r="G19" s="13">
        <f t="shared" si="0"/>
        <v>45.599999999999994</v>
      </c>
      <c r="H19" s="9">
        <f t="shared" si="1"/>
        <v>91.199999999999989</v>
      </c>
      <c r="I19" s="12">
        <f t="shared" si="2"/>
        <v>94.736842105263165</v>
      </c>
      <c r="J19" s="21">
        <f t="shared" si="3"/>
        <v>0.75282551996254932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>
      <c r="A20" s="9" t="s">
        <v>168</v>
      </c>
      <c r="B20" s="14">
        <v>6242</v>
      </c>
      <c r="C20" s="9">
        <v>16</v>
      </c>
      <c r="D20" s="9">
        <v>2.8</v>
      </c>
      <c r="E20" s="22">
        <v>3170</v>
      </c>
      <c r="F20" s="12">
        <f>Table12[[#This Row],[List Price]]/Table12[[#This Row],[Cores]]</f>
        <v>198.125</v>
      </c>
      <c r="G20" s="13">
        <f t="shared" si="0"/>
        <v>44.8</v>
      </c>
      <c r="H20" s="9">
        <f t="shared" si="1"/>
        <v>89.6</v>
      </c>
      <c r="I20" s="12">
        <f t="shared" si="2"/>
        <v>70.758928571428569</v>
      </c>
      <c r="J20" s="21">
        <f t="shared" si="3"/>
        <v>0.81538542990258367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>
      <c r="A21" s="9" t="s">
        <v>169</v>
      </c>
      <c r="B21" s="14">
        <v>6246</v>
      </c>
      <c r="C21" s="9">
        <v>12</v>
      </c>
      <c r="D21" s="9">
        <v>3.3</v>
      </c>
      <c r="E21" s="22">
        <v>11550</v>
      </c>
      <c r="F21" s="12">
        <f>Table12[[#This Row],[List Price]]/Table12[[#This Row],[Cores]]</f>
        <v>962.5</v>
      </c>
      <c r="G21" s="13">
        <f t="shared" si="0"/>
        <v>39.599999999999994</v>
      </c>
      <c r="H21" s="9">
        <f t="shared" si="1"/>
        <v>79.199999999999989</v>
      </c>
      <c r="I21" s="12">
        <f t="shared" si="2"/>
        <v>291.66666666666669</v>
      </c>
      <c r="J21" s="21">
        <f t="shared" si="3"/>
        <v>0.23902301284766325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>
      <c r="A22" s="9" t="s">
        <v>170</v>
      </c>
      <c r="B22" s="19" t="s">
        <v>56</v>
      </c>
      <c r="C22" s="9">
        <v>20</v>
      </c>
      <c r="D22" s="9">
        <v>1.8</v>
      </c>
      <c r="E22" s="23">
        <v>1470</v>
      </c>
      <c r="F22" s="20">
        <f>Table12[[#This Row],[List Price]]/Table12[[#This Row],[Cores]]</f>
        <v>73.5</v>
      </c>
      <c r="G22" s="13">
        <f t="shared" si="0"/>
        <v>36</v>
      </c>
      <c r="H22" s="13">
        <f t="shared" si="1"/>
        <v>72</v>
      </c>
      <c r="I22" s="12">
        <f t="shared" si="2"/>
        <v>40.833333333333336</v>
      </c>
      <c r="J22" s="21">
        <f t="shared" si="3"/>
        <v>0.89346322179867288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>
      <c r="A23" s="9" t="s">
        <v>171</v>
      </c>
      <c r="B23" s="14">
        <v>8253</v>
      </c>
      <c r="C23" s="9">
        <v>16</v>
      </c>
      <c r="D23" s="9">
        <v>2.2000000000000002</v>
      </c>
      <c r="E23" s="23">
        <v>3930</v>
      </c>
      <c r="F23" s="20">
        <f>Table12[[#This Row],[List Price]]/Table12[[#This Row],[Cores]]</f>
        <v>245.625</v>
      </c>
      <c r="G23" s="13">
        <f t="shared" si="0"/>
        <v>35.200000000000003</v>
      </c>
      <c r="H23" s="9">
        <f t="shared" si="1"/>
        <v>70.400000000000006</v>
      </c>
      <c r="I23" s="12">
        <f t="shared" si="2"/>
        <v>111.64772727272727</v>
      </c>
      <c r="J23" s="21">
        <f t="shared" si="3"/>
        <v>0.7087039390088945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>
      <c r="A24" s="9" t="s">
        <v>172</v>
      </c>
      <c r="B24" s="14">
        <v>6244</v>
      </c>
      <c r="C24" s="9">
        <v>8</v>
      </c>
      <c r="D24" s="9">
        <v>3.6</v>
      </c>
      <c r="E24" s="22">
        <v>10290</v>
      </c>
      <c r="F24" s="12">
        <f>Table12[[#This Row],[List Price]]/Table12[[#This Row],[Cores]]</f>
        <v>1286.25</v>
      </c>
      <c r="G24" s="13">
        <f t="shared" si="0"/>
        <v>28.8</v>
      </c>
      <c r="H24" s="9">
        <f t="shared" si="1"/>
        <v>57.6</v>
      </c>
      <c r="I24" s="12">
        <f t="shared" si="2"/>
        <v>357.29166666666669</v>
      </c>
      <c r="J24" s="21">
        <f t="shared" si="3"/>
        <v>6.7803190738387586E-2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>
      <c r="A25" s="9" t="s">
        <v>173</v>
      </c>
      <c r="B25" s="14">
        <v>6234</v>
      </c>
      <c r="C25" s="9">
        <v>8</v>
      </c>
      <c r="D25" s="9">
        <v>3.3</v>
      </c>
      <c r="E25" s="22">
        <v>3469</v>
      </c>
      <c r="F25" s="12">
        <f>Table12[[#This Row],[List Price]]/Table12[[#This Row],[Cores]]</f>
        <v>433.625</v>
      </c>
      <c r="G25" s="13">
        <f t="shared" si="0"/>
        <v>26.4</v>
      </c>
      <c r="H25" s="9">
        <f t="shared" si="1"/>
        <v>52.8</v>
      </c>
      <c r="I25" s="12">
        <f t="shared" si="2"/>
        <v>131.40151515151516</v>
      </c>
      <c r="J25" s="21">
        <f t="shared" si="3"/>
        <v>0.65716504306084988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>
      <c r="A26" s="9" t="s">
        <v>174</v>
      </c>
      <c r="B26" s="14">
        <v>5217</v>
      </c>
      <c r="C26" s="9">
        <v>8</v>
      </c>
      <c r="D26" s="13">
        <v>3</v>
      </c>
      <c r="E26" s="22">
        <v>2479</v>
      </c>
      <c r="F26" s="12">
        <f>Table12[[#This Row],[List Price]]/Table12[[#This Row],[Cores]]</f>
        <v>309.875</v>
      </c>
      <c r="G26" s="13">
        <f t="shared" si="0"/>
        <v>24</v>
      </c>
      <c r="H26" s="13">
        <f t="shared" si="1"/>
        <v>48</v>
      </c>
      <c r="I26" s="12">
        <f t="shared" si="2"/>
        <v>103.29166666666667</v>
      </c>
      <c r="J26" s="21">
        <f t="shared" si="3"/>
        <v>0.73050543554990821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>
      <c r="A27" s="9" t="s">
        <v>175</v>
      </c>
      <c r="B27" s="14">
        <v>4215</v>
      </c>
      <c r="C27" s="9">
        <v>8</v>
      </c>
      <c r="D27" s="13">
        <v>2.5</v>
      </c>
      <c r="E27" s="22">
        <v>1379</v>
      </c>
      <c r="F27" s="12">
        <f>Table12[[#This Row],[List Price]]/Table12[[#This Row],[Cores]]</f>
        <v>172.375</v>
      </c>
      <c r="G27" s="13">
        <f t="shared" si="0"/>
        <v>20</v>
      </c>
      <c r="H27" s="13">
        <f t="shared" si="1"/>
        <v>40</v>
      </c>
      <c r="I27" s="12">
        <f t="shared" si="2"/>
        <v>68.95</v>
      </c>
      <c r="J27" s="21">
        <f t="shared" si="3"/>
        <v>0.82010504023718767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>
      <c r="A28" s="9"/>
      <c r="B28" s="14">
        <v>4110</v>
      </c>
      <c r="C28" s="9"/>
      <c r="D28" s="9"/>
      <c r="E28" s="23"/>
      <c r="F28" s="9" t="e">
        <f>Table12[[#This Row],[List Price]]/Table12[[#This Row],[Cores]]</f>
        <v>#DIV/0!</v>
      </c>
      <c r="G28" s="13"/>
      <c r="H28" s="9"/>
      <c r="I28" s="9"/>
      <c r="J28" s="9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</row>
    <row r="121" spans="1:5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</row>
    <row r="122" spans="1:5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</row>
    <row r="124" spans="1:5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</row>
    <row r="125" spans="1:5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</row>
    <row r="127" spans="1:5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</row>
    <row r="128" spans="1:5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</row>
    <row r="130" spans="1:5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</row>
    <row r="131" spans="1:5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</row>
    <row r="133" spans="1:5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</row>
    <row r="134" spans="1:5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</row>
    <row r="136" spans="1:5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</row>
    <row r="137" spans="1:5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</row>
    <row r="139" spans="1:5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</row>
    <row r="140" spans="1:5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</row>
    <row r="142" spans="1:5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</row>
    <row r="143" spans="1:5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</row>
    <row r="145" spans="1:5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</row>
    <row r="146" spans="1:5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</row>
    <row r="148" spans="1:5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</row>
    <row r="149" spans="1:5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</row>
    <row r="151" spans="1:5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</row>
    <row r="152" spans="1: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</row>
    <row r="154" spans="1:5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</row>
    <row r="155" spans="1:5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</row>
    <row r="157" spans="1:5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</row>
    <row r="158" spans="1:5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</row>
    <row r="160" spans="1:5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</row>
    <row r="161" spans="1:5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</row>
    <row r="163" spans="1:5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</row>
    <row r="164" spans="1:5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</row>
    <row r="166" spans="1:5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</row>
    <row r="167" spans="1:5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</row>
    <row r="169" spans="1:5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</row>
    <row r="170" spans="1:5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</row>
    <row r="172" spans="1:5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</row>
    <row r="173" spans="1:5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</row>
    <row r="175" spans="1:5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</row>
    <row r="176" spans="1:5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</row>
    <row r="178" spans="1:5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</row>
    <row r="179" spans="1:5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</row>
    <row r="181" spans="1:5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</row>
    <row r="182" spans="1:5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</row>
    <row r="184" spans="1:5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</row>
    <row r="185" spans="1:5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</row>
    <row r="187" spans="1:5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</row>
    <row r="188" spans="1:5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</row>
    <row r="190" spans="1:5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</row>
    <row r="191" spans="1:5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</row>
    <row r="193" spans="1:5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</row>
    <row r="194" spans="1:5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</row>
    <row r="196" spans="1:5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</row>
    <row r="197" spans="1:5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</row>
    <row r="199" spans="1:5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</row>
    <row r="200" spans="1:5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</row>
    <row r="202" spans="1:5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</row>
    <row r="203" spans="1:5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</row>
    <row r="205" spans="1:5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</row>
    <row r="206" spans="1:5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</row>
    <row r="208" spans="1:5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</row>
    <row r="209" spans="1:5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</row>
    <row r="211" spans="1:5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</row>
    <row r="212" spans="1:5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</row>
    <row r="214" spans="1:5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</row>
    <row r="215" spans="1:5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</row>
    <row r="217" spans="1:5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</row>
    <row r="218" spans="1:5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</row>
    <row r="220" spans="1:5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</row>
    <row r="221" spans="1:5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</row>
    <row r="223" spans="1:5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</row>
    <row r="224" spans="1:5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</row>
    <row r="226" spans="1:5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</row>
    <row r="227" spans="1:5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</row>
    <row r="229" spans="1:5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</row>
    <row r="230" spans="1:5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</row>
    <row r="231" spans="1:5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</row>
    <row r="232" spans="1:5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</row>
    <row r="233" spans="1:5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</row>
    <row r="234" spans="1:5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</row>
    <row r="235" spans="1:5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</row>
    <row r="236" spans="1:5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</row>
    <row r="237" spans="1:5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</row>
    <row r="238" spans="1:5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</row>
    <row r="239" spans="1:5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</row>
    <row r="240" spans="1:5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</row>
    <row r="241" spans="1:5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</row>
    <row r="242" spans="1:5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</row>
    <row r="243" spans="1:5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</row>
    <row r="244" spans="1:5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</row>
    <row r="245" spans="1:5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</row>
    <row r="246" spans="1:5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</row>
    <row r="247" spans="1:5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</row>
    <row r="248" spans="1:5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</row>
    <row r="249" spans="1:5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</row>
    <row r="250" spans="1:5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</row>
    <row r="251" spans="1:5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</row>
    <row r="252" spans="1: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</row>
    <row r="253" spans="1:5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</row>
    <row r="254" spans="1:5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</row>
    <row r="255" spans="1:5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</row>
    <row r="256" spans="1:5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</row>
    <row r="257" spans="1:5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</row>
    <row r="258" spans="1:5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</row>
    <row r="259" spans="1:5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</row>
    <row r="260" spans="1:5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</row>
  </sheetData>
  <conditionalFormatting sqref="I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2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1073150</xdr:colOff>
                    <xdr:row>30</xdr:row>
                    <xdr:rowOff>177800</xdr:rowOff>
                  </from>
                  <to>
                    <xdr:col>6</xdr:col>
                    <xdr:colOff>1187450</xdr:colOff>
                    <xdr:row>32</xdr:row>
                    <xdr:rowOff>44450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3E1A8-9DC3-40EA-8B66-72E7E875CC98}">
  <sheetPr codeName="Sheet10">
    <tabColor theme="9"/>
  </sheetPr>
  <dimension ref="A1:BG243"/>
  <sheetViews>
    <sheetView workbookViewId="0">
      <selection activeCell="U30" sqref="U30"/>
    </sheetView>
  </sheetViews>
  <sheetFormatPr defaultRowHeight="14.5"/>
  <cols>
    <col min="2" max="2" width="21.90625" customWidth="1"/>
    <col min="3" max="3" width="3.26953125" customWidth="1"/>
    <col min="6" max="6" width="5.1796875" customWidth="1"/>
    <col min="8" max="8" width="9.81640625" bestFit="1" customWidth="1"/>
    <col min="9" max="9" width="3.81640625" bestFit="1" customWidth="1"/>
    <col min="11" max="11" width="10.54296875" customWidth="1"/>
    <col min="53" max="56" width="12.08984375" bestFit="1" customWidth="1"/>
  </cols>
  <sheetData>
    <row r="1" spans="1:5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 t="s">
        <v>473</v>
      </c>
      <c r="BB1" s="1" t="s">
        <v>474</v>
      </c>
      <c r="BC1" s="1" t="s">
        <v>475</v>
      </c>
      <c r="BD1" s="1" t="s">
        <v>476</v>
      </c>
      <c r="BE1" s="1"/>
      <c r="BF1" s="1"/>
      <c r="BG1" s="1"/>
    </row>
    <row r="2" spans="1:59" ht="31.5" customHeight="1">
      <c r="A2" s="1"/>
      <c r="B2" s="89" t="s">
        <v>421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33">
        <f>VLOOKUP('Server Options (Greenfield)'!A10,'Server Options (Greenfield)'!$A$2:'Server Options (Greenfield)'!$R$7,18)+'vGPU Options'!$I11</f>
        <v>128272</v>
      </c>
      <c r="BB2" s="33">
        <f>VLOOKUP('Server Options (Greenfield)'!A13,'Server Options (Greenfield)'!$A$2:'Server Options (Greenfield)'!$R$7,18)+'vGPU Options'!$I12</f>
        <v>137640</v>
      </c>
      <c r="BC2" s="33">
        <f>VLOOKUP('Server Options (Greenfield)'!A16,'Server Options (Greenfield)'!$A$2:'Server Options (Greenfield)'!$R$7,18)+'vGPU Options'!$I13</f>
        <v>168448</v>
      </c>
      <c r="BD2" s="33">
        <f>MAX(BA2:BC2)</f>
        <v>168448</v>
      </c>
      <c r="BE2" s="1"/>
      <c r="BF2" s="1"/>
      <c r="BG2" s="1"/>
    </row>
    <row r="3" spans="1:59">
      <c r="A3" s="1"/>
      <c r="B3" s="1" t="str">
        <f>'VDI Profiles'!A4</f>
        <v>Example VDI Profile</v>
      </c>
      <c r="C3" s="1"/>
      <c r="D3" s="1">
        <f>'VDI Profiles'!B4</f>
        <v>2</v>
      </c>
      <c r="E3" s="1" t="s">
        <v>422</v>
      </c>
      <c r="F3" s="1"/>
      <c r="G3" s="1">
        <f>'VDI Profiles'!C4</f>
        <v>4</v>
      </c>
      <c r="H3" s="1" t="s">
        <v>424</v>
      </c>
      <c r="I3" s="1"/>
      <c r="J3" s="1">
        <f>'VDI Profiles'!D4</f>
        <v>2</v>
      </c>
      <c r="K3" s="1" t="s">
        <v>426</v>
      </c>
      <c r="L3" s="1"/>
      <c r="M3" s="1">
        <f>'VDI Profiles'!E4</f>
        <v>200</v>
      </c>
      <c r="N3" s="1" t="s">
        <v>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57">
        <f>$BD$2/BA2-1</f>
        <v>0.31320942996133216</v>
      </c>
      <c r="BB3" s="57">
        <f>$BD$2/BB2-1</f>
        <v>0.22383028189479792</v>
      </c>
      <c r="BC3" s="57">
        <f>$BD$2/BC2-1</f>
        <v>0</v>
      </c>
      <c r="BE3" s="1"/>
      <c r="BF3" s="1"/>
      <c r="BG3" s="1"/>
    </row>
    <row r="4" spans="1:59">
      <c r="A4" s="1"/>
      <c r="B4" s="1" t="str">
        <f>'VDI Profiles'!A5</f>
        <v>Another example VDI Profile</v>
      </c>
      <c r="C4" s="1"/>
      <c r="D4" s="1">
        <f>'VDI Profiles'!B5</f>
        <v>2</v>
      </c>
      <c r="E4" s="1" t="s">
        <v>422</v>
      </c>
      <c r="F4" s="1"/>
      <c r="G4" s="1">
        <f>'VDI Profiles'!C5</f>
        <v>8</v>
      </c>
      <c r="H4" s="1" t="s">
        <v>424</v>
      </c>
      <c r="I4" s="1"/>
      <c r="J4" s="1">
        <f>'VDI Profiles'!D5</f>
        <v>0.5</v>
      </c>
      <c r="K4" s="1" t="s">
        <v>426</v>
      </c>
      <c r="L4" s="1"/>
      <c r="M4" s="1">
        <f>'VDI Profiles'!E5</f>
        <v>300</v>
      </c>
      <c r="N4" s="1" t="s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</row>
    <row r="5" spans="1:59" hidden="1">
      <c r="A5" s="1"/>
      <c r="B5" s="1">
        <f>'VDI Profiles'!A6</f>
        <v>0</v>
      </c>
      <c r="C5" s="1"/>
      <c r="D5" s="1">
        <f>'VDI Profiles'!B6</f>
        <v>0</v>
      </c>
      <c r="E5" s="1" t="s">
        <v>422</v>
      </c>
      <c r="F5" s="1"/>
      <c r="G5" s="1">
        <f>'VDI Profiles'!C6</f>
        <v>0</v>
      </c>
      <c r="H5" s="1" t="s">
        <v>424</v>
      </c>
      <c r="I5" s="1"/>
      <c r="J5" s="1">
        <f>'VDI Profiles'!D6</f>
        <v>0</v>
      </c>
      <c r="K5" s="1" t="s">
        <v>426</v>
      </c>
      <c r="L5" s="1"/>
      <c r="M5" s="1">
        <f>'VDI Profiles'!E6</f>
        <v>0</v>
      </c>
      <c r="N5" s="1" t="s">
        <v>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</row>
    <row r="6" spans="1:59" hidden="1">
      <c r="A6" s="1"/>
      <c r="B6" s="1">
        <f>'VDI Profiles'!A7</f>
        <v>0</v>
      </c>
      <c r="C6" s="1"/>
      <c r="D6" s="1">
        <f>'VDI Profiles'!B7</f>
        <v>0</v>
      </c>
      <c r="E6" s="1" t="s">
        <v>422</v>
      </c>
      <c r="F6" s="1"/>
      <c r="G6" s="1">
        <f>'VDI Profiles'!C7</f>
        <v>0</v>
      </c>
      <c r="H6" s="1" t="s">
        <v>424</v>
      </c>
      <c r="I6" s="1"/>
      <c r="J6" s="1">
        <f>'VDI Profiles'!D7</f>
        <v>0</v>
      </c>
      <c r="K6" s="1" t="s">
        <v>426</v>
      </c>
      <c r="L6" s="1"/>
      <c r="M6" s="1">
        <f>'VDI Profiles'!E7</f>
        <v>0</v>
      </c>
      <c r="N6" s="1" t="s">
        <v>2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</row>
    <row r="7" spans="1:59" hidden="1">
      <c r="A7" s="1"/>
      <c r="B7" s="1">
        <f>'VDI Profiles'!A8</f>
        <v>0</v>
      </c>
      <c r="C7" s="1"/>
      <c r="D7" s="1">
        <f>'VDI Profiles'!B8</f>
        <v>0</v>
      </c>
      <c r="E7" s="1" t="s">
        <v>422</v>
      </c>
      <c r="F7" s="1"/>
      <c r="G7" s="1">
        <f>'VDI Profiles'!C8</f>
        <v>0</v>
      </c>
      <c r="H7" s="1" t="s">
        <v>424</v>
      </c>
      <c r="I7" s="1"/>
      <c r="J7" s="1">
        <f>'VDI Profiles'!D8</f>
        <v>0</v>
      </c>
      <c r="K7" s="1" t="s">
        <v>426</v>
      </c>
      <c r="L7" s="1"/>
      <c r="M7" s="1">
        <f>'VDI Profiles'!E8</f>
        <v>0</v>
      </c>
      <c r="N7" s="1" t="s">
        <v>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</row>
    <row r="8" spans="1:59" hidden="1">
      <c r="A8" s="1"/>
      <c r="B8" s="1">
        <f>'VDI Profiles'!A9</f>
        <v>0</v>
      </c>
      <c r="C8" s="1"/>
      <c r="D8" s="1">
        <f>'VDI Profiles'!B9</f>
        <v>0</v>
      </c>
      <c r="E8" s="1" t="s">
        <v>422</v>
      </c>
      <c r="F8" s="1"/>
      <c r="G8" s="1">
        <f>'VDI Profiles'!C9</f>
        <v>0</v>
      </c>
      <c r="H8" s="1" t="s">
        <v>424</v>
      </c>
      <c r="I8" s="1"/>
      <c r="J8" s="1">
        <f>'VDI Profiles'!D9</f>
        <v>0</v>
      </c>
      <c r="K8" s="1" t="s">
        <v>426</v>
      </c>
      <c r="L8" s="1"/>
      <c r="M8" s="1">
        <f>'VDI Profiles'!E9</f>
        <v>0</v>
      </c>
      <c r="N8" s="1" t="s">
        <v>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</row>
    <row r="9" spans="1:59" hidden="1">
      <c r="A9" s="1"/>
      <c r="B9" s="1">
        <f>'VDI Profiles'!A10</f>
        <v>0</v>
      </c>
      <c r="C9" s="1"/>
      <c r="D9" s="1">
        <f>'VDI Profiles'!B10</f>
        <v>0</v>
      </c>
      <c r="E9" s="1" t="s">
        <v>422</v>
      </c>
      <c r="F9" s="1"/>
      <c r="G9" s="1">
        <f>'VDI Profiles'!C10</f>
        <v>0</v>
      </c>
      <c r="H9" s="1" t="s">
        <v>424</v>
      </c>
      <c r="I9" s="1"/>
      <c r="J9" s="1">
        <f>'VDI Profiles'!D10</f>
        <v>0</v>
      </c>
      <c r="K9" s="1" t="s">
        <v>426</v>
      </c>
      <c r="L9" s="1"/>
      <c r="M9" s="1">
        <f>'VDI Profiles'!E10</f>
        <v>0</v>
      </c>
      <c r="N9" s="1" t="s">
        <v>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</row>
    <row r="10" spans="1:59" hidden="1">
      <c r="A10" s="1"/>
      <c r="B10" s="1">
        <f>'VDI Profiles'!A11</f>
        <v>0</v>
      </c>
      <c r="C10" s="1"/>
      <c r="D10" s="1">
        <f>'VDI Profiles'!B11</f>
        <v>0</v>
      </c>
      <c r="E10" s="1" t="s">
        <v>422</v>
      </c>
      <c r="F10" s="1"/>
      <c r="G10" s="1">
        <f>'VDI Profiles'!C11</f>
        <v>0</v>
      </c>
      <c r="H10" s="1" t="s">
        <v>424</v>
      </c>
      <c r="I10" s="1"/>
      <c r="J10" s="1">
        <f>'VDI Profiles'!D11</f>
        <v>0</v>
      </c>
      <c r="K10" s="1" t="s">
        <v>426</v>
      </c>
      <c r="L10" s="1"/>
      <c r="M10" s="1">
        <f>'VDI Profiles'!E11</f>
        <v>0</v>
      </c>
      <c r="N10" s="1" t="s">
        <v>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</row>
    <row r="11" spans="1:59" hidden="1">
      <c r="A11" s="1"/>
      <c r="B11" s="1">
        <f>'VDI Profiles'!A12</f>
        <v>0</v>
      </c>
      <c r="C11" s="1"/>
      <c r="D11" s="1">
        <f>'VDI Profiles'!B12</f>
        <v>0</v>
      </c>
      <c r="E11" s="1" t="s">
        <v>422</v>
      </c>
      <c r="F11" s="1"/>
      <c r="G11" s="1">
        <f>'VDI Profiles'!C12</f>
        <v>0</v>
      </c>
      <c r="H11" s="1" t="s">
        <v>424</v>
      </c>
      <c r="I11" s="1"/>
      <c r="J11" s="1">
        <f>'VDI Profiles'!D12</f>
        <v>0</v>
      </c>
      <c r="K11" s="1" t="s">
        <v>426</v>
      </c>
      <c r="L11" s="1"/>
      <c r="M11" s="1">
        <f>'VDI Profiles'!E12</f>
        <v>0</v>
      </c>
      <c r="N11" s="1" t="s">
        <v>2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</row>
    <row r="12" spans="1:59" hidden="1">
      <c r="A12" s="1"/>
      <c r="B12" s="1">
        <f>'VDI Profiles'!A13</f>
        <v>0</v>
      </c>
      <c r="C12" s="1"/>
      <c r="D12" s="1">
        <f>'VDI Profiles'!B13</f>
        <v>0</v>
      </c>
      <c r="E12" s="1" t="s">
        <v>422</v>
      </c>
      <c r="F12" s="1"/>
      <c r="G12" s="1">
        <f>'VDI Profiles'!C13</f>
        <v>0</v>
      </c>
      <c r="H12" s="1" t="s">
        <v>424</v>
      </c>
      <c r="I12" s="1"/>
      <c r="J12" s="1">
        <f>'VDI Profiles'!D13</f>
        <v>0</v>
      </c>
      <c r="K12" s="1" t="s">
        <v>426</v>
      </c>
      <c r="L12" s="1"/>
      <c r="M12" s="1">
        <f>'VDI Profiles'!E13</f>
        <v>0</v>
      </c>
      <c r="N12" s="1" t="s">
        <v>2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</row>
    <row r="13" spans="1:59">
      <c r="A13" s="1"/>
      <c r="B13" s="83">
        <f>'VDI Profiles'!A14</f>
        <v>2</v>
      </c>
      <c r="C13" s="1"/>
      <c r="D13" s="116">
        <f>'VDI Profiles'!F14</f>
        <v>1000</v>
      </c>
      <c r="E13" s="116"/>
      <c r="F13" s="1"/>
      <c r="G13" s="116">
        <f>'VDI Profiles'!G14</f>
        <v>3200</v>
      </c>
      <c r="H13" s="116"/>
      <c r="I13" s="1"/>
      <c r="J13" s="116">
        <f>'VDI Profiles'!H14</f>
        <v>550</v>
      </c>
      <c r="K13" s="116"/>
      <c r="L13" s="1"/>
      <c r="M13" s="116">
        <f>'VDI Profiles'!E14</f>
        <v>500</v>
      </c>
      <c r="N13" s="116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</row>
    <row r="14" spans="1:59">
      <c r="A14" s="1"/>
      <c r="B14" s="1" t="s">
        <v>482</v>
      </c>
      <c r="C14" s="1"/>
      <c r="D14" s="1" t="s">
        <v>423</v>
      </c>
      <c r="E14" s="1"/>
      <c r="F14" s="1"/>
      <c r="G14" s="1" t="s">
        <v>425</v>
      </c>
      <c r="H14" s="1"/>
      <c r="I14" s="1"/>
      <c r="J14" s="1" t="s">
        <v>427</v>
      </c>
      <c r="K14" s="1"/>
      <c r="L14" s="1"/>
      <c r="M14" s="1" t="s">
        <v>483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</row>
    <row r="15" spans="1:5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</row>
    <row r="16" spans="1:59" ht="31.5" customHeight="1">
      <c r="A16" s="1"/>
      <c r="B16" s="89" t="s">
        <v>429</v>
      </c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</row>
    <row r="17" spans="1:59">
      <c r="A17" s="1"/>
      <c r="B17" s="1" t="s">
        <v>430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</row>
    <row r="18" spans="1:59">
      <c r="A18" s="1"/>
      <c r="B18" s="86">
        <f>IFERROR(VLOOKUP('Server Options (Greenfield)'!A10,'Server Options (Greenfield)'!$A$1:'Server Options (Greenfield)'!$B$10,2,FALSE),"")</f>
        <v>4</v>
      </c>
      <c r="C18" s="1" t="s">
        <v>433</v>
      </c>
      <c r="D18" s="1"/>
      <c r="E18" s="84" t="str">
        <f>IFERROR(VLOOKUP('Server Options (Greenfield)'!A10,'Server Options (Greenfield)'!$A$1:'Server Options (Greenfield)'!$C$10,3,FALSE),"")</f>
        <v>5218R</v>
      </c>
      <c r="F18" s="1" t="s">
        <v>434</v>
      </c>
      <c r="G18" s="1"/>
      <c r="H18" s="1"/>
      <c r="I18" s="71">
        <f>IFERROR(VLOOKUP('Server Options (Greenfield)'!A10,'Server Options (Greenfield)'!$A$1:'Server Options (Greenfield)'!$E$10,5,FALSE),"")</f>
        <v>20</v>
      </c>
      <c r="J18" s="1" t="s">
        <v>435</v>
      </c>
      <c r="K18" s="1"/>
      <c r="L18" s="71" t="str">
        <f>IFERROR(VLOOKUP('Server Options (Greenfield)'!A10,'Server Options (Greenfield)'!$A$1:'Server Options (Greenfield)'!$G$10,7,FALSE),"")</f>
        <v>2.1</v>
      </c>
      <c r="M18" s="1" t="s">
        <v>437</v>
      </c>
      <c r="N18" s="1"/>
      <c r="O18" s="87">
        <f>IFERROR(VLOOKUP('Server Options (Greenfield)'!A10,'Server Options (Greenfield)'!$A$1:'Server Options (Greenfield)'!$I$10,9,FALSE),"")</f>
        <v>2.5</v>
      </c>
      <c r="P18" s="1" t="s">
        <v>438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</row>
    <row r="19" spans="1:59">
      <c r="A19" s="1"/>
      <c r="B19" s="114">
        <f>BA3</f>
        <v>0.31320942996133216</v>
      </c>
      <c r="C19" s="50" t="str">
        <f>IF(B19=0,"Most expensive","Less than most expensive")</f>
        <v>Less than most expensive</v>
      </c>
      <c r="D19" s="1"/>
      <c r="E19" s="71"/>
      <c r="F19" s="1"/>
      <c r="G19" s="1"/>
      <c r="H19" s="1"/>
      <c r="I19" s="84">
        <f>IFERROR(VLOOKUP('Server Options (Greenfield)'!A10,'Server Options (Greenfield)'!$A$1:'Server Options (Greenfield)'!$F$10,6,FALSE),"")</f>
        <v>160</v>
      </c>
      <c r="J19" s="1" t="s">
        <v>436</v>
      </c>
      <c r="K19" s="1"/>
      <c r="L19" s="84">
        <f>IFERROR(VLOOKUP('Server Options (Greenfield)'!A10,'Server Options (Greenfield)'!$A$1:'Server Options (Greenfield)'!$H$10,8,FALSE),"")</f>
        <v>336</v>
      </c>
      <c r="M19" s="1" t="s">
        <v>99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</row>
    <row r="20" spans="1:5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</row>
    <row r="21" spans="1:59">
      <c r="A21" s="1"/>
      <c r="B21" s="1" t="s">
        <v>431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</row>
    <row r="22" spans="1:59">
      <c r="A22" s="1"/>
      <c r="B22" s="86">
        <f>IFERROR(VLOOKUP('Server Options (Greenfield)'!A13,'Server Options (Greenfield)'!$A$1:'Server Options (Greenfield)'!$B$13,2,FALSE),"")</f>
        <v>4</v>
      </c>
      <c r="C22" s="1" t="s">
        <v>433</v>
      </c>
      <c r="D22" s="1"/>
      <c r="E22" s="84" t="str">
        <f>IFERROR(VLOOKUP('Server Options (Greenfield)'!A13,'Server Options (Greenfield)'!$A$1:'Server Options (Greenfield)'!$C$10,3,FALSE),"")</f>
        <v>6240</v>
      </c>
      <c r="F22" s="1" t="s">
        <v>434</v>
      </c>
      <c r="G22" s="1"/>
      <c r="H22" s="1"/>
      <c r="I22" s="71">
        <f>IFERROR(VLOOKUP('Server Options (Greenfield)'!A13,'Server Options (Greenfield)'!$A$1:'Server Options (Greenfield)'!$E$10,5,FALSE),"")</f>
        <v>18</v>
      </c>
      <c r="J22" s="1" t="s">
        <v>435</v>
      </c>
      <c r="K22" s="1"/>
      <c r="L22" s="71" t="str">
        <f>IFERROR(VLOOKUP('Server Options (Greenfield)'!A13,'Server Options (Greenfield)'!$A$1:'Server Options (Greenfield)'!$G$10,7,FALSE),"")</f>
        <v>2.6</v>
      </c>
      <c r="M22" s="1" t="s">
        <v>437</v>
      </c>
      <c r="N22" s="1"/>
      <c r="O22" s="87">
        <f>IFERROR(VLOOKUP('Server Options (Greenfield)'!A13,'Server Options (Greenfield)'!$A$1:'Server Options (Greenfield)'!$I$10,9,FALSE),"")</f>
        <v>2.7777777777777777</v>
      </c>
      <c r="P22" s="1" t="s">
        <v>438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</row>
    <row r="23" spans="1:59">
      <c r="A23" s="1"/>
      <c r="B23" s="114">
        <f>BB3</f>
        <v>0.22383028189479792</v>
      </c>
      <c r="C23" s="50" t="str">
        <f>IF(B23=0,"Most expensive","Less than most expensive")</f>
        <v>Less than most expensive</v>
      </c>
      <c r="D23" s="1"/>
      <c r="E23" s="1"/>
      <c r="F23" s="1"/>
      <c r="G23" s="1"/>
      <c r="H23" s="1"/>
      <c r="I23" s="84">
        <f>IFERROR(VLOOKUP('Server Options (Greenfield)'!A13,'Server Options (Greenfield)'!$A$1:'Server Options (Greenfield)'!$F$10,6,FALSE),"")</f>
        <v>144</v>
      </c>
      <c r="J23" s="1" t="s">
        <v>436</v>
      </c>
      <c r="K23" s="1"/>
      <c r="L23" s="84">
        <f>IFERROR(VLOOKUP('Server Options (Greenfield)'!A13,'Server Options (Greenfield)'!$A$1:'Server Options (Greenfield)'!$H$10,8,FALSE),"")</f>
        <v>374.40000000000003</v>
      </c>
      <c r="M23" s="1" t="s">
        <v>99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</row>
    <row r="24" spans="1:59">
      <c r="A24" s="1"/>
      <c r="B24" s="1"/>
      <c r="C24" s="1"/>
      <c r="D24" s="1"/>
      <c r="E24" s="1"/>
      <c r="F24" s="1"/>
      <c r="G24" s="1"/>
      <c r="H24" s="1"/>
      <c r="I24" s="71"/>
      <c r="J24" s="1"/>
      <c r="K24" s="1"/>
      <c r="L24" s="7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</row>
    <row r="25" spans="1:59">
      <c r="A25" s="1"/>
      <c r="B25" s="1" t="s">
        <v>432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</row>
    <row r="26" spans="1:59">
      <c r="A26" s="1"/>
      <c r="B26" s="86">
        <f>IFERROR(VLOOKUP('Server Options (Greenfield)'!A16,'Server Options (Greenfield)'!$A$1:'Server Options (Greenfield)'!$B$16,2,FALSE),"")</f>
        <v>4</v>
      </c>
      <c r="C26" s="1" t="s">
        <v>433</v>
      </c>
      <c r="D26" s="1"/>
      <c r="E26" s="84" t="str">
        <f>IFERROR(VLOOKUP('Server Options (Greenfield)'!A16,'Server Options (Greenfield)'!$A$1:'Server Options (Greenfield)'!$C$10,3,FALSE),"")</f>
        <v>8268</v>
      </c>
      <c r="F26" s="1" t="s">
        <v>434</v>
      </c>
      <c r="G26" s="1"/>
      <c r="H26" s="1"/>
      <c r="I26" s="71">
        <f>IFERROR(VLOOKUP('Server Options (Greenfield)'!A16,'Server Options (Greenfield)'!$A$1:'Server Options (Greenfield)'!$E$10,5,FALSE),"")</f>
        <v>24</v>
      </c>
      <c r="J26" s="1" t="s">
        <v>435</v>
      </c>
      <c r="K26" s="1"/>
      <c r="L26" s="71" t="str">
        <f>IFERROR(VLOOKUP('Server Options (Greenfield)'!A16,'Server Options (Greenfield)'!$A$1:'Server Options (Greenfield)'!$G$10,7,FALSE),"")</f>
        <v>2.9</v>
      </c>
      <c r="M26" s="1" t="s">
        <v>437</v>
      </c>
      <c r="N26" s="1"/>
      <c r="O26" s="87">
        <f>IFERROR(VLOOKUP('Server Options (Greenfield)'!A16,'Server Options (Greenfield)'!$A$1:'Server Options (Greenfield)'!$I$10,9,FALSE),"")</f>
        <v>2.0833333333333335</v>
      </c>
      <c r="P26" s="1" t="s">
        <v>438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</row>
    <row r="27" spans="1:59">
      <c r="A27" s="1"/>
      <c r="B27" s="114">
        <f>BC3</f>
        <v>0</v>
      </c>
      <c r="C27" s="50" t="str">
        <f>IF(B27=0,"Most expensive","Less than most expensive")</f>
        <v>Most expensive</v>
      </c>
      <c r="D27" s="1"/>
      <c r="E27" s="1"/>
      <c r="F27" s="1"/>
      <c r="G27" s="1"/>
      <c r="H27" s="1"/>
      <c r="I27" s="84">
        <f>IFERROR(VLOOKUP('Server Options (Greenfield)'!A16,'Server Options (Greenfield)'!$A$1:'Server Options (Greenfield)'!$F$10,6,FALSE),"")</f>
        <v>192</v>
      </c>
      <c r="J27" s="1" t="s">
        <v>436</v>
      </c>
      <c r="K27" s="1"/>
      <c r="L27" s="84">
        <f>IFERROR(VLOOKUP('Server Options (Greenfield)'!A16,'Server Options (Greenfield)'!$A$1:'Server Options (Greenfield)'!$H$10,8,FALSE),"")</f>
        <v>556.79999999999995</v>
      </c>
      <c r="M27" s="1" t="s">
        <v>99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</row>
    <row r="28" spans="1:5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</row>
    <row r="29" spans="1:59" ht="31.5" customHeight="1">
      <c r="A29" s="1"/>
      <c r="B29" s="89" t="s">
        <v>439</v>
      </c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</row>
    <row r="30" spans="1:59">
      <c r="A30" s="1"/>
      <c r="B30" s="1" t="s">
        <v>430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</row>
    <row r="31" spans="1:59">
      <c r="A31" s="1"/>
      <c r="B31" s="86">
        <f>B18</f>
        <v>4</v>
      </c>
      <c r="C31" s="1" t="s">
        <v>433</v>
      </c>
      <c r="D31" s="1"/>
      <c r="E31" s="1">
        <f>'vGPU Options'!D11</f>
        <v>3</v>
      </c>
      <c r="F31" s="1" t="str">
        <f>'vGPU Options'!C11</f>
        <v>M10</v>
      </c>
      <c r="G31" s="1" t="s">
        <v>441</v>
      </c>
      <c r="H31" s="1"/>
      <c r="I31" s="1">
        <f>IFERROR('vGPU Options'!E11,"")</f>
        <v>384</v>
      </c>
      <c r="J31" s="1" t="s">
        <v>442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</row>
    <row r="32" spans="1:59">
      <c r="A32" s="1"/>
      <c r="B32" s="1"/>
      <c r="C32" s="1"/>
      <c r="D32" s="1"/>
      <c r="E32" s="117">
        <f>IFERROR(E31*B31,"")</f>
        <v>12</v>
      </c>
      <c r="F32" s="117"/>
      <c r="G32" s="1" t="s">
        <v>440</v>
      </c>
      <c r="H32" s="1"/>
      <c r="I32" s="1">
        <f>$J$13</f>
        <v>550</v>
      </c>
      <c r="J32" s="1" t="s">
        <v>443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</row>
    <row r="33" spans="1:5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</row>
    <row r="34" spans="1:59">
      <c r="A34" s="1"/>
      <c r="B34" s="1" t="s">
        <v>431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</row>
    <row r="35" spans="1:59">
      <c r="A35" s="1"/>
      <c r="B35" s="86">
        <f>B22</f>
        <v>4</v>
      </c>
      <c r="C35" s="1" t="s">
        <v>433</v>
      </c>
      <c r="D35" s="1"/>
      <c r="E35" s="1">
        <f>'vGPU Options'!D12</f>
        <v>3</v>
      </c>
      <c r="F35" s="1" t="str">
        <f>'vGPU Options'!C12</f>
        <v>M10</v>
      </c>
      <c r="G35" s="1" t="s">
        <v>441</v>
      </c>
      <c r="H35" s="1"/>
      <c r="I35" s="1">
        <f>IFERROR('vGPU Options'!E12,"")</f>
        <v>384</v>
      </c>
      <c r="J35" s="1" t="s">
        <v>442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</row>
    <row r="36" spans="1:59">
      <c r="A36" s="1"/>
      <c r="B36" s="1"/>
      <c r="C36" s="1"/>
      <c r="D36" s="1"/>
      <c r="E36" s="117">
        <f>IFERROR(E35*B35,"")</f>
        <v>12</v>
      </c>
      <c r="F36" s="117"/>
      <c r="G36" s="1" t="s">
        <v>440</v>
      </c>
      <c r="H36" s="1"/>
      <c r="I36" s="1">
        <f>$J$13</f>
        <v>550</v>
      </c>
      <c r="J36" s="1" t="s">
        <v>443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</row>
    <row r="37" spans="1:5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</row>
    <row r="38" spans="1:59">
      <c r="A38" s="1"/>
      <c r="B38" s="1" t="s">
        <v>432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</row>
    <row r="39" spans="1:59">
      <c r="A39" s="1"/>
      <c r="B39" s="86">
        <f>B26</f>
        <v>4</v>
      </c>
      <c r="C39" s="1" t="s">
        <v>433</v>
      </c>
      <c r="D39" s="1"/>
      <c r="E39" s="1">
        <f>'vGPU Options'!D13</f>
        <v>3</v>
      </c>
      <c r="F39" s="1" t="str">
        <f>'vGPU Options'!C13</f>
        <v>M10</v>
      </c>
      <c r="G39" s="1" t="s">
        <v>441</v>
      </c>
      <c r="H39" s="1"/>
      <c r="I39" s="1">
        <f>IFERROR('vGPU Options'!E13,"")</f>
        <v>384</v>
      </c>
      <c r="J39" s="1" t="s">
        <v>442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</row>
    <row r="40" spans="1:59">
      <c r="A40" s="1"/>
      <c r="B40" s="1"/>
      <c r="C40" s="1"/>
      <c r="D40" s="1"/>
      <c r="E40" s="117">
        <f>IFERROR(E39*B39,"")</f>
        <v>12</v>
      </c>
      <c r="F40" s="117"/>
      <c r="G40" s="1" t="s">
        <v>440</v>
      </c>
      <c r="H40" s="1"/>
      <c r="I40" s="1">
        <f>$J$13</f>
        <v>550</v>
      </c>
      <c r="J40" s="1" t="s">
        <v>443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</row>
    <row r="41" spans="1:5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</row>
    <row r="42" spans="1:5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</row>
    <row r="43" spans="1:5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</row>
    <row r="44" spans="1:5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</row>
    <row r="45" spans="1:5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</row>
    <row r="46" spans="1:5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</row>
    <row r="47" spans="1:5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</row>
    <row r="48" spans="1:5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</row>
    <row r="49" spans="1:5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</row>
    <row r="50" spans="1:5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</row>
    <row r="51" spans="1:5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</row>
    <row r="52" spans="1:5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</row>
    <row r="53" spans="1:5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</row>
    <row r="54" spans="1:5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</row>
    <row r="55" spans="1:5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</row>
    <row r="56" spans="1:59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</row>
    <row r="57" spans="1:5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</row>
    <row r="58" spans="1:5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</row>
    <row r="59" spans="1:5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</row>
    <row r="60" spans="1:5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</row>
    <row r="61" spans="1:5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</row>
    <row r="62" spans="1:5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</row>
    <row r="63" spans="1:5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</row>
    <row r="64" spans="1:5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</row>
    <row r="65" spans="1:5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5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</sheetData>
  <mergeCells count="7">
    <mergeCell ref="M13:N13"/>
    <mergeCell ref="D13:E13"/>
    <mergeCell ref="G13:H13"/>
    <mergeCell ref="J13:K13"/>
    <mergeCell ref="E40:F40"/>
    <mergeCell ref="E36:F36"/>
    <mergeCell ref="E32:F3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2C58-4CD4-4B1E-B488-FBFB77E46689}">
  <sheetPr codeName="Sheet6">
    <tabColor theme="4"/>
  </sheetPr>
  <dimension ref="A1:BS178"/>
  <sheetViews>
    <sheetView zoomScaleNormal="100" workbookViewId="0">
      <selection activeCell="D22" sqref="D22"/>
    </sheetView>
  </sheetViews>
  <sheetFormatPr defaultColWidth="8.90625" defaultRowHeight="14.5"/>
  <cols>
    <col min="1" max="1" width="20.54296875" style="11" bestFit="1" customWidth="1"/>
    <col min="2" max="2" width="15.1796875" style="11" customWidth="1"/>
    <col min="3" max="3" width="14.26953125" style="11" customWidth="1"/>
    <col min="4" max="4" width="10.6328125" style="11" customWidth="1"/>
    <col min="5" max="5" width="15.36328125" style="11" customWidth="1"/>
    <col min="6" max="6" width="14.81640625" style="11" customWidth="1"/>
    <col min="7" max="8" width="15.453125" style="11" customWidth="1"/>
    <col min="9" max="9" width="18.54296875" style="11" customWidth="1"/>
    <col min="10" max="10" width="25.26953125" style="11" customWidth="1"/>
    <col min="11" max="11" width="24.36328125" style="11" customWidth="1"/>
    <col min="12" max="12" width="28.54296875" style="11" customWidth="1"/>
    <col min="13" max="13" width="17.6328125" style="11" bestFit="1" customWidth="1"/>
    <col min="14" max="14" width="16.36328125" style="11" customWidth="1"/>
    <col min="15" max="15" width="12.90625" style="11" bestFit="1" customWidth="1"/>
    <col min="16" max="16" width="19.7265625" style="11" bestFit="1" customWidth="1"/>
    <col min="17" max="16384" width="8.90625" style="11"/>
  </cols>
  <sheetData>
    <row r="1" spans="1:71" ht="29">
      <c r="A1" s="24" t="s">
        <v>59</v>
      </c>
      <c r="B1" s="24" t="s">
        <v>60</v>
      </c>
      <c r="C1" s="24" t="s">
        <v>61</v>
      </c>
      <c r="D1" s="24" t="s">
        <v>2</v>
      </c>
      <c r="E1" s="24" t="s">
        <v>62</v>
      </c>
      <c r="F1" s="24" t="s">
        <v>63</v>
      </c>
      <c r="G1" s="24" t="s">
        <v>64</v>
      </c>
      <c r="H1" s="24" t="s">
        <v>65</v>
      </c>
      <c r="I1" s="24" t="s">
        <v>66</v>
      </c>
      <c r="J1" s="29" t="s">
        <v>67</v>
      </c>
      <c r="K1" s="29" t="s">
        <v>92</v>
      </c>
      <c r="L1" s="24" t="s">
        <v>68</v>
      </c>
      <c r="M1" s="29" t="s">
        <v>93</v>
      </c>
      <c r="N1" s="29" t="s">
        <v>94</v>
      </c>
      <c r="O1" s="24" t="s">
        <v>69</v>
      </c>
      <c r="P1" s="25" t="s">
        <v>70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</row>
    <row r="2" spans="1:71">
      <c r="A2" s="11" t="s">
        <v>71</v>
      </c>
      <c r="B2" s="11" t="s">
        <v>72</v>
      </c>
      <c r="C2" s="11">
        <v>512</v>
      </c>
      <c r="D2" s="11">
        <v>12</v>
      </c>
      <c r="E2" s="11">
        <f t="shared" ref="E2:E10" si="0">C2*D2</f>
        <v>6144</v>
      </c>
      <c r="F2" s="26">
        <v>28299</v>
      </c>
      <c r="G2" s="26">
        <f t="shared" ref="G2:G10" si="1">F2*D2</f>
        <v>339588</v>
      </c>
      <c r="H2" s="26">
        <f t="shared" ref="H2:H10" si="2">G2/E2</f>
        <v>55.271484375</v>
      </c>
      <c r="I2" s="11" t="s">
        <v>73</v>
      </c>
      <c r="J2" s="11" t="s">
        <v>74</v>
      </c>
      <c r="K2" s="11">
        <v>64</v>
      </c>
      <c r="L2" s="11">
        <v>12</v>
      </c>
      <c r="M2" s="26">
        <f>F5</f>
        <v>1709</v>
      </c>
      <c r="N2" s="26">
        <f>M2*L2</f>
        <v>20508</v>
      </c>
      <c r="O2" s="26">
        <f>G2+N2</f>
        <v>360096</v>
      </c>
      <c r="P2" s="12">
        <f>O2/E2</f>
        <v>58.609375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</row>
    <row r="3" spans="1:71">
      <c r="A3" s="11" t="s">
        <v>75</v>
      </c>
      <c r="B3" s="27" t="s">
        <v>72</v>
      </c>
      <c r="C3" s="11">
        <v>256</v>
      </c>
      <c r="D3" s="11">
        <v>12</v>
      </c>
      <c r="E3" s="11">
        <f t="shared" si="0"/>
        <v>3072</v>
      </c>
      <c r="F3" s="26">
        <v>9299</v>
      </c>
      <c r="G3" s="26">
        <f t="shared" si="1"/>
        <v>111588</v>
      </c>
      <c r="H3" s="26">
        <f t="shared" si="2"/>
        <v>36.32421875</v>
      </c>
      <c r="I3" s="11" t="s">
        <v>76</v>
      </c>
      <c r="J3" s="11" t="s">
        <v>74</v>
      </c>
      <c r="K3" s="11">
        <v>32</v>
      </c>
      <c r="L3" s="11">
        <v>12</v>
      </c>
      <c r="M3" s="26">
        <f>F6</f>
        <v>899</v>
      </c>
      <c r="N3" s="26">
        <f>M3*L3</f>
        <v>10788</v>
      </c>
      <c r="O3" s="26">
        <f>G3+N3</f>
        <v>122376</v>
      </c>
      <c r="P3" s="12">
        <f t="shared" ref="P3:P10" si="3">O3/E3</f>
        <v>39.8359375</v>
      </c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</row>
    <row r="4" spans="1:71">
      <c r="A4" s="11" t="s">
        <v>77</v>
      </c>
      <c r="B4" s="11" t="s">
        <v>72</v>
      </c>
      <c r="C4" s="11">
        <v>128</v>
      </c>
      <c r="D4" s="11">
        <v>12</v>
      </c>
      <c r="E4" s="11">
        <f t="shared" si="0"/>
        <v>1536</v>
      </c>
      <c r="F4" s="26">
        <v>2499</v>
      </c>
      <c r="G4" s="26">
        <f t="shared" si="1"/>
        <v>29988</v>
      </c>
      <c r="H4" s="26">
        <f t="shared" si="2"/>
        <v>19.5234375</v>
      </c>
      <c r="I4" s="11" t="s">
        <v>78</v>
      </c>
      <c r="J4" s="11" t="s">
        <v>74</v>
      </c>
      <c r="K4" s="11">
        <v>16</v>
      </c>
      <c r="L4" s="11">
        <v>12</v>
      </c>
      <c r="M4" s="26">
        <f>F7</f>
        <v>479</v>
      </c>
      <c r="N4" s="26">
        <f>M4*L4</f>
        <v>5748</v>
      </c>
      <c r="O4" s="26">
        <f>G4+N4</f>
        <v>35736</v>
      </c>
      <c r="P4" s="12">
        <f t="shared" si="3"/>
        <v>23.265625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</row>
    <row r="5" spans="1:71">
      <c r="A5" s="11" t="s">
        <v>79</v>
      </c>
      <c r="B5" s="11" t="s">
        <v>74</v>
      </c>
      <c r="C5" s="11">
        <v>64</v>
      </c>
      <c r="D5" s="11">
        <v>24</v>
      </c>
      <c r="E5" s="11">
        <f t="shared" si="0"/>
        <v>1536</v>
      </c>
      <c r="F5" s="26">
        <v>1709</v>
      </c>
      <c r="G5" s="26">
        <f t="shared" si="1"/>
        <v>41016</v>
      </c>
      <c r="H5" s="26">
        <f t="shared" si="2"/>
        <v>26.703125</v>
      </c>
      <c r="I5" s="11" t="s">
        <v>78</v>
      </c>
      <c r="J5" s="11" t="s">
        <v>78</v>
      </c>
      <c r="K5" s="11" t="s">
        <v>78</v>
      </c>
      <c r="L5" s="11" t="s">
        <v>78</v>
      </c>
      <c r="M5" s="11" t="s">
        <v>78</v>
      </c>
      <c r="N5" s="11" t="s">
        <v>78</v>
      </c>
      <c r="O5" s="26">
        <f t="shared" ref="O5:O10" si="4">G5</f>
        <v>41016</v>
      </c>
      <c r="P5" s="12">
        <f t="shared" si="3"/>
        <v>26.703125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</row>
    <row r="6" spans="1:71">
      <c r="A6" s="11" t="s">
        <v>80</v>
      </c>
      <c r="B6" s="11" t="s">
        <v>74</v>
      </c>
      <c r="C6" s="11">
        <v>32</v>
      </c>
      <c r="D6" s="11">
        <v>24</v>
      </c>
      <c r="E6" s="11">
        <f t="shared" si="0"/>
        <v>768</v>
      </c>
      <c r="F6" s="26">
        <v>899</v>
      </c>
      <c r="G6" s="26">
        <f t="shared" si="1"/>
        <v>21576</v>
      </c>
      <c r="H6" s="26">
        <f t="shared" si="2"/>
        <v>28.09375</v>
      </c>
      <c r="I6" s="11" t="s">
        <v>78</v>
      </c>
      <c r="J6" s="11" t="s">
        <v>78</v>
      </c>
      <c r="K6" s="11" t="s">
        <v>78</v>
      </c>
      <c r="L6" s="11" t="s">
        <v>78</v>
      </c>
      <c r="M6" s="11" t="s">
        <v>78</v>
      </c>
      <c r="N6" s="11" t="s">
        <v>78</v>
      </c>
      <c r="O6" s="26">
        <f t="shared" si="4"/>
        <v>21576</v>
      </c>
      <c r="P6" s="12">
        <f t="shared" si="3"/>
        <v>28.09375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</row>
    <row r="7" spans="1:71">
      <c r="A7" s="11" t="s">
        <v>81</v>
      </c>
      <c r="B7" s="11" t="s">
        <v>74</v>
      </c>
      <c r="C7" s="11">
        <v>16</v>
      </c>
      <c r="D7" s="11">
        <v>24</v>
      </c>
      <c r="E7" s="11">
        <f t="shared" si="0"/>
        <v>384</v>
      </c>
      <c r="F7" s="26">
        <v>479</v>
      </c>
      <c r="G7" s="26">
        <f t="shared" si="1"/>
        <v>11496</v>
      </c>
      <c r="H7" s="26">
        <f t="shared" si="2"/>
        <v>29.9375</v>
      </c>
      <c r="I7" s="11" t="s">
        <v>78</v>
      </c>
      <c r="J7" s="11" t="s">
        <v>78</v>
      </c>
      <c r="K7" s="11" t="s">
        <v>78</v>
      </c>
      <c r="L7" s="11" t="s">
        <v>78</v>
      </c>
      <c r="M7" s="11" t="s">
        <v>78</v>
      </c>
      <c r="N7" s="11" t="s">
        <v>78</v>
      </c>
      <c r="O7" s="26">
        <f t="shared" si="4"/>
        <v>11496</v>
      </c>
      <c r="P7" s="12">
        <f t="shared" si="3"/>
        <v>29.9375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</row>
    <row r="8" spans="1:71">
      <c r="A8" s="11" t="s">
        <v>82</v>
      </c>
      <c r="B8" s="11" t="s">
        <v>83</v>
      </c>
      <c r="C8" s="11">
        <v>128</v>
      </c>
      <c r="D8" s="11">
        <v>24</v>
      </c>
      <c r="E8" s="11">
        <f t="shared" si="0"/>
        <v>3072</v>
      </c>
      <c r="F8" s="26">
        <v>4239</v>
      </c>
      <c r="G8" s="26">
        <f t="shared" si="1"/>
        <v>101736</v>
      </c>
      <c r="H8" s="26">
        <f t="shared" si="2"/>
        <v>33.1171875</v>
      </c>
      <c r="I8" s="11" t="s">
        <v>76</v>
      </c>
      <c r="J8" s="11" t="s">
        <v>78</v>
      </c>
      <c r="K8" s="11" t="s">
        <v>78</v>
      </c>
      <c r="L8" s="11" t="s">
        <v>78</v>
      </c>
      <c r="M8" s="11" t="s">
        <v>78</v>
      </c>
      <c r="N8" s="11" t="s">
        <v>78</v>
      </c>
      <c r="O8" s="26">
        <f t="shared" si="4"/>
        <v>101736</v>
      </c>
      <c r="P8" s="12">
        <f t="shared" si="3"/>
        <v>33.1171875</v>
      </c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</row>
    <row r="9" spans="1:71">
      <c r="A9" s="11" t="s">
        <v>84</v>
      </c>
      <c r="B9" s="11" t="s">
        <v>83</v>
      </c>
      <c r="C9" s="11">
        <v>64</v>
      </c>
      <c r="D9" s="11">
        <v>24</v>
      </c>
      <c r="E9" s="11">
        <f t="shared" si="0"/>
        <v>1536</v>
      </c>
      <c r="F9" s="26"/>
      <c r="G9" s="26">
        <f t="shared" si="1"/>
        <v>0</v>
      </c>
      <c r="H9" s="26">
        <f t="shared" si="2"/>
        <v>0</v>
      </c>
      <c r="I9" s="11" t="s">
        <v>78</v>
      </c>
      <c r="J9" s="11" t="s">
        <v>78</v>
      </c>
      <c r="K9" s="11" t="s">
        <v>78</v>
      </c>
      <c r="L9" s="11" t="s">
        <v>78</v>
      </c>
      <c r="M9" s="11" t="s">
        <v>78</v>
      </c>
      <c r="N9" s="11" t="s">
        <v>78</v>
      </c>
      <c r="O9" s="26">
        <f t="shared" si="4"/>
        <v>0</v>
      </c>
      <c r="P9" s="12">
        <f t="shared" si="3"/>
        <v>0</v>
      </c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</row>
    <row r="10" spans="1:71">
      <c r="A10" s="11" t="s">
        <v>85</v>
      </c>
      <c r="B10" s="11" t="s">
        <v>83</v>
      </c>
      <c r="C10" s="11">
        <v>32</v>
      </c>
      <c r="D10" s="11">
        <v>24</v>
      </c>
      <c r="E10" s="11">
        <f t="shared" si="0"/>
        <v>768</v>
      </c>
      <c r="F10" s="26"/>
      <c r="G10" s="26">
        <f t="shared" si="1"/>
        <v>0</v>
      </c>
      <c r="H10" s="26">
        <f t="shared" si="2"/>
        <v>0</v>
      </c>
      <c r="I10" s="11" t="s">
        <v>78</v>
      </c>
      <c r="J10" s="11" t="s">
        <v>78</v>
      </c>
      <c r="K10" s="11" t="s">
        <v>78</v>
      </c>
      <c r="L10" s="11" t="s">
        <v>78</v>
      </c>
      <c r="M10" s="11" t="s">
        <v>78</v>
      </c>
      <c r="N10" s="11" t="s">
        <v>78</v>
      </c>
      <c r="O10" s="26">
        <f t="shared" si="4"/>
        <v>0</v>
      </c>
      <c r="P10" s="12">
        <f t="shared" si="3"/>
        <v>0</v>
      </c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</row>
    <row r="11" spans="1:7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</row>
    <row r="12" spans="1:71">
      <c r="A12" s="10"/>
      <c r="B12" s="10"/>
      <c r="C12" s="10"/>
      <c r="D12" s="10"/>
      <c r="E12" s="10"/>
      <c r="F12" s="10"/>
      <c r="G12" s="10"/>
      <c r="H12" s="15" t="s">
        <v>140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</row>
    <row r="13" spans="1:71">
      <c r="A13" s="10"/>
      <c r="B13" s="10"/>
      <c r="C13" s="10"/>
      <c r="D13" s="10"/>
      <c r="E13" s="10"/>
      <c r="F13" s="10"/>
      <c r="G13" s="10"/>
      <c r="H13" s="15" t="s">
        <v>86</v>
      </c>
      <c r="I13" s="28">
        <f>F6*12</f>
        <v>10788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</row>
    <row r="14" spans="1:71">
      <c r="A14" s="10"/>
      <c r="B14" s="10"/>
      <c r="C14" s="10"/>
      <c r="D14" s="10"/>
      <c r="E14" s="10"/>
      <c r="F14" s="10"/>
      <c r="G14" s="10"/>
      <c r="H14" s="15" t="s">
        <v>87</v>
      </c>
      <c r="I14" s="28">
        <f>F4*12</f>
        <v>29988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</row>
    <row r="15" spans="1:71">
      <c r="A15" s="10"/>
      <c r="B15" s="10"/>
      <c r="C15" s="10"/>
      <c r="D15" s="10"/>
      <c r="E15" s="10"/>
      <c r="F15" s="10"/>
      <c r="G15" s="10"/>
      <c r="H15" s="15" t="s">
        <v>39</v>
      </c>
      <c r="I15" s="28">
        <f>SUM(I13:I14)</f>
        <v>40776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</row>
    <row r="16" spans="1:71">
      <c r="A16" s="10"/>
      <c r="B16" s="10"/>
      <c r="C16" s="10"/>
      <c r="D16" s="10"/>
      <c r="E16" s="10"/>
      <c r="F16" s="10"/>
      <c r="G16" s="10"/>
      <c r="H16" s="15" t="s">
        <v>88</v>
      </c>
      <c r="I16" s="10">
        <v>1536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</row>
    <row r="17" spans="1:71">
      <c r="A17" s="10"/>
      <c r="B17" s="10"/>
      <c r="C17" s="10"/>
      <c r="D17" s="10"/>
      <c r="E17" s="10"/>
      <c r="F17" s="10"/>
      <c r="G17" s="10"/>
      <c r="H17" s="15" t="s">
        <v>65</v>
      </c>
      <c r="I17" s="28">
        <f>I15/I16</f>
        <v>26.546875</v>
      </c>
      <c r="J17" s="10" t="s">
        <v>141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</row>
    <row r="18" spans="1:7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</row>
    <row r="19" spans="1:7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</row>
    <row r="20" spans="1:71">
      <c r="A20" s="10"/>
      <c r="B20" s="10"/>
      <c r="C20" s="10"/>
      <c r="D20" s="10">
        <f>12*899</f>
        <v>10788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</row>
    <row r="21" spans="1:71">
      <c r="A21" s="10"/>
      <c r="B21" s="10"/>
      <c r="C21" s="10"/>
      <c r="D21" s="10">
        <f>10788*4</f>
        <v>43152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</row>
    <row r="22" spans="1:7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</row>
    <row r="23" spans="1:7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</row>
    <row r="24" spans="1:7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</row>
    <row r="25" spans="1:7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</row>
    <row r="26" spans="1:7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</row>
    <row r="27" spans="1:7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</row>
    <row r="28" spans="1:7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</row>
    <row r="29" spans="1:7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</row>
    <row r="30" spans="1:7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</row>
    <row r="31" spans="1:7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</row>
    <row r="32" spans="1:7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</row>
    <row r="33" spans="1:7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</row>
    <row r="34" spans="1:7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</row>
    <row r="35" spans="1:7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</row>
    <row r="36" spans="1:7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</row>
    <row r="37" spans="1:7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</row>
    <row r="38" spans="1:7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</row>
    <row r="39" spans="1:7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</row>
    <row r="40" spans="1:7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</row>
    <row r="41" spans="1:7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7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</row>
    <row r="43" spans="1:7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</row>
    <row r="44" spans="1:7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</row>
    <row r="45" spans="1:7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</row>
    <row r="46" spans="1:7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</row>
    <row r="47" spans="1:7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</row>
    <row r="48" spans="1:7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</row>
    <row r="49" spans="1:7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</row>
    <row r="50" spans="1:7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</row>
    <row r="51" spans="1:7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</row>
    <row r="52" spans="1:7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</row>
    <row r="53" spans="1:7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</row>
    <row r="54" spans="1:7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</row>
    <row r="55" spans="1:7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</row>
    <row r="56" spans="1:7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</row>
    <row r="57" spans="1:7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</row>
    <row r="58" spans="1:7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</row>
    <row r="59" spans="1:7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</row>
    <row r="60" spans="1:7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</row>
    <row r="61" spans="1:7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</row>
    <row r="62" spans="1:7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</row>
    <row r="63" spans="1:7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</row>
    <row r="64" spans="1:7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</row>
    <row r="65" spans="1:7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</row>
    <row r="66" spans="1:7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</row>
    <row r="67" spans="1:7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</row>
    <row r="68" spans="1:7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</row>
    <row r="69" spans="1:7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</row>
    <row r="70" spans="1:7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</row>
    <row r="71" spans="1:7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</row>
    <row r="72" spans="1:7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</row>
    <row r="73" spans="1:7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</row>
    <row r="74" spans="1:7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</row>
    <row r="75" spans="1:7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</row>
    <row r="76" spans="1:7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</row>
    <row r="77" spans="1:7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</row>
    <row r="78" spans="1:7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</row>
    <row r="79" spans="1:7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</row>
    <row r="80" spans="1:7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</row>
    <row r="81" spans="1:7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</row>
    <row r="82" spans="1:7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</row>
    <row r="83" spans="1:7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</row>
    <row r="84" spans="1:7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</row>
    <row r="85" spans="1:7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</row>
    <row r="86" spans="1:7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</row>
    <row r="87" spans="1:7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</row>
    <row r="88" spans="1:7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</row>
    <row r="89" spans="1:7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</row>
    <row r="90" spans="1:7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</row>
    <row r="91" spans="1:7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</row>
    <row r="92" spans="1:7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</row>
    <row r="93" spans="1:7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</row>
    <row r="94" spans="1:7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</row>
    <row r="95" spans="1:7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</row>
    <row r="96" spans="1:7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</row>
    <row r="97" spans="1:7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</row>
    <row r="98" spans="1:7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</row>
    <row r="99" spans="1:7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</row>
    <row r="100" spans="1:7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</row>
    <row r="101" spans="1:7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</row>
    <row r="102" spans="1:7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</row>
    <row r="103" spans="1:7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</row>
    <row r="104" spans="1:7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</row>
    <row r="105" spans="1:7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</row>
    <row r="106" spans="1:7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</row>
    <row r="107" spans="1:7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</row>
    <row r="108" spans="1:7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</row>
    <row r="109" spans="1:7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</row>
    <row r="110" spans="1:71">
      <c r="A110" s="10"/>
      <c r="B110" s="10"/>
      <c r="C110" s="10"/>
      <c r="D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</row>
    <row r="111" spans="1:71">
      <c r="A111" s="10"/>
      <c r="B111" s="10"/>
      <c r="C111" s="10"/>
      <c r="D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</row>
    <row r="112" spans="1:71">
      <c r="A112" s="10"/>
      <c r="B112" s="10"/>
      <c r="C112" s="10"/>
      <c r="D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</row>
    <row r="113" spans="1:71">
      <c r="A113" s="10"/>
      <c r="B113" s="10"/>
      <c r="C113" s="10"/>
      <c r="D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</row>
    <row r="114" spans="1:71">
      <c r="A114" s="10"/>
      <c r="B114" s="10"/>
      <c r="C114" s="10"/>
      <c r="D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</row>
    <row r="115" spans="1:71">
      <c r="A115" s="10"/>
      <c r="B115" s="10"/>
      <c r="C115" s="10"/>
      <c r="D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</row>
    <row r="116" spans="1:71">
      <c r="A116" s="10"/>
      <c r="B116" s="10"/>
      <c r="C116" s="10"/>
      <c r="D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</row>
    <row r="117" spans="1:71">
      <c r="A117" s="10"/>
      <c r="B117" s="10"/>
      <c r="C117" s="10"/>
      <c r="D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</row>
    <row r="118" spans="1:71">
      <c r="A118" s="10"/>
      <c r="B118" s="10"/>
      <c r="C118" s="10"/>
      <c r="D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</row>
    <row r="119" spans="1:71">
      <c r="A119" s="10"/>
      <c r="B119" s="10"/>
      <c r="C119" s="10"/>
      <c r="D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</row>
    <row r="120" spans="1:71">
      <c r="A120" s="10"/>
      <c r="B120" s="10"/>
      <c r="C120" s="10"/>
      <c r="D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</row>
    <row r="121" spans="1:71">
      <c r="A121" s="10"/>
      <c r="B121" s="10"/>
      <c r="C121" s="10"/>
      <c r="D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</row>
    <row r="122" spans="1:71">
      <c r="A122" s="10"/>
      <c r="B122" s="10"/>
      <c r="C122" s="10"/>
      <c r="D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</row>
    <row r="123" spans="1:71">
      <c r="A123" s="10"/>
      <c r="B123" s="10"/>
      <c r="C123" s="10"/>
      <c r="D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</row>
    <row r="124" spans="1:71">
      <c r="A124" s="10"/>
      <c r="B124" s="10"/>
      <c r="C124" s="10"/>
      <c r="D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</row>
    <row r="125" spans="1:71">
      <c r="A125" s="10"/>
      <c r="B125" s="10"/>
      <c r="C125" s="10"/>
      <c r="D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</row>
    <row r="126" spans="1:71">
      <c r="A126" s="10"/>
      <c r="B126" s="10"/>
      <c r="C126" s="10"/>
      <c r="D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</row>
    <row r="127" spans="1:71">
      <c r="A127" s="10"/>
      <c r="B127" s="10"/>
      <c r="C127" s="10"/>
      <c r="D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</row>
    <row r="128" spans="1:71">
      <c r="A128" s="10"/>
      <c r="B128" s="10"/>
      <c r="C128" s="10"/>
      <c r="D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</row>
    <row r="129" spans="16:71"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</row>
    <row r="130" spans="16:71"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</row>
    <row r="131" spans="16:71"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</row>
    <row r="132" spans="16:71"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</row>
    <row r="133" spans="16:71"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</row>
    <row r="134" spans="16:71"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</row>
    <row r="135" spans="16:71"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</row>
    <row r="136" spans="16:71"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</row>
    <row r="137" spans="16:71"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</row>
    <row r="138" spans="16:71"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</row>
    <row r="139" spans="16:71"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</row>
    <row r="140" spans="16:71"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</row>
    <row r="141" spans="16:71"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</row>
    <row r="142" spans="16:71"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</row>
    <row r="143" spans="16:71"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</row>
    <row r="144" spans="16:71"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</row>
    <row r="145" spans="16:71"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</row>
    <row r="146" spans="16:71"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</row>
    <row r="147" spans="16:71"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</row>
    <row r="148" spans="16:71"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</row>
    <row r="149" spans="16:71"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</row>
    <row r="150" spans="16:71"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</row>
    <row r="151" spans="16:71"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</row>
    <row r="152" spans="16:71"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</row>
    <row r="153" spans="16:71"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</row>
    <row r="154" spans="16:71"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</row>
    <row r="155" spans="16:71"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</row>
    <row r="156" spans="16:71"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</row>
    <row r="157" spans="16:71"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</row>
    <row r="158" spans="16:71"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</row>
    <row r="159" spans="16:71"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</row>
    <row r="160" spans="16:71"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</row>
    <row r="161" spans="16:71"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</row>
    <row r="162" spans="16:71"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</row>
    <row r="163" spans="16:71"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</row>
    <row r="164" spans="16:71"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</row>
    <row r="165" spans="16:71"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</row>
    <row r="166" spans="16:71"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</row>
    <row r="167" spans="16:71"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</row>
    <row r="168" spans="16:71"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</row>
    <row r="169" spans="16:71"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</row>
    <row r="170" spans="16:71"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</row>
    <row r="171" spans="16:71"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</row>
    <row r="172" spans="16:71"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</row>
    <row r="173" spans="16:71"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</row>
    <row r="174" spans="16:71"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</row>
    <row r="175" spans="16:71"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</row>
    <row r="176" spans="16:71"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</row>
    <row r="177" spans="16:71"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</row>
    <row r="178" spans="16:71"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</row>
  </sheetData>
  <conditionalFormatting sqref="P2:P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6EC20-7FC0-4FBC-BF64-8EC41BBB7D26}">
  <sheetPr codeName="Sheet9">
    <tabColor theme="4"/>
  </sheetPr>
  <dimension ref="A1:J74"/>
  <sheetViews>
    <sheetView workbookViewId="0">
      <selection activeCell="A8" sqref="A8"/>
    </sheetView>
  </sheetViews>
  <sheetFormatPr defaultRowHeight="14.5"/>
  <cols>
    <col min="1" max="1" width="33.54296875" bestFit="1" customWidth="1"/>
    <col min="2" max="2" width="8.81640625" bestFit="1" customWidth="1"/>
    <col min="3" max="3" width="13.453125" bestFit="1" customWidth="1"/>
    <col min="4" max="4" width="11.453125" bestFit="1" customWidth="1"/>
    <col min="5" max="5" width="21.453125" bestFit="1" customWidth="1"/>
    <col min="6" max="6" width="25" bestFit="1" customWidth="1"/>
    <col min="7" max="7" width="23.90625" bestFit="1" customWidth="1"/>
    <col min="8" max="8" width="20.6328125" bestFit="1" customWidth="1"/>
    <col min="9" max="9" width="29.1796875" bestFit="1" customWidth="1"/>
    <col min="10" max="10" width="19.7265625" bestFit="1" customWidth="1"/>
  </cols>
  <sheetData>
    <row r="1" spans="1:10">
      <c r="A1" t="s">
        <v>177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414</v>
      </c>
      <c r="I1" t="s">
        <v>415</v>
      </c>
      <c r="J1" t="s">
        <v>184</v>
      </c>
    </row>
    <row r="2" spans="1:10">
      <c r="A2" s="35" t="s">
        <v>185</v>
      </c>
      <c r="B2" s="35" t="s">
        <v>186</v>
      </c>
      <c r="C2" s="35" t="s">
        <v>187</v>
      </c>
      <c r="D2">
        <v>56</v>
      </c>
      <c r="E2" s="35" t="s">
        <v>188</v>
      </c>
      <c r="F2" s="35" t="s">
        <v>189</v>
      </c>
      <c r="G2" s="35" t="s">
        <v>190</v>
      </c>
      <c r="H2" s="35"/>
      <c r="I2" s="35"/>
      <c r="J2" s="35" t="s">
        <v>191</v>
      </c>
    </row>
    <row r="3" spans="1:10">
      <c r="A3" s="35" t="s">
        <v>192</v>
      </c>
      <c r="B3" s="35" t="s">
        <v>186</v>
      </c>
      <c r="C3" s="35" t="s">
        <v>187</v>
      </c>
      <c r="D3">
        <v>48</v>
      </c>
      <c r="E3" s="35" t="s">
        <v>188</v>
      </c>
      <c r="F3" s="35" t="s">
        <v>193</v>
      </c>
      <c r="G3" s="35" t="s">
        <v>194</v>
      </c>
      <c r="H3" s="35"/>
      <c r="I3" s="35"/>
      <c r="J3" s="35" t="s">
        <v>191</v>
      </c>
    </row>
    <row r="4" spans="1:10">
      <c r="A4" s="35" t="s">
        <v>195</v>
      </c>
      <c r="B4" s="35" t="s">
        <v>186</v>
      </c>
      <c r="C4" s="35" t="s">
        <v>196</v>
      </c>
      <c r="D4">
        <v>32</v>
      </c>
      <c r="E4" s="35" t="s">
        <v>197</v>
      </c>
      <c r="F4" s="35" t="s">
        <v>193</v>
      </c>
      <c r="G4" s="35" t="s">
        <v>198</v>
      </c>
      <c r="H4" s="35"/>
      <c r="I4" s="35"/>
      <c r="J4" s="35" t="s">
        <v>191</v>
      </c>
    </row>
    <row r="5" spans="1:10">
      <c r="A5" s="35" t="s">
        <v>199</v>
      </c>
      <c r="B5" s="35" t="s">
        <v>186</v>
      </c>
      <c r="C5" s="35" t="s">
        <v>196</v>
      </c>
      <c r="D5">
        <v>32</v>
      </c>
      <c r="E5" s="35" t="s">
        <v>197</v>
      </c>
      <c r="F5" s="35" t="s">
        <v>193</v>
      </c>
      <c r="G5" s="35" t="s">
        <v>198</v>
      </c>
      <c r="H5" s="35"/>
      <c r="I5" s="35"/>
      <c r="J5" s="35" t="s">
        <v>191</v>
      </c>
    </row>
    <row r="6" spans="1:10">
      <c r="A6" s="35" t="s">
        <v>203</v>
      </c>
      <c r="B6" s="35" t="s">
        <v>186</v>
      </c>
      <c r="C6" s="35" t="s">
        <v>187</v>
      </c>
      <c r="D6">
        <v>28</v>
      </c>
      <c r="E6" s="35" t="s">
        <v>200</v>
      </c>
      <c r="F6" s="35" t="s">
        <v>201</v>
      </c>
      <c r="G6" s="35" t="s">
        <v>202</v>
      </c>
      <c r="H6" s="35"/>
      <c r="I6" s="35"/>
      <c r="J6" s="35" t="s">
        <v>191</v>
      </c>
    </row>
    <row r="7" spans="1:10">
      <c r="A7" s="35" t="s">
        <v>204</v>
      </c>
      <c r="B7" s="35" t="s">
        <v>186</v>
      </c>
      <c r="C7" s="35" t="s">
        <v>187</v>
      </c>
      <c r="D7">
        <v>28</v>
      </c>
      <c r="E7" s="35" t="s">
        <v>200</v>
      </c>
      <c r="F7" s="35" t="s">
        <v>201</v>
      </c>
      <c r="G7" s="35" t="s">
        <v>202</v>
      </c>
      <c r="H7" s="35"/>
      <c r="I7" s="35"/>
      <c r="J7" s="35" t="s">
        <v>191</v>
      </c>
    </row>
    <row r="8" spans="1:10">
      <c r="A8" s="35" t="s">
        <v>206</v>
      </c>
      <c r="B8" s="35" t="s">
        <v>186</v>
      </c>
      <c r="C8" s="35" t="s">
        <v>187</v>
      </c>
      <c r="D8">
        <v>28</v>
      </c>
      <c r="E8" s="35" t="s">
        <v>200</v>
      </c>
      <c r="F8" s="35" t="s">
        <v>205</v>
      </c>
      <c r="G8" s="35" t="s">
        <v>202</v>
      </c>
      <c r="H8" s="35"/>
      <c r="I8" s="35"/>
      <c r="J8" s="35" t="s">
        <v>191</v>
      </c>
    </row>
    <row r="9" spans="1:10">
      <c r="A9" s="35" t="s">
        <v>207</v>
      </c>
      <c r="B9" s="35" t="s">
        <v>186</v>
      </c>
      <c r="C9" s="35" t="s">
        <v>187</v>
      </c>
      <c r="D9">
        <v>28</v>
      </c>
      <c r="E9" s="35" t="s">
        <v>200</v>
      </c>
      <c r="F9" s="35" t="s">
        <v>205</v>
      </c>
      <c r="G9" s="35" t="s">
        <v>202</v>
      </c>
      <c r="H9" s="35"/>
      <c r="I9" s="35"/>
      <c r="J9" s="35" t="s">
        <v>191</v>
      </c>
    </row>
    <row r="10" spans="1:10">
      <c r="A10" s="35" t="s">
        <v>208</v>
      </c>
      <c r="B10" s="35" t="s">
        <v>186</v>
      </c>
      <c r="C10" s="35" t="s">
        <v>187</v>
      </c>
      <c r="D10">
        <v>26</v>
      </c>
      <c r="E10" s="35" t="s">
        <v>200</v>
      </c>
      <c r="F10" s="35" t="s">
        <v>201</v>
      </c>
      <c r="G10" s="35" t="s">
        <v>209</v>
      </c>
      <c r="H10" s="35"/>
      <c r="I10" s="35"/>
      <c r="J10" s="35" t="s">
        <v>191</v>
      </c>
    </row>
    <row r="11" spans="1:10">
      <c r="A11" s="35" t="s">
        <v>210</v>
      </c>
      <c r="B11" s="35" t="s">
        <v>186</v>
      </c>
      <c r="C11" s="35" t="s">
        <v>187</v>
      </c>
      <c r="D11">
        <v>24</v>
      </c>
      <c r="E11" s="35" t="s">
        <v>211</v>
      </c>
      <c r="F11" s="35" t="s">
        <v>212</v>
      </c>
      <c r="G11" s="35" t="s">
        <v>209</v>
      </c>
      <c r="H11" s="35"/>
      <c r="I11" s="35"/>
      <c r="J11" s="35" t="s">
        <v>191</v>
      </c>
    </row>
    <row r="12" spans="1:10">
      <c r="A12" s="35" t="s">
        <v>213</v>
      </c>
      <c r="B12" s="35" t="s">
        <v>186</v>
      </c>
      <c r="C12" s="35" t="s">
        <v>187</v>
      </c>
      <c r="D12">
        <v>24</v>
      </c>
      <c r="E12" s="35" t="s">
        <v>211</v>
      </c>
      <c r="F12" s="35" t="s">
        <v>214</v>
      </c>
      <c r="G12" s="35" t="s">
        <v>209</v>
      </c>
      <c r="H12" s="35"/>
      <c r="I12" s="35"/>
      <c r="J12" s="35" t="s">
        <v>191</v>
      </c>
    </row>
    <row r="13" spans="1:10">
      <c r="A13" s="35" t="s">
        <v>215</v>
      </c>
      <c r="B13" s="35" t="s">
        <v>186</v>
      </c>
      <c r="C13" s="35" t="s">
        <v>187</v>
      </c>
      <c r="D13">
        <v>24</v>
      </c>
      <c r="E13" s="35" t="s">
        <v>211</v>
      </c>
      <c r="F13" s="35" t="s">
        <v>214</v>
      </c>
      <c r="G13" s="35" t="s">
        <v>209</v>
      </c>
      <c r="H13" s="35"/>
      <c r="I13" s="35"/>
      <c r="J13" s="35" t="s">
        <v>191</v>
      </c>
    </row>
    <row r="14" spans="1:10">
      <c r="A14" s="35" t="s">
        <v>216</v>
      </c>
      <c r="B14" s="35" t="s">
        <v>186</v>
      </c>
      <c r="C14" s="35" t="s">
        <v>187</v>
      </c>
      <c r="D14">
        <v>24</v>
      </c>
      <c r="E14" s="35" t="s">
        <v>211</v>
      </c>
      <c r="F14" s="35" t="s">
        <v>214</v>
      </c>
      <c r="G14" s="35" t="s">
        <v>209</v>
      </c>
      <c r="H14" s="35"/>
      <c r="I14" s="35"/>
      <c r="J14" s="35" t="s">
        <v>191</v>
      </c>
    </row>
    <row r="15" spans="1:10">
      <c r="A15" s="35" t="s">
        <v>217</v>
      </c>
      <c r="B15" s="35" t="s">
        <v>186</v>
      </c>
      <c r="C15" s="35" t="s">
        <v>187</v>
      </c>
      <c r="D15">
        <v>4</v>
      </c>
      <c r="E15" s="35" t="s">
        <v>211</v>
      </c>
      <c r="F15" s="35" t="s">
        <v>188</v>
      </c>
      <c r="G15" s="35" t="s">
        <v>218</v>
      </c>
      <c r="H15" s="35"/>
      <c r="I15" s="35"/>
      <c r="J15" s="35" t="s">
        <v>191</v>
      </c>
    </row>
    <row r="16" spans="1:10">
      <c r="A16" s="35" t="s">
        <v>219</v>
      </c>
      <c r="B16" s="35" t="s">
        <v>186</v>
      </c>
      <c r="C16" s="35" t="s">
        <v>187</v>
      </c>
      <c r="D16">
        <v>16</v>
      </c>
      <c r="E16" s="35" t="s">
        <v>220</v>
      </c>
      <c r="F16" s="35" t="s">
        <v>205</v>
      </c>
      <c r="G16" s="35" t="s">
        <v>221</v>
      </c>
      <c r="H16" s="35"/>
      <c r="I16" s="35"/>
      <c r="J16" s="35" t="s">
        <v>191</v>
      </c>
    </row>
    <row r="17" spans="1:10">
      <c r="A17" s="35" t="s">
        <v>222</v>
      </c>
      <c r="B17" s="35" t="s">
        <v>186</v>
      </c>
      <c r="C17" s="35" t="s">
        <v>187</v>
      </c>
      <c r="D17">
        <v>24</v>
      </c>
      <c r="E17" s="35" t="s">
        <v>223</v>
      </c>
      <c r="F17" s="35" t="s">
        <v>224</v>
      </c>
      <c r="G17" s="35" t="s">
        <v>225</v>
      </c>
      <c r="H17" s="35"/>
      <c r="I17" s="35"/>
      <c r="J17" s="35" t="s">
        <v>191</v>
      </c>
    </row>
    <row r="18" spans="1:10">
      <c r="A18" s="35" t="s">
        <v>226</v>
      </c>
      <c r="B18" s="35" t="s">
        <v>186</v>
      </c>
      <c r="C18" s="35" t="s">
        <v>227</v>
      </c>
      <c r="D18">
        <v>28</v>
      </c>
      <c r="E18" s="35" t="s">
        <v>200</v>
      </c>
      <c r="F18" s="35" t="s">
        <v>201</v>
      </c>
      <c r="G18" s="35" t="s">
        <v>202</v>
      </c>
      <c r="H18" s="35"/>
      <c r="I18" s="35"/>
      <c r="J18" s="35" t="s">
        <v>191</v>
      </c>
    </row>
    <row r="19" spans="1:10">
      <c r="A19" s="35" t="s">
        <v>228</v>
      </c>
      <c r="B19" s="35" t="s">
        <v>186</v>
      </c>
      <c r="C19" s="35" t="s">
        <v>227</v>
      </c>
      <c r="D19">
        <v>12</v>
      </c>
      <c r="E19" s="35" t="s">
        <v>229</v>
      </c>
      <c r="F19" s="35" t="s">
        <v>223</v>
      </c>
      <c r="G19" s="35" t="s">
        <v>225</v>
      </c>
      <c r="H19" s="35"/>
      <c r="I19" s="35"/>
      <c r="J19" s="35" t="s">
        <v>191</v>
      </c>
    </row>
    <row r="20" spans="1:10">
      <c r="A20" s="35" t="s">
        <v>230</v>
      </c>
      <c r="B20" s="35" t="s">
        <v>186</v>
      </c>
      <c r="C20" s="35" t="s">
        <v>187</v>
      </c>
      <c r="D20">
        <v>18</v>
      </c>
      <c r="E20" s="35" t="s">
        <v>200</v>
      </c>
      <c r="F20" s="35" t="s">
        <v>231</v>
      </c>
      <c r="G20" s="35" t="s">
        <v>232</v>
      </c>
      <c r="H20" s="35"/>
      <c r="I20" s="35"/>
      <c r="J20" s="35" t="s">
        <v>191</v>
      </c>
    </row>
    <row r="21" spans="1:10">
      <c r="A21" s="35" t="s">
        <v>233</v>
      </c>
      <c r="B21" s="35" t="s">
        <v>186</v>
      </c>
      <c r="C21" s="35" t="s">
        <v>187</v>
      </c>
      <c r="D21">
        <v>24</v>
      </c>
      <c r="E21" s="35" t="s">
        <v>223</v>
      </c>
      <c r="F21" s="35" t="s">
        <v>193</v>
      </c>
      <c r="G21" s="35" t="s">
        <v>209</v>
      </c>
      <c r="H21" s="35"/>
      <c r="I21" s="35"/>
      <c r="J21" s="35" t="s">
        <v>191</v>
      </c>
    </row>
    <row r="22" spans="1:10">
      <c r="A22" s="35" t="s">
        <v>234</v>
      </c>
      <c r="B22" s="35" t="s">
        <v>186</v>
      </c>
      <c r="C22" s="35" t="s">
        <v>187</v>
      </c>
      <c r="D22">
        <v>24</v>
      </c>
      <c r="E22" s="35" t="s">
        <v>197</v>
      </c>
      <c r="F22" s="35" t="s">
        <v>235</v>
      </c>
      <c r="G22" s="35" t="s">
        <v>209</v>
      </c>
      <c r="H22" s="35"/>
      <c r="I22" s="35"/>
      <c r="J22" s="35" t="s">
        <v>191</v>
      </c>
    </row>
    <row r="23" spans="1:10">
      <c r="A23" s="35" t="s">
        <v>236</v>
      </c>
      <c r="B23" s="35" t="s">
        <v>186</v>
      </c>
      <c r="C23" s="35" t="s">
        <v>227</v>
      </c>
      <c r="D23">
        <v>8</v>
      </c>
      <c r="E23" s="35" t="s">
        <v>229</v>
      </c>
      <c r="F23" s="35" t="s">
        <v>211</v>
      </c>
      <c r="G23" s="35" t="s">
        <v>209</v>
      </c>
      <c r="H23" s="35"/>
      <c r="I23" s="35"/>
      <c r="J23" s="35" t="s">
        <v>191</v>
      </c>
    </row>
    <row r="24" spans="1:10">
      <c r="A24" s="35" t="s">
        <v>237</v>
      </c>
      <c r="B24" s="35" t="s">
        <v>186</v>
      </c>
      <c r="C24" s="35" t="s">
        <v>227</v>
      </c>
      <c r="D24">
        <v>8</v>
      </c>
      <c r="E24" s="35" t="s">
        <v>229</v>
      </c>
      <c r="F24" s="35" t="s">
        <v>211</v>
      </c>
      <c r="G24" s="35" t="s">
        <v>209</v>
      </c>
      <c r="H24" s="35"/>
      <c r="I24" s="35"/>
      <c r="J24" s="35" t="s">
        <v>191</v>
      </c>
    </row>
    <row r="25" spans="1:10">
      <c r="A25" s="35" t="s">
        <v>238</v>
      </c>
      <c r="B25" s="35" t="s">
        <v>186</v>
      </c>
      <c r="C25" s="35" t="s">
        <v>227</v>
      </c>
      <c r="D25">
        <v>24</v>
      </c>
      <c r="E25" s="35" t="s">
        <v>200</v>
      </c>
      <c r="F25" s="35" t="s">
        <v>220</v>
      </c>
      <c r="G25" s="35" t="s">
        <v>209</v>
      </c>
      <c r="H25" s="35"/>
      <c r="I25" s="35"/>
      <c r="J25" s="35" t="s">
        <v>191</v>
      </c>
    </row>
    <row r="26" spans="1:10">
      <c r="A26" s="35" t="s">
        <v>239</v>
      </c>
      <c r="B26" s="35" t="s">
        <v>186</v>
      </c>
      <c r="C26" s="35" t="s">
        <v>187</v>
      </c>
      <c r="D26">
        <v>20</v>
      </c>
      <c r="E26" s="35" t="s">
        <v>211</v>
      </c>
      <c r="F26" s="35" t="s">
        <v>240</v>
      </c>
      <c r="G26" s="35" t="s">
        <v>241</v>
      </c>
      <c r="H26" s="35"/>
      <c r="I26" s="35"/>
      <c r="J26" s="35" t="s">
        <v>191</v>
      </c>
    </row>
    <row r="27" spans="1:10">
      <c r="A27" s="35" t="s">
        <v>242</v>
      </c>
      <c r="B27" s="35" t="s">
        <v>186</v>
      </c>
      <c r="C27" s="35" t="s">
        <v>227</v>
      </c>
      <c r="D27">
        <v>16</v>
      </c>
      <c r="E27" s="35" t="s">
        <v>243</v>
      </c>
      <c r="F27" s="35" t="s">
        <v>244</v>
      </c>
      <c r="G27" s="35" t="s">
        <v>209</v>
      </c>
      <c r="H27" s="35"/>
      <c r="I27" s="35"/>
      <c r="J27" s="35" t="s">
        <v>191</v>
      </c>
    </row>
    <row r="28" spans="1:10">
      <c r="A28" s="35" t="s">
        <v>245</v>
      </c>
      <c r="B28" s="35" t="s">
        <v>186</v>
      </c>
      <c r="C28" s="35" t="s">
        <v>187</v>
      </c>
      <c r="D28">
        <v>12</v>
      </c>
      <c r="E28" s="35" t="s">
        <v>246</v>
      </c>
      <c r="F28" s="35" t="s">
        <v>247</v>
      </c>
      <c r="G28" s="35" t="s">
        <v>232</v>
      </c>
      <c r="H28" s="35"/>
      <c r="I28" s="35"/>
      <c r="J28" s="35" t="s">
        <v>191</v>
      </c>
    </row>
    <row r="29" spans="1:10">
      <c r="A29" s="35" t="s">
        <v>248</v>
      </c>
      <c r="B29" s="35" t="s">
        <v>186</v>
      </c>
      <c r="C29" s="35" t="s">
        <v>187</v>
      </c>
      <c r="D29">
        <v>8</v>
      </c>
      <c r="E29" s="35" t="s">
        <v>249</v>
      </c>
      <c r="F29" s="35" t="s">
        <v>223</v>
      </c>
      <c r="G29" s="35" t="s">
        <v>232</v>
      </c>
      <c r="H29" s="35"/>
      <c r="I29" s="35"/>
      <c r="J29" s="35" t="s">
        <v>191</v>
      </c>
    </row>
    <row r="30" spans="1:10">
      <c r="A30" s="35" t="s">
        <v>250</v>
      </c>
      <c r="B30" s="35" t="s">
        <v>186</v>
      </c>
      <c r="C30" s="35" t="s">
        <v>227</v>
      </c>
      <c r="D30">
        <v>20</v>
      </c>
      <c r="E30" s="35" t="s">
        <v>243</v>
      </c>
      <c r="F30" s="35" t="s">
        <v>231</v>
      </c>
      <c r="G30" s="35" t="s">
        <v>209</v>
      </c>
      <c r="H30" s="35"/>
      <c r="I30" s="35"/>
      <c r="J30" s="35" t="s">
        <v>191</v>
      </c>
    </row>
    <row r="31" spans="1:10">
      <c r="A31" s="35" t="s">
        <v>251</v>
      </c>
      <c r="B31" s="35" t="s">
        <v>186</v>
      </c>
      <c r="C31" s="35" t="s">
        <v>187</v>
      </c>
      <c r="D31">
        <v>16</v>
      </c>
      <c r="E31" s="35" t="s">
        <v>211</v>
      </c>
      <c r="F31" s="35" t="s">
        <v>252</v>
      </c>
      <c r="G31" s="35" t="s">
        <v>221</v>
      </c>
      <c r="H31" s="35"/>
      <c r="I31" s="35"/>
      <c r="J31" s="35" t="s">
        <v>191</v>
      </c>
    </row>
    <row r="32" spans="1:10">
      <c r="A32" s="35" t="s">
        <v>253</v>
      </c>
      <c r="B32" s="35" t="s">
        <v>186</v>
      </c>
      <c r="C32" s="35" t="s">
        <v>187</v>
      </c>
      <c r="D32">
        <v>18</v>
      </c>
      <c r="E32" s="35" t="s">
        <v>211</v>
      </c>
      <c r="F32" s="35" t="s">
        <v>189</v>
      </c>
      <c r="G32" s="35" t="s">
        <v>232</v>
      </c>
      <c r="H32" s="35"/>
      <c r="I32" s="35"/>
      <c r="J32" s="35" t="s">
        <v>191</v>
      </c>
    </row>
    <row r="33" spans="1:10">
      <c r="A33" s="35" t="s">
        <v>254</v>
      </c>
      <c r="B33" s="35" t="s">
        <v>186</v>
      </c>
      <c r="C33" s="35" t="s">
        <v>227</v>
      </c>
      <c r="D33">
        <v>24</v>
      </c>
      <c r="E33" s="35" t="s">
        <v>200</v>
      </c>
      <c r="F33" s="35" t="s">
        <v>214</v>
      </c>
      <c r="G33" s="35" t="s">
        <v>209</v>
      </c>
      <c r="H33" s="35"/>
      <c r="I33" s="35"/>
      <c r="J33" s="35" t="s">
        <v>191</v>
      </c>
    </row>
    <row r="34" spans="1:10">
      <c r="A34" s="35" t="s">
        <v>255</v>
      </c>
      <c r="B34" s="35" t="s">
        <v>186</v>
      </c>
      <c r="C34" s="35" t="s">
        <v>187</v>
      </c>
      <c r="D34">
        <v>18</v>
      </c>
      <c r="E34" s="35" t="s">
        <v>211</v>
      </c>
      <c r="F34" s="35" t="s">
        <v>189</v>
      </c>
      <c r="G34" s="35" t="s">
        <v>232</v>
      </c>
      <c r="H34" s="35"/>
      <c r="I34" s="35"/>
      <c r="J34" s="35" t="s">
        <v>191</v>
      </c>
    </row>
    <row r="35" spans="1:10">
      <c r="A35" s="35" t="s">
        <v>256</v>
      </c>
      <c r="B35" s="35" t="s">
        <v>186</v>
      </c>
      <c r="C35" s="35" t="s">
        <v>187</v>
      </c>
      <c r="D35">
        <v>18</v>
      </c>
      <c r="E35" s="35" t="s">
        <v>211</v>
      </c>
      <c r="F35" s="35" t="s">
        <v>189</v>
      </c>
      <c r="G35" s="35" t="s">
        <v>232</v>
      </c>
      <c r="H35" s="35"/>
      <c r="I35" s="35"/>
      <c r="J35" s="35" t="s">
        <v>191</v>
      </c>
    </row>
    <row r="36" spans="1:10">
      <c r="A36" s="35" t="s">
        <v>257</v>
      </c>
      <c r="B36" s="35" t="s">
        <v>186</v>
      </c>
      <c r="C36" s="35" t="s">
        <v>187</v>
      </c>
      <c r="D36">
        <v>22</v>
      </c>
      <c r="E36" s="35" t="s">
        <v>197</v>
      </c>
      <c r="F36" s="35" t="s">
        <v>224</v>
      </c>
      <c r="G36" s="35" t="s">
        <v>258</v>
      </c>
      <c r="H36" s="35"/>
      <c r="I36" s="35"/>
      <c r="J36" s="35" t="s">
        <v>191</v>
      </c>
    </row>
    <row r="37" spans="1:10">
      <c r="A37" s="35" t="s">
        <v>259</v>
      </c>
      <c r="B37" s="35" t="s">
        <v>186</v>
      </c>
      <c r="C37" s="35" t="s">
        <v>227</v>
      </c>
      <c r="D37">
        <v>28</v>
      </c>
      <c r="E37" s="35" t="s">
        <v>200</v>
      </c>
      <c r="F37" s="35" t="s">
        <v>205</v>
      </c>
      <c r="G37" s="35" t="s">
        <v>202</v>
      </c>
      <c r="H37" s="35"/>
      <c r="I37" s="35"/>
      <c r="J37" s="35" t="s">
        <v>191</v>
      </c>
    </row>
    <row r="38" spans="1:10">
      <c r="A38" s="35" t="s">
        <v>260</v>
      </c>
      <c r="B38" s="35" t="s">
        <v>186</v>
      </c>
      <c r="C38" s="35" t="s">
        <v>187</v>
      </c>
      <c r="D38">
        <v>22</v>
      </c>
      <c r="E38" s="35" t="s">
        <v>197</v>
      </c>
      <c r="F38" s="35" t="s">
        <v>235</v>
      </c>
      <c r="G38" s="35" t="s">
        <v>258</v>
      </c>
      <c r="H38" s="35"/>
      <c r="I38" s="35"/>
      <c r="J38" s="35" t="s">
        <v>191</v>
      </c>
    </row>
    <row r="39" spans="1:10">
      <c r="A39" s="35" t="s">
        <v>261</v>
      </c>
      <c r="B39" s="35" t="s">
        <v>186</v>
      </c>
      <c r="C39" s="35" t="s">
        <v>187</v>
      </c>
      <c r="D39">
        <v>22</v>
      </c>
      <c r="E39" s="35" t="s">
        <v>197</v>
      </c>
      <c r="F39" s="35" t="s">
        <v>235</v>
      </c>
      <c r="G39" s="35" t="s">
        <v>258</v>
      </c>
      <c r="H39" s="35"/>
      <c r="I39" s="35"/>
      <c r="J39" s="35" t="s">
        <v>191</v>
      </c>
    </row>
    <row r="40" spans="1:10">
      <c r="A40" s="35" t="s">
        <v>262</v>
      </c>
      <c r="B40" s="35" t="s">
        <v>186</v>
      </c>
      <c r="C40" s="35" t="s">
        <v>187</v>
      </c>
      <c r="D40">
        <v>8</v>
      </c>
      <c r="E40" s="35" t="s">
        <v>200</v>
      </c>
      <c r="F40" s="35" t="s">
        <v>247</v>
      </c>
      <c r="G40" s="35" t="s">
        <v>232</v>
      </c>
      <c r="H40" s="35"/>
      <c r="I40" s="35"/>
      <c r="J40" s="35" t="s">
        <v>191</v>
      </c>
    </row>
    <row r="41" spans="1:10">
      <c r="A41" s="35" t="s">
        <v>263</v>
      </c>
      <c r="B41" s="35" t="s">
        <v>186</v>
      </c>
      <c r="C41" s="35" t="s">
        <v>187</v>
      </c>
      <c r="D41">
        <v>20</v>
      </c>
      <c r="E41" s="35" t="s">
        <v>211</v>
      </c>
      <c r="F41" s="35" t="s">
        <v>235</v>
      </c>
      <c r="G41" s="35" t="s">
        <v>241</v>
      </c>
      <c r="H41" s="35"/>
      <c r="I41" s="35"/>
      <c r="J41" s="35" t="s">
        <v>191</v>
      </c>
    </row>
    <row r="42" spans="1:10">
      <c r="A42" s="35" t="s">
        <v>264</v>
      </c>
      <c r="B42" s="35" t="s">
        <v>186</v>
      </c>
      <c r="C42" s="35" t="s">
        <v>187</v>
      </c>
      <c r="D42">
        <v>20</v>
      </c>
      <c r="E42" s="35" t="s">
        <v>265</v>
      </c>
      <c r="F42" s="35" t="s">
        <v>193</v>
      </c>
      <c r="G42" s="35" t="s">
        <v>241</v>
      </c>
      <c r="H42" s="35"/>
      <c r="I42" s="35"/>
      <c r="J42" s="35" t="s">
        <v>191</v>
      </c>
    </row>
    <row r="43" spans="1:10">
      <c r="A43" s="35" t="s">
        <v>266</v>
      </c>
      <c r="B43" s="35" t="s">
        <v>186</v>
      </c>
      <c r="C43" s="35" t="s">
        <v>227</v>
      </c>
      <c r="D43">
        <v>26</v>
      </c>
      <c r="E43" s="35" t="s">
        <v>200</v>
      </c>
      <c r="F43" s="35" t="s">
        <v>235</v>
      </c>
      <c r="G43" s="35" t="s">
        <v>209</v>
      </c>
      <c r="H43" s="35"/>
      <c r="I43" s="35"/>
      <c r="J43" s="35" t="s">
        <v>191</v>
      </c>
    </row>
    <row r="44" spans="1:10">
      <c r="A44" s="35" t="s">
        <v>267</v>
      </c>
      <c r="B44" s="35" t="s">
        <v>186</v>
      </c>
      <c r="C44" s="35" t="s">
        <v>187</v>
      </c>
      <c r="D44">
        <v>20</v>
      </c>
      <c r="E44" s="35" t="s">
        <v>211</v>
      </c>
      <c r="F44" s="35" t="s">
        <v>235</v>
      </c>
      <c r="G44" s="35" t="s">
        <v>241</v>
      </c>
      <c r="H44" s="35"/>
      <c r="I44" s="35"/>
      <c r="J44" s="35" t="s">
        <v>191</v>
      </c>
    </row>
    <row r="45" spans="1:10">
      <c r="A45" s="35" t="s">
        <v>268</v>
      </c>
      <c r="B45" s="35" t="s">
        <v>186</v>
      </c>
      <c r="C45" s="35" t="s">
        <v>227</v>
      </c>
      <c r="D45">
        <v>16</v>
      </c>
      <c r="E45" s="35" t="s">
        <v>211</v>
      </c>
      <c r="F45" s="35" t="s">
        <v>212</v>
      </c>
      <c r="G45" s="35" t="s">
        <v>221</v>
      </c>
      <c r="H45" s="35"/>
      <c r="I45" s="35"/>
      <c r="J45" s="35" t="s">
        <v>191</v>
      </c>
    </row>
    <row r="46" spans="1:10">
      <c r="A46" s="35" t="s">
        <v>269</v>
      </c>
      <c r="B46" s="35" t="s">
        <v>186</v>
      </c>
      <c r="C46" s="35" t="s">
        <v>187</v>
      </c>
      <c r="D46">
        <v>12</v>
      </c>
      <c r="E46" s="35" t="s">
        <v>197</v>
      </c>
      <c r="F46" s="35" t="s">
        <v>201</v>
      </c>
      <c r="G46" s="35" t="s">
        <v>270</v>
      </c>
      <c r="H46" s="35"/>
      <c r="I46" s="35"/>
      <c r="J46" s="35" t="s">
        <v>191</v>
      </c>
    </row>
    <row r="47" spans="1:10">
      <c r="A47" s="35" t="s">
        <v>271</v>
      </c>
      <c r="B47" s="35" t="s">
        <v>186</v>
      </c>
      <c r="C47" s="35" t="s">
        <v>187</v>
      </c>
      <c r="D47">
        <v>20</v>
      </c>
      <c r="E47" s="35" t="s">
        <v>223</v>
      </c>
      <c r="F47" s="35" t="s">
        <v>272</v>
      </c>
      <c r="G47" s="35" t="s">
        <v>241</v>
      </c>
      <c r="H47" s="35"/>
      <c r="I47" s="35"/>
      <c r="J47" s="35" t="s">
        <v>191</v>
      </c>
    </row>
    <row r="48" spans="1:10">
      <c r="A48" s="35" t="s">
        <v>273</v>
      </c>
      <c r="B48" s="35" t="s">
        <v>186</v>
      </c>
      <c r="C48" s="35" t="s">
        <v>227</v>
      </c>
      <c r="D48">
        <v>16</v>
      </c>
      <c r="E48" s="35" t="s">
        <v>211</v>
      </c>
      <c r="F48" s="35" t="s">
        <v>212</v>
      </c>
      <c r="G48" s="35" t="s">
        <v>221</v>
      </c>
      <c r="H48" s="35"/>
      <c r="I48" s="35"/>
      <c r="J48" s="35" t="s">
        <v>191</v>
      </c>
    </row>
    <row r="49" spans="1:10">
      <c r="A49" s="35" t="s">
        <v>274</v>
      </c>
      <c r="B49" s="35" t="s">
        <v>186</v>
      </c>
      <c r="C49" s="35" t="s">
        <v>187</v>
      </c>
      <c r="D49">
        <v>4</v>
      </c>
      <c r="E49" s="35" t="s">
        <v>211</v>
      </c>
      <c r="F49" s="35" t="s">
        <v>188</v>
      </c>
      <c r="G49" s="35" t="s">
        <v>218</v>
      </c>
      <c r="H49" s="35"/>
      <c r="I49" s="35"/>
      <c r="J49" s="35" t="s">
        <v>191</v>
      </c>
    </row>
    <row r="50" spans="1:10">
      <c r="A50" s="35" t="s">
        <v>275</v>
      </c>
      <c r="B50" s="35" t="s">
        <v>186</v>
      </c>
      <c r="C50" s="35" t="s">
        <v>187</v>
      </c>
      <c r="D50">
        <v>18</v>
      </c>
      <c r="E50" s="35" t="s">
        <v>211</v>
      </c>
      <c r="F50" s="35" t="s">
        <v>224</v>
      </c>
      <c r="G50" s="35" t="s">
        <v>232</v>
      </c>
      <c r="H50" s="35"/>
      <c r="I50" s="35"/>
      <c r="J50" s="35" t="s">
        <v>191</v>
      </c>
    </row>
    <row r="51" spans="1:10">
      <c r="A51" s="35" t="s">
        <v>276</v>
      </c>
      <c r="B51" s="35" t="s">
        <v>186</v>
      </c>
      <c r="C51" s="35" t="s">
        <v>187</v>
      </c>
      <c r="D51">
        <v>18</v>
      </c>
      <c r="E51" s="35" t="s">
        <v>211</v>
      </c>
      <c r="F51" s="35" t="s">
        <v>201</v>
      </c>
      <c r="G51" s="35" t="s">
        <v>232</v>
      </c>
      <c r="H51" s="35"/>
      <c r="I51" s="35"/>
      <c r="J51" s="35" t="s">
        <v>191</v>
      </c>
    </row>
    <row r="52" spans="1:10">
      <c r="A52" s="35" t="s">
        <v>277</v>
      </c>
      <c r="B52" s="35" t="s">
        <v>186</v>
      </c>
      <c r="C52" s="35" t="s">
        <v>227</v>
      </c>
      <c r="D52">
        <v>24</v>
      </c>
      <c r="E52" s="35" t="s">
        <v>200</v>
      </c>
      <c r="F52" s="35" t="s">
        <v>205</v>
      </c>
      <c r="G52" s="35" t="s">
        <v>209</v>
      </c>
      <c r="H52" s="35"/>
      <c r="I52" s="35"/>
      <c r="J52" s="35" t="s">
        <v>191</v>
      </c>
    </row>
    <row r="53" spans="1:10">
      <c r="A53" s="35" t="s">
        <v>278</v>
      </c>
      <c r="B53" s="35" t="s">
        <v>186</v>
      </c>
      <c r="C53" s="35" t="s">
        <v>187</v>
      </c>
      <c r="D53">
        <v>18</v>
      </c>
      <c r="E53" s="35" t="s">
        <v>211</v>
      </c>
      <c r="F53" s="35" t="s">
        <v>205</v>
      </c>
      <c r="G53" s="35" t="s">
        <v>232</v>
      </c>
      <c r="H53" s="35"/>
      <c r="I53" s="35"/>
      <c r="J53" s="35" t="s">
        <v>191</v>
      </c>
    </row>
    <row r="54" spans="1:10">
      <c r="A54" s="35" t="s">
        <v>279</v>
      </c>
      <c r="B54" s="35" t="s">
        <v>186</v>
      </c>
      <c r="C54" s="35" t="s">
        <v>187</v>
      </c>
      <c r="D54">
        <v>16</v>
      </c>
      <c r="E54" s="35" t="s">
        <v>188</v>
      </c>
      <c r="F54" s="35" t="s">
        <v>235</v>
      </c>
      <c r="G54" s="35" t="s">
        <v>221</v>
      </c>
      <c r="H54" s="35"/>
      <c r="I54" s="35"/>
      <c r="J54" s="35" t="s">
        <v>191</v>
      </c>
    </row>
    <row r="55" spans="1:10">
      <c r="A55" s="35" t="s">
        <v>280</v>
      </c>
      <c r="B55" s="35" t="s">
        <v>186</v>
      </c>
      <c r="C55" s="35" t="s">
        <v>227</v>
      </c>
      <c r="D55">
        <v>20</v>
      </c>
      <c r="E55" s="35" t="s">
        <v>200</v>
      </c>
      <c r="F55" s="35" t="s">
        <v>235</v>
      </c>
      <c r="G55" s="35" t="s">
        <v>241</v>
      </c>
      <c r="H55" s="35"/>
      <c r="I55" s="35"/>
      <c r="J55" s="35" t="s">
        <v>191</v>
      </c>
    </row>
    <row r="56" spans="1:10">
      <c r="A56" s="35" t="s">
        <v>281</v>
      </c>
      <c r="B56" s="35" t="s">
        <v>186</v>
      </c>
      <c r="C56" s="35" t="s">
        <v>187</v>
      </c>
      <c r="D56">
        <v>16</v>
      </c>
      <c r="E56" s="35" t="s">
        <v>197</v>
      </c>
      <c r="F56" s="35" t="s">
        <v>193</v>
      </c>
      <c r="G56" s="35" t="s">
        <v>221</v>
      </c>
      <c r="H56" s="35"/>
      <c r="I56" s="35"/>
      <c r="J56" s="35" t="s">
        <v>191</v>
      </c>
    </row>
    <row r="57" spans="1:10">
      <c r="A57" s="35" t="s">
        <v>282</v>
      </c>
      <c r="B57" s="35" t="s">
        <v>186</v>
      </c>
      <c r="C57" s="35" t="s">
        <v>187</v>
      </c>
      <c r="D57">
        <v>16</v>
      </c>
      <c r="E57" s="35" t="s">
        <v>211</v>
      </c>
      <c r="F57" s="35" t="s">
        <v>193</v>
      </c>
      <c r="G57" s="35" t="s">
        <v>221</v>
      </c>
      <c r="H57" s="35"/>
      <c r="I57" s="35"/>
      <c r="J57" s="35" t="s">
        <v>191</v>
      </c>
    </row>
    <row r="58" spans="1:10">
      <c r="A58" s="35" t="s">
        <v>283</v>
      </c>
      <c r="B58" s="35" t="s">
        <v>186</v>
      </c>
      <c r="C58" s="35" t="s">
        <v>187</v>
      </c>
      <c r="D58">
        <v>16</v>
      </c>
      <c r="E58" s="35" t="s">
        <v>211</v>
      </c>
      <c r="F58" s="35" t="s">
        <v>193</v>
      </c>
      <c r="G58" s="35" t="s">
        <v>221</v>
      </c>
      <c r="H58" s="35"/>
      <c r="I58" s="35"/>
      <c r="J58" s="35" t="s">
        <v>191</v>
      </c>
    </row>
    <row r="59" spans="1:10">
      <c r="A59" s="35" t="s">
        <v>284</v>
      </c>
      <c r="B59" s="35" t="s">
        <v>186</v>
      </c>
      <c r="C59" s="35" t="s">
        <v>187</v>
      </c>
      <c r="D59">
        <v>8</v>
      </c>
      <c r="E59" s="35" t="s">
        <v>197</v>
      </c>
      <c r="F59" s="35" t="s">
        <v>220</v>
      </c>
      <c r="G59" s="35" t="s">
        <v>285</v>
      </c>
      <c r="H59" s="35"/>
      <c r="I59" s="35"/>
      <c r="J59" s="35" t="s">
        <v>191</v>
      </c>
    </row>
    <row r="60" spans="1:10">
      <c r="A60" s="35" t="s">
        <v>287</v>
      </c>
      <c r="B60" s="35" t="s">
        <v>186</v>
      </c>
      <c r="C60" s="35" t="s">
        <v>187</v>
      </c>
      <c r="D60">
        <v>10</v>
      </c>
      <c r="E60" s="35" t="s">
        <v>244</v>
      </c>
      <c r="F60" s="35" t="s">
        <v>240</v>
      </c>
      <c r="G60" s="35" t="s">
        <v>286</v>
      </c>
      <c r="H60" s="35"/>
      <c r="I60" s="35"/>
      <c r="J60" s="35" t="s">
        <v>191</v>
      </c>
    </row>
    <row r="61" spans="1:10">
      <c r="A61" s="35" t="s">
        <v>288</v>
      </c>
      <c r="B61" s="35" t="s">
        <v>186</v>
      </c>
      <c r="C61" s="35" t="s">
        <v>187</v>
      </c>
      <c r="D61">
        <v>10</v>
      </c>
      <c r="E61" s="35" t="s">
        <v>244</v>
      </c>
      <c r="F61" s="35" t="s">
        <v>240</v>
      </c>
      <c r="G61" s="35" t="s">
        <v>286</v>
      </c>
      <c r="H61" s="35"/>
      <c r="I61" s="35"/>
      <c r="J61" s="35" t="s">
        <v>191</v>
      </c>
    </row>
    <row r="62" spans="1:10">
      <c r="A62" s="35" t="s">
        <v>289</v>
      </c>
      <c r="B62" s="35" t="s">
        <v>186</v>
      </c>
      <c r="C62" s="35" t="s">
        <v>187</v>
      </c>
      <c r="D62">
        <v>16</v>
      </c>
      <c r="E62" s="35" t="s">
        <v>290</v>
      </c>
      <c r="F62" s="35" t="s">
        <v>235</v>
      </c>
      <c r="G62" s="35" t="s">
        <v>221</v>
      </c>
      <c r="H62" s="35"/>
      <c r="I62" s="35"/>
      <c r="J62" s="35" t="s">
        <v>191</v>
      </c>
    </row>
    <row r="63" spans="1:10">
      <c r="A63" s="35" t="s">
        <v>291</v>
      </c>
      <c r="B63" s="35" t="s">
        <v>186</v>
      </c>
      <c r="C63" s="35" t="s">
        <v>227</v>
      </c>
      <c r="D63">
        <v>8</v>
      </c>
      <c r="E63" s="35" t="s">
        <v>200</v>
      </c>
      <c r="F63" s="35" t="s">
        <v>290</v>
      </c>
      <c r="G63" s="35" t="s">
        <v>285</v>
      </c>
      <c r="H63" s="35"/>
      <c r="I63" s="35"/>
      <c r="J63" s="35" t="s">
        <v>191</v>
      </c>
    </row>
    <row r="64" spans="1:10">
      <c r="A64" s="35" t="s">
        <v>292</v>
      </c>
      <c r="B64" s="35" t="s">
        <v>186</v>
      </c>
      <c r="C64" s="35" t="s">
        <v>187</v>
      </c>
      <c r="D64">
        <v>8</v>
      </c>
      <c r="E64" s="35" t="s">
        <v>265</v>
      </c>
      <c r="F64" s="35" t="s">
        <v>240</v>
      </c>
      <c r="G64" s="35" t="s">
        <v>285</v>
      </c>
      <c r="H64" s="35"/>
      <c r="I64" s="35"/>
      <c r="J64" s="35" t="s">
        <v>191</v>
      </c>
    </row>
    <row r="65" spans="1:10">
      <c r="A65" s="35" t="s">
        <v>293</v>
      </c>
      <c r="B65" s="35" t="s">
        <v>186</v>
      </c>
      <c r="C65" s="35" t="s">
        <v>187</v>
      </c>
      <c r="D65">
        <v>12</v>
      </c>
      <c r="E65" s="35" t="s">
        <v>290</v>
      </c>
      <c r="F65" s="35" t="s">
        <v>205</v>
      </c>
      <c r="G65" s="35" t="s">
        <v>218</v>
      </c>
      <c r="H65" s="35"/>
      <c r="I65" s="35"/>
      <c r="J65" s="35" t="s">
        <v>191</v>
      </c>
    </row>
    <row r="66" spans="1:10">
      <c r="A66" s="35" t="s">
        <v>294</v>
      </c>
      <c r="B66" s="35" t="s">
        <v>186</v>
      </c>
      <c r="C66" s="35" t="s">
        <v>227</v>
      </c>
      <c r="D66">
        <v>12</v>
      </c>
      <c r="E66" s="35" t="s">
        <v>265</v>
      </c>
      <c r="F66" s="35" t="s">
        <v>214</v>
      </c>
      <c r="G66" s="35" t="s">
        <v>218</v>
      </c>
      <c r="H66" s="35"/>
      <c r="I66" s="35"/>
      <c r="J66" s="35" t="s">
        <v>191</v>
      </c>
    </row>
    <row r="67" spans="1:10">
      <c r="A67" s="35" t="s">
        <v>295</v>
      </c>
      <c r="B67" s="35" t="s">
        <v>186</v>
      </c>
      <c r="C67" s="35" t="s">
        <v>187</v>
      </c>
      <c r="D67">
        <v>12</v>
      </c>
      <c r="E67" s="35" t="s">
        <v>290</v>
      </c>
      <c r="F67" s="35" t="s">
        <v>205</v>
      </c>
      <c r="G67" s="35" t="s">
        <v>218</v>
      </c>
      <c r="H67" s="35"/>
      <c r="I67" s="35"/>
      <c r="J67" s="35" t="s">
        <v>191</v>
      </c>
    </row>
    <row r="68" spans="1:10">
      <c r="A68" s="35" t="s">
        <v>296</v>
      </c>
      <c r="B68" s="35" t="s">
        <v>186</v>
      </c>
      <c r="C68" s="35" t="s">
        <v>227</v>
      </c>
      <c r="D68">
        <v>10</v>
      </c>
      <c r="E68" s="35" t="s">
        <v>290</v>
      </c>
      <c r="F68" s="35" t="s">
        <v>193</v>
      </c>
      <c r="G68" s="35" t="s">
        <v>286</v>
      </c>
      <c r="H68" s="35"/>
      <c r="I68" s="35"/>
      <c r="J68" s="35" t="s">
        <v>191</v>
      </c>
    </row>
    <row r="69" spans="1:10">
      <c r="A69" s="35" t="s">
        <v>297</v>
      </c>
      <c r="B69" s="35" t="s">
        <v>186</v>
      </c>
      <c r="C69" s="35" t="s">
        <v>227</v>
      </c>
      <c r="D69">
        <v>10</v>
      </c>
      <c r="E69" s="35" t="s">
        <v>290</v>
      </c>
      <c r="F69" s="35" t="s">
        <v>214</v>
      </c>
      <c r="G69" s="35" t="s">
        <v>286</v>
      </c>
      <c r="H69" s="35"/>
      <c r="I69" s="35"/>
      <c r="J69" s="35" t="s">
        <v>191</v>
      </c>
    </row>
    <row r="70" spans="1:10">
      <c r="A70" s="35" t="s">
        <v>298</v>
      </c>
      <c r="B70" s="35" t="s">
        <v>186</v>
      </c>
      <c r="C70" s="35" t="s">
        <v>187</v>
      </c>
      <c r="D70">
        <v>10</v>
      </c>
      <c r="E70" s="35" t="s">
        <v>290</v>
      </c>
      <c r="F70" s="35" t="s">
        <v>205</v>
      </c>
      <c r="G70" s="35" t="s">
        <v>286</v>
      </c>
      <c r="H70" s="35"/>
      <c r="I70" s="35"/>
      <c r="J70" s="35" t="s">
        <v>191</v>
      </c>
    </row>
    <row r="71" spans="1:10">
      <c r="A71" s="35" t="s">
        <v>299</v>
      </c>
      <c r="B71" s="35" t="s">
        <v>186</v>
      </c>
      <c r="C71" s="35" t="s">
        <v>187</v>
      </c>
      <c r="D71">
        <v>8</v>
      </c>
      <c r="E71" s="35" t="s">
        <v>290</v>
      </c>
      <c r="F71" s="35" t="s">
        <v>205</v>
      </c>
      <c r="G71" s="35" t="s">
        <v>285</v>
      </c>
      <c r="H71" s="35"/>
      <c r="I71" s="35"/>
      <c r="J71" s="35" t="s">
        <v>191</v>
      </c>
    </row>
    <row r="72" spans="1:10">
      <c r="A72" s="35" t="s">
        <v>300</v>
      </c>
      <c r="B72" s="35" t="s">
        <v>186</v>
      </c>
      <c r="C72" s="35" t="s">
        <v>187</v>
      </c>
      <c r="D72">
        <v>8</v>
      </c>
      <c r="E72" s="35" t="s">
        <v>290</v>
      </c>
      <c r="F72" s="35" t="s">
        <v>235</v>
      </c>
      <c r="G72" s="35" t="s">
        <v>285</v>
      </c>
      <c r="H72" s="35"/>
      <c r="I72" s="35"/>
      <c r="J72" s="35" t="s">
        <v>191</v>
      </c>
    </row>
    <row r="73" spans="1:10">
      <c r="A73" s="35" t="s">
        <v>301</v>
      </c>
      <c r="B73" s="35" t="s">
        <v>186</v>
      </c>
      <c r="C73" s="35" t="s">
        <v>227</v>
      </c>
      <c r="D73">
        <v>8</v>
      </c>
      <c r="E73" s="35" t="s">
        <v>224</v>
      </c>
      <c r="F73" s="35" t="s">
        <v>224</v>
      </c>
      <c r="G73" s="35" t="s">
        <v>285</v>
      </c>
      <c r="H73" s="35"/>
      <c r="I73" s="35"/>
      <c r="J73" s="35" t="s">
        <v>191</v>
      </c>
    </row>
    <row r="74" spans="1:10">
      <c r="A74" s="35" t="s">
        <v>302</v>
      </c>
      <c r="B74" s="35" t="s">
        <v>186</v>
      </c>
      <c r="C74" s="35" t="s">
        <v>187</v>
      </c>
      <c r="D74">
        <v>6</v>
      </c>
      <c r="E74" s="35" t="s">
        <v>224</v>
      </c>
      <c r="F74" s="35" t="s">
        <v>224</v>
      </c>
      <c r="G74" s="35" t="s">
        <v>303</v>
      </c>
      <c r="H74" s="35"/>
      <c r="I74" s="35"/>
      <c r="J74" s="35" t="s">
        <v>191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A008-C7EF-4CB5-AA19-FB97EBE8524D}">
  <sheetPr codeName="Sheet11">
    <tabColor theme="4"/>
  </sheetPr>
  <dimension ref="A1:B5"/>
  <sheetViews>
    <sheetView workbookViewId="0">
      <selection activeCell="B3" sqref="B3:B5"/>
    </sheetView>
  </sheetViews>
  <sheetFormatPr defaultRowHeight="14.5"/>
  <sheetData>
    <row r="1" spans="1:2">
      <c r="A1" s="76">
        <v>1</v>
      </c>
      <c r="B1" s="76" t="s">
        <v>176</v>
      </c>
    </row>
    <row r="2" spans="1:2">
      <c r="A2" s="76">
        <v>2</v>
      </c>
      <c r="B2" s="76" t="s">
        <v>418</v>
      </c>
    </row>
    <row r="3" spans="1:2">
      <c r="A3">
        <v>3</v>
      </c>
      <c r="B3" t="s">
        <v>452</v>
      </c>
    </row>
    <row r="4" spans="1:2">
      <c r="A4">
        <v>4</v>
      </c>
      <c r="B4" t="s">
        <v>420</v>
      </c>
    </row>
    <row r="5" spans="1:2">
      <c r="A5">
        <v>5</v>
      </c>
      <c r="B5" t="s">
        <v>419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018C5-7EBB-4F3E-A263-A964F7B4398F}">
  <sheetPr codeName="Sheet7"/>
  <dimension ref="A1:AB501"/>
  <sheetViews>
    <sheetView workbookViewId="0">
      <selection activeCell="F18" sqref="F18"/>
    </sheetView>
  </sheetViews>
  <sheetFormatPr defaultRowHeight="14.5"/>
  <cols>
    <col min="3" max="3" width="17.1796875" customWidth="1"/>
    <col min="4" max="4" width="12.54296875" customWidth="1"/>
    <col min="6" max="6" width="12.54296875" bestFit="1" customWidth="1"/>
    <col min="7" max="8" width="14.81640625" customWidth="1"/>
    <col min="9" max="9" width="20.26953125" customWidth="1"/>
    <col min="10" max="10" width="14.1796875" customWidth="1"/>
    <col min="11" max="11" width="16.26953125" customWidth="1"/>
  </cols>
  <sheetData>
    <row r="1" spans="1:28">
      <c r="A1" s="2" t="s">
        <v>20</v>
      </c>
      <c r="B1" s="2" t="s">
        <v>21</v>
      </c>
      <c r="C1" s="2" t="s">
        <v>22</v>
      </c>
      <c r="D1" s="2" t="s">
        <v>23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>
      <c r="A2" s="2" t="s">
        <v>24</v>
      </c>
      <c r="B2" s="2">
        <v>24</v>
      </c>
      <c r="C2" s="2">
        <v>2</v>
      </c>
      <c r="D2" s="2">
        <f>B2*C2</f>
        <v>48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>
      <c r="A4" s="1"/>
      <c r="B4" s="1"/>
      <c r="C4" s="1"/>
      <c r="D4" s="1"/>
      <c r="E4" s="1"/>
      <c r="F4" s="2" t="s">
        <v>28</v>
      </c>
      <c r="G4" s="2" t="s">
        <v>34</v>
      </c>
      <c r="H4" s="2" t="s">
        <v>2</v>
      </c>
      <c r="I4" s="2" t="s">
        <v>25</v>
      </c>
      <c r="J4" s="2" t="s">
        <v>27</v>
      </c>
      <c r="K4" s="2" t="s">
        <v>26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>
      <c r="A5" s="1"/>
      <c r="B5" s="1"/>
      <c r="C5" s="1"/>
      <c r="D5" s="1"/>
      <c r="E5" s="1"/>
      <c r="F5" s="2" t="s">
        <v>29</v>
      </c>
      <c r="G5" s="2" t="s">
        <v>31</v>
      </c>
      <c r="H5" s="2">
        <v>4</v>
      </c>
      <c r="I5" s="2">
        <v>8</v>
      </c>
      <c r="J5" s="2" t="s">
        <v>30</v>
      </c>
      <c r="K5" s="2">
        <v>8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>
      <c r="A6" s="1"/>
      <c r="B6" s="1"/>
      <c r="C6" s="1"/>
      <c r="D6" s="1"/>
      <c r="E6" s="1"/>
      <c r="F6" s="2" t="s">
        <v>29</v>
      </c>
      <c r="G6" s="2" t="s">
        <v>18</v>
      </c>
      <c r="H6" s="2">
        <v>4</v>
      </c>
      <c r="I6" s="2">
        <v>8</v>
      </c>
      <c r="J6" s="2" t="s">
        <v>32</v>
      </c>
      <c r="K6" s="2">
        <v>8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>
      <c r="A7" s="1"/>
      <c r="B7" s="1"/>
      <c r="C7" s="1"/>
      <c r="D7" s="1"/>
      <c r="E7" s="1"/>
      <c r="F7" s="2" t="s">
        <v>29</v>
      </c>
      <c r="G7" s="2" t="s">
        <v>17</v>
      </c>
      <c r="H7" s="2">
        <v>4</v>
      </c>
      <c r="I7" s="2">
        <v>8</v>
      </c>
      <c r="J7" s="2" t="s">
        <v>32</v>
      </c>
      <c r="K7" s="2">
        <v>8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>
      <c r="A8" s="1"/>
      <c r="B8" s="1"/>
      <c r="C8" s="1"/>
      <c r="D8" s="1"/>
      <c r="E8" s="1"/>
      <c r="F8" s="2" t="s">
        <v>29</v>
      </c>
      <c r="G8" s="2" t="s">
        <v>33</v>
      </c>
      <c r="H8" s="2">
        <v>1</v>
      </c>
      <c r="I8" s="2">
        <v>4</v>
      </c>
      <c r="J8" s="2" t="s">
        <v>30</v>
      </c>
      <c r="K8" s="2">
        <v>4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>
      <c r="A9" s="1"/>
      <c r="B9" s="1"/>
      <c r="C9" s="1"/>
      <c r="D9" s="1"/>
      <c r="E9" s="1"/>
      <c r="F9" s="2" t="s">
        <v>35</v>
      </c>
      <c r="G9" s="2" t="s">
        <v>36</v>
      </c>
      <c r="H9" s="2">
        <v>11</v>
      </c>
      <c r="I9" s="2">
        <v>22</v>
      </c>
      <c r="J9" s="2" t="s">
        <v>32</v>
      </c>
      <c r="K9" s="2">
        <v>22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>
      <c r="A10" s="1"/>
      <c r="B10" s="1"/>
      <c r="C10" s="1"/>
      <c r="D10" s="1"/>
      <c r="E10" s="1"/>
      <c r="F10" s="2" t="s">
        <v>35</v>
      </c>
      <c r="G10" s="2" t="s">
        <v>33</v>
      </c>
      <c r="H10" s="2">
        <v>1</v>
      </c>
      <c r="I10" s="2">
        <v>4</v>
      </c>
      <c r="J10" s="2" t="s">
        <v>30</v>
      </c>
      <c r="K10" s="2">
        <v>4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>
      <c r="A11" s="1"/>
      <c r="B11" s="1"/>
      <c r="C11" s="1"/>
      <c r="D11" s="1"/>
      <c r="E11" s="1"/>
      <c r="F11" s="2" t="s">
        <v>35</v>
      </c>
      <c r="G11" s="2" t="s">
        <v>31</v>
      </c>
      <c r="H11" s="2">
        <v>4</v>
      </c>
      <c r="I11" s="2">
        <v>8</v>
      </c>
      <c r="J11" s="2" t="s">
        <v>32</v>
      </c>
      <c r="K11" s="2">
        <v>8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>
      <c r="A12" s="1"/>
      <c r="B12" s="1"/>
      <c r="C12" s="1"/>
      <c r="D12" s="1"/>
      <c r="E12" s="1"/>
      <c r="F12" s="2" t="s">
        <v>35</v>
      </c>
      <c r="G12" s="2" t="s">
        <v>37</v>
      </c>
      <c r="H12" s="2">
        <v>3</v>
      </c>
      <c r="I12" s="2">
        <v>6</v>
      </c>
      <c r="J12" s="2" t="s">
        <v>30</v>
      </c>
      <c r="K12" s="2">
        <v>6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>
      <c r="A13" s="1"/>
      <c r="B13" s="1"/>
      <c r="C13" s="1"/>
      <c r="D13" s="1"/>
      <c r="E13" s="1"/>
      <c r="F13" s="2" t="s">
        <v>35</v>
      </c>
      <c r="G13" s="2" t="s">
        <v>38</v>
      </c>
      <c r="H13" s="2">
        <v>1</v>
      </c>
      <c r="I13" s="2">
        <v>2</v>
      </c>
      <c r="J13" s="2" t="s">
        <v>30</v>
      </c>
      <c r="K13" s="2">
        <v>2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>
      <c r="A14" s="1"/>
      <c r="B14" s="1"/>
      <c r="C14" s="1"/>
      <c r="D14" s="1"/>
      <c r="E14" s="1"/>
      <c r="F14" s="2" t="s">
        <v>39</v>
      </c>
      <c r="G14" s="2"/>
      <c r="H14" s="2">
        <f>SUBTOTAL(109,H5:H13)</f>
        <v>33</v>
      </c>
      <c r="I14" s="2">
        <f>SUBTOTAL(109,I5:I13)</f>
        <v>70</v>
      </c>
      <c r="J14" s="2"/>
      <c r="K14" s="2">
        <f>SUBTOTAL(109,K5:K13)</f>
        <v>70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4DC5A8D6EAD44FB2B47DDAA54A30E8" ma:contentTypeVersion="13" ma:contentTypeDescription="Create a new document." ma:contentTypeScope="" ma:versionID="ce6fc0144f1564d54efa188d9983ab69">
  <xsd:schema xmlns:xsd="http://www.w3.org/2001/XMLSchema" xmlns:xs="http://www.w3.org/2001/XMLSchema" xmlns:p="http://schemas.microsoft.com/office/2006/metadata/properties" xmlns:ns3="da00f8c5-acd3-4222-8882-2c3b2f8c8746" xmlns:ns4="dece6810-ca4c-4ce6-81bf-00dff6a71f64" targetNamespace="http://schemas.microsoft.com/office/2006/metadata/properties" ma:root="true" ma:fieldsID="5937730cf94ab12ed3b4ec04c69c1161" ns3:_="" ns4:_="">
    <xsd:import namespace="da00f8c5-acd3-4222-8882-2c3b2f8c8746"/>
    <xsd:import namespace="dece6810-ca4c-4ce6-81bf-00dff6a71f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00f8c5-acd3-4222-8882-2c3b2f8c87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ce6810-ca4c-4ce6-81bf-00dff6a71f6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6ECF91-944C-4982-B0E6-4C8F9ABD66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7F5CFB-BC9E-48FD-98C7-FF407400A5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00f8c5-acd3-4222-8882-2c3b2f8c8746"/>
    <ds:schemaRef ds:uri="dece6810-ca4c-4ce6-81bf-00dff6a71f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62D2C4-55E9-4A47-B97D-E0CE108B85C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CBBFE2A-5EC3-41BE-B036-FC90821FFF83}">
  <ds:schemaRefs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dece6810-ca4c-4ce6-81bf-00dff6a71f64"/>
    <ds:schemaRef ds:uri="http://purl.org/dc/dcmitype/"/>
    <ds:schemaRef ds:uri="da00f8c5-acd3-4222-8882-2c3b2f8c8746"/>
    <ds:schemaRef ds:uri="http://schemas.microsoft.com/office/2006/metadata/propertie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About</vt:lpstr>
      <vt:lpstr>VDI Profiles</vt:lpstr>
      <vt:lpstr>Processor Comparisons</vt:lpstr>
      <vt:lpstr>Server Options (Greenfield)</vt:lpstr>
      <vt:lpstr>Server Options (Preexisting)</vt:lpstr>
      <vt:lpstr>vGPU Options</vt:lpstr>
      <vt:lpstr>Processor Options</vt:lpstr>
      <vt:lpstr>Summary</vt:lpstr>
      <vt:lpstr>Memory Options</vt:lpstr>
      <vt:lpstr>Processor_DB_Intel</vt:lpstr>
      <vt:lpstr>Futures</vt:lpstr>
      <vt:lpstr>Port 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VDI Sizing Calculator - v0.6</dc:title>
  <dc:creator>Talbert Houle</dc:creator>
  <cp:lastModifiedBy>Talbert Houle</cp:lastModifiedBy>
  <dcterms:created xsi:type="dcterms:W3CDTF">2019-05-23T01:16:25Z</dcterms:created>
  <dcterms:modified xsi:type="dcterms:W3CDTF">2020-03-26T19:11:29Z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0x010100704DC5A8D6EAD44FB2B47DDAA54A30E8</vt:lpwstr>
  </property>
</Properties>
</file>